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LCMS of NHP/"/>
    </mc:Choice>
  </mc:AlternateContent>
  <xr:revisionPtr revIDLastSave="117" documentId="13_ncr:1_{1FC9C509-75E4-4C81-9C47-880485EBF6EA}" xr6:coauthVersionLast="47" xr6:coauthVersionMax="47" xr10:uidLastSave="{1671B90D-F856-4725-BFBD-5031E3389D28}"/>
  <bookViews>
    <workbookView xWindow="-15582" yWindow="-107" windowWidth="15689" windowHeight="9166" xr2:uid="{1F05C5D2-ADE9-4565-BC1C-215E071C9B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L26" i="1"/>
  <c r="M26" i="1" s="1"/>
  <c r="L16" i="1"/>
  <c r="M16" i="1" s="1"/>
  <c r="I26" i="1"/>
  <c r="I27" i="1"/>
  <c r="L27" i="1" s="1"/>
  <c r="M27" i="1" s="1"/>
  <c r="I28" i="1"/>
  <c r="L28" i="1" s="1"/>
  <c r="M28" i="1" s="1"/>
  <c r="I18" i="1"/>
  <c r="L18" i="1" s="1"/>
  <c r="M18" i="1" s="1"/>
  <c r="I19" i="1"/>
  <c r="L19" i="1" s="1"/>
  <c r="M19" i="1" s="1"/>
  <c r="I20" i="1"/>
  <c r="L20" i="1" s="1"/>
  <c r="M20" i="1" s="1"/>
  <c r="I21" i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17" i="1"/>
  <c r="L17" i="1" s="1"/>
  <c r="M17" i="1" s="1"/>
</calcChain>
</file>

<file path=xl/sharedStrings.xml><?xml version="1.0" encoding="utf-8"?>
<sst xmlns="http://schemas.openxmlformats.org/spreadsheetml/2006/main" count="143" uniqueCount="62">
  <si>
    <t>Date</t>
  </si>
  <si>
    <t>Box Label</t>
  </si>
  <si>
    <t>Sample Label(s)</t>
  </si>
  <si>
    <t>Genotype</t>
  </si>
  <si>
    <t>Age</t>
  </si>
  <si>
    <t>Treatment</t>
  </si>
  <si>
    <t>Weight (mg)</t>
  </si>
  <si>
    <t>Volume added 
(ml)</t>
  </si>
  <si>
    <t>Area Ratio</t>
  </si>
  <si>
    <t>NHP Concentration 
Analyst
(ng/ml)</t>
  </si>
  <si>
    <t>Conversion Factor 
(ml/g Tissue)</t>
  </si>
  <si>
    <t>NHP Concentration 
(ng/g tissue)</t>
  </si>
  <si>
    <t>?</t>
  </si>
  <si>
    <t>C 24 Y</t>
  </si>
  <si>
    <t>col-0</t>
  </si>
  <si>
    <t>Young</t>
  </si>
  <si>
    <t>Pst (24 hpi)</t>
  </si>
  <si>
    <t>1/0.059</t>
  </si>
  <si>
    <t>C 18 Y</t>
  </si>
  <si>
    <t>Pst ( 18hpi)</t>
  </si>
  <si>
    <t>1/0.056</t>
  </si>
  <si>
    <t>PTI-IWF-20-3 #1</t>
  </si>
  <si>
    <t>24 MC1 + 24 MC3</t>
  </si>
  <si>
    <t>Mock (24 hpt)</t>
  </si>
  <si>
    <t>1.49/0.149</t>
  </si>
  <si>
    <t>24 FC4 + 24 FC2</t>
  </si>
  <si>
    <t>flg22 (24 hpt)</t>
  </si>
  <si>
    <t>1.62/0.162</t>
  </si>
  <si>
    <t>PTI-IWF-20-3 #2</t>
  </si>
  <si>
    <t>6hpi CF2+ 6hpi CF3</t>
  </si>
  <si>
    <t>flg22 (24 hpt) 
+ Pst (6 hpi)</t>
  </si>
  <si>
    <t>1.56/0.156</t>
  </si>
  <si>
    <t>ARR-PIP-22-1</t>
  </si>
  <si>
    <t>UNCOL1</t>
  </si>
  <si>
    <t>Mature</t>
  </si>
  <si>
    <t>Untreated</t>
  </si>
  <si>
    <t>1.31/0.131</t>
  </si>
  <si>
    <t>UNCOL2</t>
  </si>
  <si>
    <t>1.08/0.108</t>
  </si>
  <si>
    <t>UNCOL4</t>
  </si>
  <si>
    <t>0.83/0.083</t>
  </si>
  <si>
    <t>UC1</t>
  </si>
  <si>
    <t>1.33/0.133</t>
  </si>
  <si>
    <t>UC3</t>
  </si>
  <si>
    <t>1.23/0.123</t>
  </si>
  <si>
    <t>UC4</t>
  </si>
  <si>
    <t>ARR-PIP-22-4</t>
  </si>
  <si>
    <t>12h col 1</t>
  </si>
  <si>
    <t>Pst (12 hpi)</t>
  </si>
  <si>
    <t>12h col 3</t>
  </si>
  <si>
    <t>12h col 4</t>
  </si>
  <si>
    <t>24h col 2</t>
  </si>
  <si>
    <t>24h col 3</t>
  </si>
  <si>
    <t>24h col 4</t>
  </si>
  <si>
    <t>PTI-IWF-20-3</t>
  </si>
  <si>
    <t>12hpi CU1</t>
  </si>
  <si>
    <t>12hpi CU2</t>
  </si>
  <si>
    <t>12hpi CU3</t>
  </si>
  <si>
    <t>12hpi CU4</t>
  </si>
  <si>
    <t>24hpi UC2</t>
  </si>
  <si>
    <t>24hpi UC3</t>
  </si>
  <si>
    <t>24hpi UC4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</si>
</sst>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15BA-A235-42D4-A732-DB2F004CF6F4}">
  <dimension ref="B3:M28"/>
  <sheetViews>
    <sheetView tabSelected="1" topLeftCell="A5" zoomScale="60" workbookViewId="0">
      <selection activeCell="M19" sqref="M19"/>
    </sheetView>
  </sheetViews>
  <sheetFormatPr defaultRowHeight="14" x14ac:dyDescent="0.3"/>
  <cols>
    <col min="2" max="2" width="9.296875" customWidth="1"/>
    <col min="3" max="3" width="15.296875" customWidth="1"/>
    <col min="4" max="4" width="16.296875" customWidth="1"/>
    <col min="7" max="7" width="16.59765625" customWidth="1"/>
    <col min="8" max="8" width="11.3984375" customWidth="1"/>
    <col min="9" max="10" width="14.296875" customWidth="1"/>
    <col min="11" max="12" width="25.3984375" customWidth="1"/>
    <col min="13" max="13" width="28.296875" customWidth="1"/>
  </cols>
  <sheetData>
    <row r="3" spans="2:13" ht="41.95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2:13" x14ac:dyDescent="0.3">
      <c r="B4" s="1">
        <v>45334</v>
      </c>
      <c r="C4" s="1" t="s">
        <v>12</v>
      </c>
      <c r="D4" s="1" t="s">
        <v>13</v>
      </c>
      <c r="E4" t="s">
        <v>14</v>
      </c>
      <c r="F4" t="s">
        <v>15</v>
      </c>
      <c r="G4" t="s">
        <v>16</v>
      </c>
      <c r="H4">
        <v>59</v>
      </c>
      <c r="I4">
        <v>1</v>
      </c>
      <c r="J4">
        <v>0.40600000000000003</v>
      </c>
      <c r="K4">
        <v>3.74</v>
      </c>
      <c r="L4" t="s">
        <v>17</v>
      </c>
      <c r="M4">
        <v>63.4</v>
      </c>
    </row>
    <row r="5" spans="2:13" x14ac:dyDescent="0.3">
      <c r="B5" s="1">
        <v>45334</v>
      </c>
      <c r="C5" s="1" t="s">
        <v>12</v>
      </c>
      <c r="D5" s="1" t="s">
        <v>18</v>
      </c>
      <c r="E5" t="s">
        <v>14</v>
      </c>
      <c r="F5" t="s">
        <v>15</v>
      </c>
      <c r="G5" t="s">
        <v>19</v>
      </c>
      <c r="H5">
        <v>56</v>
      </c>
      <c r="I5">
        <v>1</v>
      </c>
      <c r="J5">
        <v>0.17899999999999999</v>
      </c>
      <c r="K5">
        <v>0.69199999999999995</v>
      </c>
      <c r="L5" t="s">
        <v>20</v>
      </c>
      <c r="M5">
        <v>12.4</v>
      </c>
    </row>
    <row r="6" spans="2:13" x14ac:dyDescent="0.3">
      <c r="B6" s="1">
        <v>45356</v>
      </c>
      <c r="C6" s="1" t="s">
        <v>21</v>
      </c>
      <c r="D6" s="1" t="s">
        <v>22</v>
      </c>
      <c r="E6" t="s">
        <v>14</v>
      </c>
      <c r="F6" t="s">
        <v>15</v>
      </c>
      <c r="G6" t="s">
        <v>23</v>
      </c>
      <c r="H6">
        <v>149</v>
      </c>
      <c r="I6">
        <v>1.49</v>
      </c>
      <c r="J6">
        <v>6.7000000000000004E-2</v>
      </c>
      <c r="K6">
        <v>0.80900000000000005</v>
      </c>
      <c r="L6" t="s">
        <v>24</v>
      </c>
      <c r="M6">
        <v>8.09</v>
      </c>
    </row>
    <row r="7" spans="2:13" x14ac:dyDescent="0.3">
      <c r="B7" s="1">
        <v>45356</v>
      </c>
      <c r="C7" s="1" t="s">
        <v>21</v>
      </c>
      <c r="D7" s="1" t="s">
        <v>25</v>
      </c>
      <c r="E7" t="s">
        <v>14</v>
      </c>
      <c r="F7" t="s">
        <v>15</v>
      </c>
      <c r="G7" t="s">
        <v>26</v>
      </c>
      <c r="H7">
        <v>162</v>
      </c>
      <c r="I7">
        <v>1.62</v>
      </c>
      <c r="J7">
        <v>0.72</v>
      </c>
      <c r="K7">
        <v>9.8699999999999992</v>
      </c>
      <c r="L7" t="s">
        <v>27</v>
      </c>
      <c r="M7">
        <v>98.7</v>
      </c>
    </row>
    <row r="8" spans="2:13" ht="27.95" x14ac:dyDescent="0.3">
      <c r="B8" s="1">
        <v>45356</v>
      </c>
      <c r="C8" s="1" t="s">
        <v>28</v>
      </c>
      <c r="D8" s="1" t="s">
        <v>29</v>
      </c>
      <c r="E8" t="s">
        <v>14</v>
      </c>
      <c r="F8" t="s">
        <v>15</v>
      </c>
      <c r="G8" s="4" t="s">
        <v>30</v>
      </c>
      <c r="H8">
        <v>156</v>
      </c>
      <c r="I8">
        <v>1.56</v>
      </c>
      <c r="J8">
        <v>0.93</v>
      </c>
      <c r="K8">
        <v>12.8</v>
      </c>
      <c r="L8" t="s">
        <v>31</v>
      </c>
      <c r="M8">
        <v>128</v>
      </c>
    </row>
    <row r="9" spans="2:13" x14ac:dyDescent="0.3">
      <c r="B9" s="1"/>
      <c r="C9" s="1"/>
      <c r="D9" s="1"/>
      <c r="G9" s="4"/>
    </row>
    <row r="10" spans="2:13" x14ac:dyDescent="0.3">
      <c r="B10" s="1">
        <v>45366</v>
      </c>
      <c r="C10" s="1" t="s">
        <v>32</v>
      </c>
      <c r="D10" s="1" t="s">
        <v>33</v>
      </c>
      <c r="E10" t="s">
        <v>14</v>
      </c>
      <c r="F10" t="s">
        <v>34</v>
      </c>
      <c r="G10" t="s">
        <v>35</v>
      </c>
      <c r="H10">
        <v>131</v>
      </c>
      <c r="I10">
        <v>1.31</v>
      </c>
      <c r="J10">
        <v>0.17</v>
      </c>
      <c r="K10">
        <v>4.21</v>
      </c>
      <c r="L10" t="s">
        <v>36</v>
      </c>
      <c r="M10">
        <v>42.1</v>
      </c>
    </row>
    <row r="11" spans="2:13" x14ac:dyDescent="0.3">
      <c r="B11" s="1">
        <v>45366</v>
      </c>
      <c r="C11" s="1" t="s">
        <v>32</v>
      </c>
      <c r="D11" s="1" t="s">
        <v>37</v>
      </c>
      <c r="E11" t="s">
        <v>14</v>
      </c>
      <c r="F11" t="s">
        <v>34</v>
      </c>
      <c r="G11" t="s">
        <v>35</v>
      </c>
      <c r="H11">
        <v>108</v>
      </c>
      <c r="I11">
        <v>1.08</v>
      </c>
      <c r="J11">
        <v>0.14000000000000001</v>
      </c>
      <c r="K11">
        <v>3.51</v>
      </c>
      <c r="L11" t="s">
        <v>38</v>
      </c>
      <c r="M11">
        <v>35.1</v>
      </c>
    </row>
    <row r="12" spans="2:13" x14ac:dyDescent="0.3">
      <c r="B12" s="1">
        <v>45366</v>
      </c>
      <c r="C12" s="1" t="s">
        <v>32</v>
      </c>
      <c r="D12" s="1" t="s">
        <v>39</v>
      </c>
      <c r="E12" t="s">
        <v>14</v>
      </c>
      <c r="F12" t="s">
        <v>34</v>
      </c>
      <c r="G12" t="s">
        <v>35</v>
      </c>
      <c r="H12">
        <v>83</v>
      </c>
      <c r="I12">
        <v>0.83</v>
      </c>
      <c r="J12">
        <v>0.39100000000000001</v>
      </c>
      <c r="K12">
        <v>9.27</v>
      </c>
      <c r="L12" t="s">
        <v>40</v>
      </c>
      <c r="M12">
        <v>92.7</v>
      </c>
    </row>
    <row r="13" spans="2:13" x14ac:dyDescent="0.3">
      <c r="B13" s="1">
        <v>45366</v>
      </c>
      <c r="C13" s="1" t="s">
        <v>28</v>
      </c>
      <c r="D13" s="1" t="s">
        <v>41</v>
      </c>
      <c r="E13" t="s">
        <v>14</v>
      </c>
      <c r="F13" t="s">
        <v>15</v>
      </c>
      <c r="G13" t="s">
        <v>35</v>
      </c>
      <c r="H13">
        <v>133</v>
      </c>
      <c r="I13">
        <v>1.33</v>
      </c>
      <c r="J13">
        <v>1.6E-2</v>
      </c>
      <c r="K13">
        <v>0.67500000000000004</v>
      </c>
      <c r="L13" t="s">
        <v>42</v>
      </c>
      <c r="M13">
        <v>6.75</v>
      </c>
    </row>
    <row r="14" spans="2:13" x14ac:dyDescent="0.3">
      <c r="B14" s="1">
        <v>45366</v>
      </c>
      <c r="C14" s="1" t="s">
        <v>28</v>
      </c>
      <c r="D14" s="1" t="s">
        <v>43</v>
      </c>
      <c r="E14" t="s">
        <v>14</v>
      </c>
      <c r="F14" t="s">
        <v>15</v>
      </c>
      <c r="G14" t="s">
        <v>35</v>
      </c>
      <c r="H14">
        <v>123</v>
      </c>
      <c r="I14">
        <v>1.23</v>
      </c>
      <c r="J14">
        <v>-2E-3</v>
      </c>
      <c r="K14">
        <v>0.248</v>
      </c>
      <c r="L14" t="s">
        <v>44</v>
      </c>
      <c r="M14">
        <v>2.48</v>
      </c>
    </row>
    <row r="15" spans="2:13" x14ac:dyDescent="0.3">
      <c r="B15" s="1">
        <v>45366</v>
      </c>
      <c r="C15" s="1" t="s">
        <v>28</v>
      </c>
      <c r="D15" s="1" t="s">
        <v>45</v>
      </c>
      <c r="E15" t="s">
        <v>14</v>
      </c>
      <c r="F15" t="s">
        <v>15</v>
      </c>
      <c r="G15" t="s">
        <v>35</v>
      </c>
      <c r="H15">
        <v>131</v>
      </c>
      <c r="I15">
        <v>1.31</v>
      </c>
      <c r="J15">
        <v>1.4999999999999999E-2</v>
      </c>
      <c r="K15">
        <v>0.63500000000000001</v>
      </c>
      <c r="L15" t="s">
        <v>36</v>
      </c>
      <c r="M15">
        <v>6.35</v>
      </c>
    </row>
    <row r="16" spans="2:13" x14ac:dyDescent="0.3">
      <c r="B16" s="1">
        <v>45378</v>
      </c>
      <c r="C16" t="s">
        <v>46</v>
      </c>
      <c r="D16" t="s">
        <v>47</v>
      </c>
      <c r="E16" t="s">
        <v>14</v>
      </c>
      <c r="F16" t="s">
        <v>34</v>
      </c>
      <c r="G16" t="s">
        <v>48</v>
      </c>
      <c r="H16">
        <v>148</v>
      </c>
      <c r="I16">
        <v>1.48</v>
      </c>
      <c r="J16">
        <v>0.875</v>
      </c>
      <c r="K16">
        <v>56.4</v>
      </c>
      <c r="L16">
        <f>I16/(H16/1000)</f>
        <v>10</v>
      </c>
      <c r="M16">
        <f>K16*L16</f>
        <v>564</v>
      </c>
    </row>
    <row r="17" spans="2:13" x14ac:dyDescent="0.3">
      <c r="B17" s="1">
        <v>45378</v>
      </c>
      <c r="C17" t="s">
        <v>46</v>
      </c>
      <c r="D17" t="s">
        <v>49</v>
      </c>
      <c r="E17" t="s">
        <v>14</v>
      </c>
      <c r="F17" t="s">
        <v>34</v>
      </c>
      <c r="G17" t="s">
        <v>48</v>
      </c>
      <c r="H17">
        <v>161</v>
      </c>
      <c r="I17">
        <f>H17/100</f>
        <v>1.61</v>
      </c>
      <c r="J17">
        <v>0.72599999999999998</v>
      </c>
      <c r="K17">
        <v>25.1</v>
      </c>
      <c r="L17">
        <f t="shared" ref="L17:L28" si="0">I17/(H17/1000)</f>
        <v>10</v>
      </c>
      <c r="M17">
        <f t="shared" ref="M17:M28" si="1">K17*L17</f>
        <v>251</v>
      </c>
    </row>
    <row r="18" spans="2:13" x14ac:dyDescent="0.3">
      <c r="B18" s="1">
        <v>45378</v>
      </c>
      <c r="C18" t="s">
        <v>46</v>
      </c>
      <c r="D18" t="s">
        <v>50</v>
      </c>
      <c r="E18" t="s">
        <v>14</v>
      </c>
      <c r="F18" t="s">
        <v>34</v>
      </c>
      <c r="G18" t="s">
        <v>48</v>
      </c>
      <c r="H18">
        <v>109</v>
      </c>
      <c r="I18">
        <f t="shared" ref="I18:I28" si="2">H18/100</f>
        <v>1.0900000000000001</v>
      </c>
      <c r="J18">
        <v>0.53700000000000003</v>
      </c>
      <c r="K18">
        <v>29.1</v>
      </c>
      <c r="L18">
        <f t="shared" si="0"/>
        <v>10</v>
      </c>
      <c r="M18">
        <f t="shared" si="1"/>
        <v>291</v>
      </c>
    </row>
    <row r="19" spans="2:13" x14ac:dyDescent="0.3">
      <c r="B19" s="1">
        <v>45378</v>
      </c>
      <c r="C19" t="s">
        <v>46</v>
      </c>
      <c r="D19" t="s">
        <v>51</v>
      </c>
      <c r="E19" t="s">
        <v>14</v>
      </c>
      <c r="F19" t="s">
        <v>34</v>
      </c>
      <c r="G19" t="s">
        <v>16</v>
      </c>
      <c r="H19">
        <v>91</v>
      </c>
      <c r="I19">
        <f t="shared" si="2"/>
        <v>0.91</v>
      </c>
      <c r="J19">
        <v>0.91200000000000003</v>
      </c>
      <c r="K19">
        <v>29.4</v>
      </c>
      <c r="L19">
        <f t="shared" si="0"/>
        <v>10</v>
      </c>
      <c r="M19">
        <f t="shared" si="1"/>
        <v>294</v>
      </c>
    </row>
    <row r="20" spans="2:13" x14ac:dyDescent="0.3">
      <c r="B20" s="1">
        <v>45378</v>
      </c>
      <c r="C20" t="s">
        <v>46</v>
      </c>
      <c r="D20" t="s">
        <v>52</v>
      </c>
      <c r="E20" t="s">
        <v>14</v>
      </c>
      <c r="F20" t="s">
        <v>34</v>
      </c>
      <c r="G20" t="s">
        <v>16</v>
      </c>
      <c r="H20">
        <v>45</v>
      </c>
      <c r="I20">
        <f t="shared" si="2"/>
        <v>0.45</v>
      </c>
      <c r="J20">
        <v>1.44</v>
      </c>
      <c r="K20">
        <v>56</v>
      </c>
      <c r="L20">
        <f t="shared" si="0"/>
        <v>10</v>
      </c>
      <c r="M20">
        <f t="shared" si="1"/>
        <v>560</v>
      </c>
    </row>
    <row r="21" spans="2:13" x14ac:dyDescent="0.3">
      <c r="B21" s="1">
        <v>45378</v>
      </c>
      <c r="C21" t="s">
        <v>46</v>
      </c>
      <c r="D21" t="s">
        <v>53</v>
      </c>
      <c r="E21" t="s">
        <v>14</v>
      </c>
      <c r="F21" t="s">
        <v>34</v>
      </c>
      <c r="G21" t="s">
        <v>16</v>
      </c>
      <c r="H21">
        <v>92</v>
      </c>
      <c r="I21">
        <f t="shared" si="2"/>
        <v>0.92</v>
      </c>
      <c r="J21">
        <v>0.94</v>
      </c>
      <c r="K21">
        <v>29</v>
      </c>
      <c r="L21">
        <f t="shared" si="0"/>
        <v>10</v>
      </c>
      <c r="M21">
        <f t="shared" si="1"/>
        <v>290</v>
      </c>
    </row>
    <row r="22" spans="2:13" x14ac:dyDescent="0.3">
      <c r="B22" s="1">
        <v>45378</v>
      </c>
      <c r="C22" t="s">
        <v>54</v>
      </c>
      <c r="D22" t="s">
        <v>55</v>
      </c>
      <c r="E22" t="s">
        <v>14</v>
      </c>
      <c r="F22" t="s">
        <v>15</v>
      </c>
      <c r="G22" t="s">
        <v>48</v>
      </c>
      <c r="H22">
        <v>111</v>
      </c>
      <c r="I22">
        <f t="shared" si="2"/>
        <v>1.1100000000000001</v>
      </c>
      <c r="J22">
        <v>0.16700000000000001</v>
      </c>
      <c r="K22">
        <v>10.4</v>
      </c>
      <c r="L22">
        <f t="shared" si="0"/>
        <v>10</v>
      </c>
      <c r="M22">
        <f t="shared" si="1"/>
        <v>104</v>
      </c>
    </row>
    <row r="23" spans="2:13" x14ac:dyDescent="0.3">
      <c r="B23" s="1">
        <v>45378</v>
      </c>
      <c r="C23" t="s">
        <v>54</v>
      </c>
      <c r="D23" t="s">
        <v>56</v>
      </c>
      <c r="E23" t="s">
        <v>14</v>
      </c>
      <c r="F23" t="s">
        <v>15</v>
      </c>
      <c r="G23" t="s">
        <v>48</v>
      </c>
      <c r="H23">
        <v>123</v>
      </c>
      <c r="I23">
        <f t="shared" si="2"/>
        <v>1.23</v>
      </c>
      <c r="J23">
        <v>0.13200000000000001</v>
      </c>
      <c r="K23">
        <v>16.399999999999999</v>
      </c>
      <c r="L23">
        <f t="shared" si="0"/>
        <v>10</v>
      </c>
      <c r="M23">
        <f t="shared" si="1"/>
        <v>164</v>
      </c>
    </row>
    <row r="24" spans="2:13" x14ac:dyDescent="0.3">
      <c r="B24" s="1">
        <v>45378</v>
      </c>
      <c r="C24" t="s">
        <v>54</v>
      </c>
      <c r="D24" t="s">
        <v>57</v>
      </c>
      <c r="E24" t="s">
        <v>14</v>
      </c>
      <c r="F24" t="s">
        <v>15</v>
      </c>
      <c r="G24" t="s">
        <v>48</v>
      </c>
      <c r="H24">
        <v>126</v>
      </c>
      <c r="I24">
        <f t="shared" si="2"/>
        <v>1.26</v>
      </c>
      <c r="J24">
        <v>0.153</v>
      </c>
      <c r="K24">
        <v>15</v>
      </c>
      <c r="L24">
        <f t="shared" si="0"/>
        <v>10</v>
      </c>
      <c r="M24">
        <f t="shared" si="1"/>
        <v>150</v>
      </c>
    </row>
    <row r="25" spans="2:13" x14ac:dyDescent="0.3">
      <c r="B25" s="1">
        <v>45378</v>
      </c>
      <c r="C25" t="s">
        <v>54</v>
      </c>
      <c r="D25" t="s">
        <v>58</v>
      </c>
      <c r="E25" t="s">
        <v>14</v>
      </c>
      <c r="F25" t="s">
        <v>15</v>
      </c>
      <c r="G25" t="s">
        <v>48</v>
      </c>
      <c r="H25">
        <v>102</v>
      </c>
      <c r="I25">
        <f t="shared" si="2"/>
        <v>1.02</v>
      </c>
      <c r="J25">
        <v>0.161</v>
      </c>
      <c r="K25">
        <v>18.899999999999999</v>
      </c>
      <c r="L25">
        <f t="shared" si="0"/>
        <v>10</v>
      </c>
      <c r="M25">
        <f t="shared" si="1"/>
        <v>189</v>
      </c>
    </row>
    <row r="26" spans="2:13" x14ac:dyDescent="0.3">
      <c r="B26" s="1">
        <v>45378</v>
      </c>
      <c r="C26" t="s">
        <v>54</v>
      </c>
      <c r="D26" t="s">
        <v>59</v>
      </c>
      <c r="E26" t="s">
        <v>14</v>
      </c>
      <c r="F26" t="s">
        <v>15</v>
      </c>
      <c r="G26" t="s">
        <v>16</v>
      </c>
      <c r="H26">
        <v>103</v>
      </c>
      <c r="I26">
        <f>H26/100</f>
        <v>1.03</v>
      </c>
      <c r="J26">
        <v>0.315</v>
      </c>
      <c r="K26">
        <v>22.4</v>
      </c>
      <c r="L26">
        <f t="shared" si="0"/>
        <v>10</v>
      </c>
      <c r="M26">
        <f t="shared" si="1"/>
        <v>224</v>
      </c>
    </row>
    <row r="27" spans="2:13" x14ac:dyDescent="0.3">
      <c r="B27" s="1">
        <v>45378</v>
      </c>
      <c r="C27" t="s">
        <v>54</v>
      </c>
      <c r="D27" t="s">
        <v>60</v>
      </c>
      <c r="E27" t="s">
        <v>14</v>
      </c>
      <c r="F27" t="s">
        <v>15</v>
      </c>
      <c r="G27" t="s">
        <v>16</v>
      </c>
      <c r="H27">
        <v>110</v>
      </c>
      <c r="I27">
        <f t="shared" si="2"/>
        <v>1.1000000000000001</v>
      </c>
      <c r="J27">
        <v>0.436</v>
      </c>
      <c r="K27">
        <v>23.6</v>
      </c>
      <c r="L27">
        <f t="shared" si="0"/>
        <v>10</v>
      </c>
      <c r="M27">
        <f t="shared" si="1"/>
        <v>236</v>
      </c>
    </row>
    <row r="28" spans="2:13" x14ac:dyDescent="0.3">
      <c r="B28" s="1">
        <v>45378</v>
      </c>
      <c r="C28" t="s">
        <v>54</v>
      </c>
      <c r="D28" t="s">
        <v>61</v>
      </c>
      <c r="E28" t="s">
        <v>14</v>
      </c>
      <c r="F28" t="s">
        <v>15</v>
      </c>
      <c r="G28" t="s">
        <v>16</v>
      </c>
      <c r="H28">
        <v>138</v>
      </c>
      <c r="I28">
        <f t="shared" si="2"/>
        <v>1.38</v>
      </c>
      <c r="J28">
        <v>0.26400000000000001</v>
      </c>
      <c r="K28">
        <v>13.8</v>
      </c>
      <c r="L28">
        <f t="shared" si="0"/>
        <v>9.9999999999999982</v>
      </c>
      <c r="M28">
        <f t="shared" si="1"/>
        <v>137.99999999999997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8E43C6677754CA990E831926D6126" ma:contentTypeVersion="18" ma:contentTypeDescription="Create a new document." ma:contentTypeScope="" ma:versionID="5cc9815a2d9b01599eb979b8fc29c8b5">
  <xsd:schema xmlns:xsd="http://www.w3.org/2001/XMLSchema" xmlns:xs="http://www.w3.org/2001/XMLSchema" xmlns:p="http://schemas.microsoft.com/office/2006/metadata/properties" xmlns:ns2="ae78a421-fd4e-4d64-a0ab-95725c3389ad" xmlns:ns3="5ab1883e-abf7-4749-bbc9-8330d3dcc81f" targetNamespace="http://schemas.microsoft.com/office/2006/metadata/properties" ma:root="true" ma:fieldsID="12cabbfdf4ff78ba426c6c58443c0608" ns2:_="" ns3:_="">
    <xsd:import namespace="ae78a421-fd4e-4d64-a0ab-95725c3389ad"/>
    <xsd:import namespace="5ab1883e-abf7-4749-bbc9-8330d3dcc8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8a421-fd4e-4d64-a0ab-95725c338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883e-abf7-4749-bbc9-8330d3dcc81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180866e-0115-4c7a-aaaf-bbca9a3cdb04}" ma:internalName="TaxCatchAll" ma:showField="CatchAllData" ma:web="5ab1883e-abf7-4749-bbc9-8330d3dcc8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78a421-fd4e-4d64-a0ab-95725c3389ad">
      <Terms xmlns="http://schemas.microsoft.com/office/infopath/2007/PartnerControls"/>
    </lcf76f155ced4ddcb4097134ff3c332f>
    <TaxCatchAll xmlns="5ab1883e-abf7-4749-bbc9-8330d3dcc81f" xsi:nil="true"/>
  </documentManagement>
</p:properties>
</file>

<file path=customXml/itemProps1.xml><?xml version="1.0" encoding="utf-8"?>
<ds:datastoreItem xmlns:ds="http://schemas.openxmlformats.org/officeDocument/2006/customXml" ds:itemID="{776E7A87-C8A3-4EF9-8F35-EF6086FD3A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78a421-fd4e-4d64-a0ab-95725c3389ad"/>
    <ds:schemaRef ds:uri="5ab1883e-abf7-4749-bbc9-8330d3dcc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CBE8FA-682A-4466-A218-B70EF31CF0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EE6D87-B646-4D68-81F8-38F04EB259AF}">
  <ds:schemaRefs>
    <ds:schemaRef ds:uri="http://schemas.microsoft.com/office/2006/metadata/properties"/>
    <ds:schemaRef ds:uri="http://schemas.microsoft.com/office/infopath/2007/PartnerControls"/>
    <ds:schemaRef ds:uri="ae78a421-fd4e-4d64-a0ab-95725c3389ad"/>
    <ds:schemaRef ds:uri="5ab1883e-abf7-4749-bbc9-8330d3dcc8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Lund</dc:creator>
  <cp:keywords/>
  <dc:description/>
  <cp:lastModifiedBy>Garrett Nunn</cp:lastModifiedBy>
  <cp:revision/>
  <dcterms:created xsi:type="dcterms:W3CDTF">2024-03-19T23:01:48Z</dcterms:created>
  <dcterms:modified xsi:type="dcterms:W3CDTF">2024-04-25T15:36:49Z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0x010100C118E43C6677754CA990E831926D6126</vt:lpwstr>
  </property>
  <property fmtid="{D5CDD505-2E9C-101B-9397-08002B2CF9AE}" pid="3" name="MediaServiceImageTags">
    <vt:lpwstr/>
  </property>
</Properties>
</file>