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filterPrivacy="1"/>
  <xr:revisionPtr revIDLastSave="18" documentId="6_{48D8FA8A-A460-4336-83EF-FEED310BFC87}" xr6:coauthVersionLast="40" xr6:coauthVersionMax="40" xr10:uidLastSave="{439B04F8-F297-4100-BFDD-1CAC3FAC9D40}"/>
  <bookViews>
    <workbookView xWindow="0" yWindow="0" windowWidth="22260" windowHeight="12650" xr2:uid="{00000000-000D-0000-FFFF-FFFF00000000}"/>
  </bookViews>
  <sheets>
    <sheet name="Data" sheetId="1" r:id="rId1"/>
    <sheet name="Graph" sheetId="2" r:id="rId2"/>
    <sheet name="Chart" sheetId="3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4" i="1" l="1"/>
  <c r="F15" i="1"/>
  <c r="F16" i="1"/>
  <c r="F17" i="1"/>
  <c r="F18" i="1"/>
  <c r="F19" i="1"/>
  <c r="F13" i="1"/>
  <c r="F12" i="1"/>
  <c r="F11" i="1"/>
  <c r="F47" i="1" l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W6" i="1" l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 s="1"/>
  <c r="V21" i="1" a="1"/>
  <c r="V21" i="1" s="1"/>
  <c r="W5" i="1" a="1"/>
  <c r="W5" i="1" s="1"/>
  <c r="W4" i="1" a="1"/>
  <c r="W4" i="1" s="1"/>
  <c r="V6" i="1" a="1"/>
  <c r="V6" i="1" s="1"/>
  <c r="V5" i="1" a="1"/>
  <c r="V5" i="1" s="1"/>
  <c r="V4" i="1" a="1"/>
  <c r="V4" i="1" s="1"/>
  <c r="F2" i="1" l="1"/>
  <c r="F5" i="1"/>
  <c r="F6" i="1"/>
  <c r="F7" i="1"/>
  <c r="F8" i="1"/>
  <c r="F9" i="1"/>
  <c r="F10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" i="1"/>
  <c r="F3" i="1"/>
  <c r="W25" i="1" l="1"/>
  <c r="V23" i="1"/>
  <c r="W23" i="1"/>
  <c r="V25" i="1"/>
  <c r="U5" i="1" l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U4" i="1" a="1"/>
  <c r="U4" i="1" s="1"/>
  <c r="T4" i="1" a="1"/>
  <c r="T4" i="1" s="1"/>
  <c r="S4" i="1" a="1"/>
  <c r="S4" i="1" s="1"/>
  <c r="R4" i="1" a="1"/>
  <c r="R4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S25" i="1" l="1"/>
  <c r="R23" i="1"/>
  <c r="T25" i="1"/>
  <c r="U25" i="1"/>
  <c r="S23" i="1"/>
  <c r="R25" i="1"/>
  <c r="T23" i="1"/>
  <c r="U23" i="1"/>
  <c r="D24" i="2" a="1"/>
  <c r="D24" i="2" s="1"/>
  <c r="H80" i="1" a="1"/>
  <c r="H80" i="1" s="1"/>
  <c r="H81" i="1" a="1"/>
  <c r="H81" i="1" s="1"/>
  <c r="H79" i="1" a="1"/>
  <c r="H79" i="1" s="1"/>
  <c r="H72" i="1" a="1"/>
  <c r="H72" i="1" s="1"/>
  <c r="H73" i="1" a="1"/>
  <c r="H73" i="1" s="1"/>
  <c r="H71" i="1" a="1"/>
  <c r="H71" i="1" s="1"/>
  <c r="H76" i="1" a="1"/>
  <c r="H76" i="1" s="1"/>
  <c r="H77" i="1" a="1"/>
  <c r="H77" i="1" s="1"/>
  <c r="H75" i="1" a="1"/>
  <c r="H75" i="1" s="1"/>
  <c r="H68" i="1" a="1"/>
  <c r="H68" i="1" s="1"/>
  <c r="H69" i="1" a="1"/>
  <c r="H69" i="1" s="1"/>
  <c r="H67" i="1" a="1"/>
  <c r="H67" i="1" s="1"/>
  <c r="H64" i="1" a="1"/>
  <c r="H64" i="1" s="1"/>
  <c r="H65" i="1" a="1"/>
  <c r="H65" i="1" s="1"/>
  <c r="H63" i="1" a="1"/>
  <c r="H63" i="1" s="1"/>
  <c r="H60" i="1" a="1"/>
  <c r="H60" i="1" s="1"/>
  <c r="H61" i="1" a="1"/>
  <c r="H61" i="1" s="1"/>
  <c r="H59" i="1" a="1"/>
  <c r="H59" i="1" s="1"/>
  <c r="H56" i="1" a="1"/>
  <c r="H56" i="1" s="1"/>
  <c r="H57" i="1" a="1"/>
  <c r="H57" i="1" s="1"/>
  <c r="H55" i="1" a="1"/>
  <c r="H55" i="1" s="1"/>
  <c r="H52" i="1" a="1"/>
  <c r="H52" i="1" s="1"/>
  <c r="H53" i="1" a="1"/>
  <c r="H53" i="1" s="1"/>
  <c r="H51" i="1" a="1"/>
  <c r="H51" i="1" s="1"/>
  <c r="H48" i="1" a="1"/>
  <c r="H48" i="1" s="1"/>
  <c r="H49" i="1" a="1"/>
  <c r="H49" i="1" s="1"/>
  <c r="H47" i="1" a="1"/>
  <c r="H47" i="1" s="1"/>
  <c r="H44" i="1" a="1"/>
  <c r="H44" i="1" s="1"/>
  <c r="H45" i="1" a="1"/>
  <c r="H45" i="1" s="1"/>
  <c r="H43" i="1" a="1"/>
  <c r="H43" i="1" s="1"/>
  <c r="H40" i="1" a="1"/>
  <c r="H40" i="1" s="1"/>
  <c r="H41" i="1" a="1"/>
  <c r="H41" i="1" s="1"/>
  <c r="H39" i="1" a="1"/>
  <c r="H39" i="1" s="1"/>
  <c r="H36" i="1" a="1"/>
  <c r="H36" i="1" s="1"/>
  <c r="H37" i="1" a="1"/>
  <c r="H37" i="1" s="1"/>
  <c r="H35" i="1" a="1"/>
  <c r="H35" i="1" s="1"/>
  <c r="H32" i="1" a="1"/>
  <c r="H32" i="1" s="1"/>
  <c r="H33" i="1" a="1"/>
  <c r="H33" i="1" s="1"/>
  <c r="H31" i="1" a="1"/>
  <c r="H31" i="1" s="1"/>
  <c r="H28" i="1" a="1"/>
  <c r="H28" i="1" s="1"/>
  <c r="H29" i="1" a="1"/>
  <c r="H29" i="1" s="1"/>
  <c r="H27" i="1" a="1"/>
  <c r="H27" i="1" s="1"/>
  <c r="H24" i="1" a="1"/>
  <c r="H24" i="1" s="1"/>
  <c r="H25" i="1" a="1"/>
  <c r="H25" i="1" s="1"/>
  <c r="H23" i="1" a="1"/>
  <c r="H23" i="1" s="1"/>
  <c r="H20" i="1" a="1"/>
  <c r="H20" i="1" s="1"/>
  <c r="H21" i="1" a="1"/>
  <c r="H21" i="1" s="1"/>
  <c r="H19" i="1" a="1"/>
  <c r="H19" i="1" s="1"/>
  <c r="F37" i="3"/>
  <c r="F36" i="3"/>
  <c r="F34" i="3"/>
  <c r="F33" i="3"/>
  <c r="F31" i="3"/>
  <c r="F30" i="3"/>
  <c r="F28" i="3"/>
  <c r="H26" i="3" s="1"/>
  <c r="F27" i="3"/>
  <c r="F25" i="3"/>
  <c r="F24" i="3"/>
  <c r="F22" i="3"/>
  <c r="F21" i="3"/>
  <c r="F19" i="3"/>
  <c r="F18" i="3"/>
  <c r="F17" i="3"/>
  <c r="F16" i="3"/>
  <c r="F15" i="3"/>
  <c r="F14" i="3"/>
  <c r="F12" i="3"/>
  <c r="F11" i="3"/>
  <c r="F10" i="3"/>
  <c r="F9" i="3"/>
  <c r="F7" i="3"/>
  <c r="F6" i="3"/>
  <c r="F4" i="3"/>
  <c r="F3" i="3"/>
  <c r="I17" i="3" l="1"/>
  <c r="I35" i="3"/>
  <c r="H8" i="3"/>
  <c r="I11" i="3"/>
  <c r="I8" i="3"/>
  <c r="I5" i="3"/>
  <c r="H32" i="3"/>
  <c r="I14" i="3"/>
  <c r="I23" i="3"/>
  <c r="I77" i="1"/>
  <c r="I21" i="1"/>
  <c r="I37" i="1"/>
  <c r="I53" i="1"/>
  <c r="J25" i="1"/>
  <c r="J41" i="1"/>
  <c r="J57" i="1"/>
  <c r="J73" i="1"/>
  <c r="I33" i="1"/>
  <c r="I49" i="1"/>
  <c r="I69" i="1"/>
  <c r="I29" i="1"/>
  <c r="I45" i="1"/>
  <c r="I61" i="1"/>
  <c r="I65" i="1"/>
  <c r="I81" i="1"/>
  <c r="I25" i="1"/>
  <c r="I41" i="1"/>
  <c r="I57" i="1"/>
  <c r="I73" i="1"/>
  <c r="J29" i="1"/>
  <c r="J45" i="1"/>
  <c r="J61" i="1"/>
  <c r="J77" i="1"/>
  <c r="J33" i="1"/>
  <c r="J49" i="1"/>
  <c r="J65" i="1"/>
  <c r="J81" i="1"/>
  <c r="J21" i="1"/>
  <c r="J37" i="1"/>
  <c r="J53" i="1"/>
  <c r="J69" i="1"/>
  <c r="H14" i="3"/>
  <c r="I32" i="3"/>
  <c r="H11" i="3"/>
  <c r="I26" i="3"/>
  <c r="H23" i="3"/>
  <c r="H35" i="3"/>
  <c r="H5" i="3"/>
  <c r="H17" i="3"/>
  <c r="F30" i="2" a="1"/>
  <c r="F30" i="2" s="1"/>
  <c r="G30" i="2" a="1"/>
  <c r="G30" i="2" s="1"/>
  <c r="F31" i="2" a="1"/>
  <c r="F31" i="2" s="1"/>
  <c r="G31" i="2" a="1"/>
  <c r="G31" i="2" s="1"/>
  <c r="F32" i="2" a="1"/>
  <c r="F32" i="2" s="1"/>
  <c r="G32" i="2" a="1"/>
  <c r="G32" i="2" s="1"/>
  <c r="F33" i="2" a="1"/>
  <c r="F33" i="2" s="1"/>
  <c r="G33" i="2" a="1"/>
  <c r="G33" i="2" s="1"/>
  <c r="F34" i="2" a="1"/>
  <c r="F34" i="2" s="1"/>
  <c r="G34" i="2" a="1"/>
  <c r="G34" i="2" s="1"/>
  <c r="F35" i="2" a="1"/>
  <c r="F35" i="2" s="1"/>
  <c r="G35" i="2" a="1"/>
  <c r="G35" i="2" s="1"/>
  <c r="F36" i="2" a="1"/>
  <c r="F36" i="2" s="1"/>
  <c r="G36" i="2" a="1"/>
  <c r="G36" i="2" s="1"/>
  <c r="F37" i="2" a="1"/>
  <c r="F37" i="2" s="1"/>
  <c r="G37" i="2" a="1"/>
  <c r="G37" i="2" s="1"/>
  <c r="F38" i="2" a="1"/>
  <c r="F38" i="2" s="1"/>
  <c r="G38" i="2"/>
  <c r="F39" i="2" a="1"/>
  <c r="F39" i="2" s="1"/>
  <c r="G39" i="2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30" i="2" a="1"/>
  <c r="I30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F126" i="2" l="1"/>
  <c r="F127" i="2"/>
  <c r="F128" i="2"/>
  <c r="F129" i="2"/>
  <c r="F130" i="2"/>
  <c r="F131" i="2"/>
  <c r="F132" i="2"/>
  <c r="F133" i="2"/>
  <c r="F134" i="2"/>
  <c r="F135" i="2"/>
  <c r="N5" i="1" a="1"/>
  <c r="N5" i="1" s="1"/>
  <c r="H5" i="1" a="1"/>
  <c r="H5" i="1" s="1"/>
  <c r="N6" i="1" a="1"/>
  <c r="N6" i="1" s="1"/>
  <c r="H4" i="1" l="1" a="1"/>
  <c r="H4" i="1" s="1"/>
  <c r="Q5" i="1" a="1"/>
  <c r="Q5" i="1" s="1"/>
  <c r="H16" i="1" a="1"/>
  <c r="H16" i="1" s="1"/>
  <c r="P4" i="1" a="1"/>
  <c r="P4" i="1" s="1"/>
  <c r="H11" i="1" a="1"/>
  <c r="H11" i="1" s="1"/>
  <c r="Q4" i="1" a="1"/>
  <c r="Q4" i="1" s="1"/>
  <c r="H15" i="1" a="1"/>
  <c r="H15" i="1" s="1"/>
  <c r="O6" i="1" a="1"/>
  <c r="O6" i="1" s="1"/>
  <c r="H9" i="1" a="1"/>
  <c r="H9" i="1" s="1"/>
  <c r="Q6" i="1" a="1"/>
  <c r="Q6" i="1" s="1"/>
  <c r="H17" i="1" a="1"/>
  <c r="H17" i="1" s="1"/>
  <c r="P5" i="1" a="1"/>
  <c r="P5" i="1" s="1"/>
  <c r="H12" i="1" a="1"/>
  <c r="H12" i="1" s="1"/>
  <c r="P6" i="1" a="1"/>
  <c r="P6" i="1" s="1"/>
  <c r="H13" i="1" a="1"/>
  <c r="H13" i="1" s="1"/>
  <c r="O5" i="1" a="1"/>
  <c r="O5" i="1" s="1"/>
  <c r="H8" i="1" a="1"/>
  <c r="H8" i="1" s="1"/>
  <c r="O4" i="1" a="1"/>
  <c r="O4" i="1" s="1"/>
  <c r="H7" i="1" a="1"/>
  <c r="H7" i="1" s="1"/>
  <c r="N4" i="1" l="1" a="1"/>
  <c r="N4" i="1" s="1"/>
  <c r="I13" i="1"/>
  <c r="J13" i="1"/>
  <c r="P25" i="1"/>
  <c r="P23" i="1"/>
  <c r="H3" i="1" a="1"/>
  <c r="H3" i="1" s="1"/>
  <c r="J9" i="1"/>
  <c r="I9" i="1"/>
  <c r="J17" i="1"/>
  <c r="I17" i="1"/>
  <c r="O23" i="1"/>
  <c r="O25" i="1"/>
  <c r="Q25" i="1"/>
  <c r="Q23" i="1"/>
  <c r="F54" i="2" a="1"/>
  <c r="F54" i="2" s="1"/>
  <c r="F61" i="2" a="1"/>
  <c r="F61" i="2" s="1"/>
  <c r="F52" i="2" a="1"/>
  <c r="F52" i="2" s="1"/>
  <c r="F59" i="2" a="1"/>
  <c r="F59" i="2" s="1"/>
  <c r="F64" i="2" a="1"/>
  <c r="F64" i="2" s="1"/>
  <c r="F51" i="2" a="1"/>
  <c r="F51" i="2" s="1"/>
  <c r="F65" i="2" a="1"/>
  <c r="F65" i="2" s="1"/>
  <c r="F55" i="2" a="1"/>
  <c r="F55" i="2" s="1"/>
  <c r="F67" i="2" a="1"/>
  <c r="F67" i="2" s="1"/>
  <c r="F63" i="2" a="1"/>
  <c r="F63" i="2" s="1"/>
  <c r="F53" i="2" a="1"/>
  <c r="F53" i="2" s="1"/>
  <c r="F58" i="2" a="1"/>
  <c r="F58" i="2" s="1"/>
  <c r="F57" i="2" a="1"/>
  <c r="F57" i="2" s="1"/>
  <c r="F62" i="2" a="1"/>
  <c r="F62" i="2" s="1"/>
  <c r="F50" i="2" a="1"/>
  <c r="F50" i="2" s="1"/>
  <c r="F56" i="2" a="1"/>
  <c r="F56" i="2" s="1"/>
  <c r="F66" i="2" a="1"/>
  <c r="F66" i="2" s="1"/>
  <c r="F60" i="2" a="1"/>
  <c r="F60" i="2" s="1"/>
  <c r="J5" i="1" l="1"/>
  <c r="I5" i="1"/>
  <c r="N25" i="1"/>
  <c r="N23" i="1"/>
  <c r="K2" i="1" l="1" a="1"/>
  <c r="K2" i="1" s="1"/>
  <c r="K5" i="1" a="1"/>
  <c r="K5" i="1" s="1"/>
  <c r="K26" i="1" a="1"/>
  <c r="K26" i="1" s="1"/>
  <c r="K17" i="1" a="1"/>
  <c r="K17" i="1" s="1"/>
  <c r="K19" i="1" a="1"/>
  <c r="K19" i="1" s="1"/>
  <c r="K3" i="1" a="1"/>
  <c r="K3" i="1" s="1"/>
  <c r="K20" i="1" a="1"/>
  <c r="K20" i="1" s="1"/>
  <c r="K11" i="1" a="1"/>
  <c r="K11" i="1" s="1"/>
  <c r="K15" i="1" a="1"/>
  <c r="K15" i="1" s="1"/>
  <c r="K22" i="1" a="1"/>
  <c r="K22" i="1" s="1"/>
  <c r="K16" i="1" a="1"/>
  <c r="K16" i="1" s="1"/>
  <c r="K18" i="1" a="1"/>
  <c r="K18" i="1" s="1"/>
  <c r="K9" i="1" a="1"/>
  <c r="K9" i="1" s="1"/>
  <c r="K8" i="1" a="1"/>
  <c r="K8" i="1" s="1"/>
  <c r="K25" i="1" a="1"/>
  <c r="K25" i="1" s="1"/>
  <c r="K12" i="1" a="1"/>
  <c r="K12" i="1" s="1"/>
  <c r="K14" i="1" a="1"/>
  <c r="K14" i="1" s="1"/>
  <c r="K7" i="1" a="1"/>
  <c r="K7" i="1" s="1"/>
  <c r="K6" i="1" a="1"/>
  <c r="K6" i="1" s="1"/>
  <c r="K27" i="1" a="1"/>
  <c r="K27" i="1" s="1"/>
  <c r="K10" i="1" a="1"/>
  <c r="K10" i="1" s="1"/>
  <c r="K24" i="1" a="1"/>
  <c r="K24" i="1" s="1"/>
  <c r="K23" i="1" a="1"/>
  <c r="K23" i="1" s="1"/>
  <c r="K21" i="1" a="1"/>
  <c r="K21" i="1" s="1"/>
  <c r="K4" i="1" a="1"/>
  <c r="K4" i="1" s="1"/>
  <c r="K13" i="1" a="1"/>
  <c r="K13" i="1" s="1"/>
  <c r="L27" i="1" a="1"/>
  <c r="L27" i="1" s="1"/>
  <c r="L26" i="1" a="1"/>
  <c r="L26" i="1" s="1"/>
  <c r="L32" i="1" a="1"/>
  <c r="L32" i="1" s="1"/>
  <c r="L28" i="1" a="1"/>
  <c r="L28" i="1" s="1"/>
  <c r="L23" i="1" a="1"/>
  <c r="L23" i="1" s="1"/>
  <c r="L17" i="1" a="1"/>
  <c r="L17" i="1" s="1"/>
  <c r="L11" i="1" a="1"/>
  <c r="L11" i="1" s="1"/>
  <c r="L4" i="1" a="1"/>
  <c r="L4" i="1" s="1"/>
  <c r="L16" i="1" a="1"/>
  <c r="L16" i="1" s="1"/>
  <c r="L7" i="1" a="1"/>
  <c r="L7" i="1" s="1"/>
  <c r="L3" i="1" a="1"/>
  <c r="L3" i="1" s="1"/>
  <c r="L30" i="1" a="1"/>
  <c r="L30" i="1" s="1"/>
  <c r="L25" i="1" a="1"/>
  <c r="L25" i="1" s="1"/>
  <c r="L24" i="1" a="1"/>
  <c r="L24" i="1" s="1"/>
  <c r="L19" i="1" a="1"/>
  <c r="L19" i="1" s="1"/>
  <c r="L6" i="1" a="1"/>
  <c r="L6" i="1" s="1"/>
  <c r="L31" i="1" a="1"/>
  <c r="L31" i="1" s="1"/>
  <c r="L9" i="1" a="1"/>
  <c r="L9" i="1" s="1"/>
  <c r="L35" i="1" a="1"/>
  <c r="L35" i="1" s="1"/>
  <c r="L29" i="1" a="1"/>
  <c r="L29" i="1" s="1"/>
  <c r="L12" i="1" a="1"/>
  <c r="L12" i="1" s="1"/>
  <c r="L8" i="1" a="1"/>
  <c r="L8" i="1" s="1"/>
  <c r="L34" i="1" a="1"/>
  <c r="L34" i="1" s="1"/>
  <c r="L22" i="1" a="1"/>
  <c r="L22" i="1" s="1"/>
  <c r="L10" i="1" a="1"/>
  <c r="L10" i="1" s="1"/>
  <c r="L2" i="1" a="1"/>
  <c r="L2" i="1" s="1"/>
  <c r="L13" i="1" a="1"/>
  <c r="L13" i="1" s="1"/>
  <c r="L20" i="1" a="1"/>
  <c r="L20" i="1" s="1"/>
  <c r="L18" i="1" a="1"/>
  <c r="L18" i="1" s="1"/>
  <c r="L14" i="1" a="1"/>
  <c r="L14" i="1" s="1"/>
  <c r="L5" i="1" a="1"/>
  <c r="L5" i="1" s="1"/>
  <c r="L33" i="1" a="1"/>
  <c r="L33" i="1" s="1"/>
  <c r="L15" i="1" a="1"/>
  <c r="L15" i="1" s="1"/>
  <c r="L21" i="1" a="1"/>
  <c r="L21" i="1" s="1"/>
</calcChain>
</file>

<file path=xl/sharedStrings.xml><?xml version="1.0" encoding="utf-8"?>
<sst xmlns="http://schemas.openxmlformats.org/spreadsheetml/2006/main" count="272" uniqueCount="110">
  <si>
    <t>Treatment</t>
  </si>
  <si>
    <t>Dilution</t>
  </si>
  <si>
    <t>Average CFU/ld</t>
  </si>
  <si>
    <t>Std Dev</t>
  </si>
  <si>
    <t>10^-4</t>
  </si>
  <si>
    <t>10^-5</t>
  </si>
  <si>
    <t>10^-3</t>
  </si>
  <si>
    <t>TMTC</t>
  </si>
  <si>
    <t>Technical Replicate 1</t>
  </si>
  <si>
    <t>Technical Replicate 2</t>
  </si>
  <si>
    <t>Biological Replicate</t>
  </si>
  <si>
    <t>CFU/ld</t>
  </si>
  <si>
    <t>Treatment Average</t>
  </si>
  <si>
    <t>Treatment Stdev</t>
  </si>
  <si>
    <t>Stdev</t>
  </si>
  <si>
    <t>Individual Plant average</t>
  </si>
  <si>
    <t>Individual stdev</t>
  </si>
  <si>
    <t>Condensing Blanks down formula (Below)</t>
  </si>
  <si>
    <t>Good Reps</t>
  </si>
  <si>
    <t>Plant 1</t>
  </si>
  <si>
    <t>Plant 2</t>
  </si>
  <si>
    <t>Plant 3</t>
  </si>
  <si>
    <t>Plant 4</t>
  </si>
  <si>
    <t>Plant 5</t>
  </si>
  <si>
    <t>Plant 6</t>
  </si>
  <si>
    <t>Plant 7</t>
  </si>
  <si>
    <t>Plant 8</t>
  </si>
  <si>
    <t>Plant 9</t>
  </si>
  <si>
    <t>Plant 10</t>
  </si>
  <si>
    <t>Plant 11</t>
  </si>
  <si>
    <t>Plant 12</t>
  </si>
  <si>
    <t>Plant 13</t>
  </si>
  <si>
    <t>Plant 14</t>
  </si>
  <si>
    <t>Plant 15</t>
  </si>
  <si>
    <t>Plant 16</t>
  </si>
  <si>
    <t>Plant 17</t>
  </si>
  <si>
    <t>Plant 18</t>
  </si>
  <si>
    <t>Plant 19</t>
  </si>
  <si>
    <t>Plant 20</t>
  </si>
  <si>
    <t>Plants</t>
  </si>
  <si>
    <t>Averages</t>
  </si>
  <si>
    <t>Averages Cut</t>
  </si>
  <si>
    <t>Stdev Cut</t>
  </si>
  <si>
    <t>Treatment 1</t>
  </si>
  <si>
    <t>Treatment 2</t>
  </si>
  <si>
    <t>Treatment 3</t>
  </si>
  <si>
    <t>Treatment 4</t>
  </si>
  <si>
    <t>Treatment 5</t>
  </si>
  <si>
    <t>Treatment 6</t>
  </si>
  <si>
    <t>Treatment 7</t>
  </si>
  <si>
    <t>Treatment 8</t>
  </si>
  <si>
    <t>AVG T1</t>
  </si>
  <si>
    <t>AVG T2</t>
  </si>
  <si>
    <t>AVGT3</t>
  </si>
  <si>
    <t>AVG T4</t>
  </si>
  <si>
    <t>AVG T5</t>
  </si>
  <si>
    <t>AVG T6</t>
  </si>
  <si>
    <t>AVG T7</t>
  </si>
  <si>
    <t>AVG T8</t>
  </si>
  <si>
    <t>STDEV T1</t>
  </si>
  <si>
    <t>STDEV T2</t>
  </si>
  <si>
    <t>STDEV T3</t>
  </si>
  <si>
    <t>STDEV T4</t>
  </si>
  <si>
    <t>STDEV T5</t>
  </si>
  <si>
    <t>STDEV T6</t>
  </si>
  <si>
    <t>STDEV T8</t>
  </si>
  <si>
    <t>STDEV T7</t>
  </si>
  <si>
    <t>Mock Flg22</t>
  </si>
  <si>
    <t>Flg22</t>
  </si>
  <si>
    <t>Mock Chitosan</t>
  </si>
  <si>
    <t>Chitosan</t>
  </si>
  <si>
    <t>Plant lower</t>
  </si>
  <si>
    <t>Plant higher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</si>
  <si>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</si>
  <si>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</si>
  <si>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</si>
  <si>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</si>
  <si>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</si>
  <si>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</si>
  <si>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</si>
  <si>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</si>
  <si>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</si>
  <si>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</si>
  <si>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MF-F P value:</t>
  </si>
  <si>
    <t>Col-0</t>
  </si>
  <si>
    <t>efr1</t>
  </si>
  <si>
    <t>bik1</t>
  </si>
  <si>
    <t>Col-0 vs efr1</t>
  </si>
  <si>
    <t>Col-0 vs bik1</t>
  </si>
  <si>
    <t>bak1</t>
  </si>
  <si>
    <t>Treatment 9</t>
  </si>
  <si>
    <t>Treatment 10</t>
  </si>
  <si>
    <t>AVG T9</t>
  </si>
  <si>
    <t>AVG T10</t>
  </si>
  <si>
    <t>STDEV T9</t>
  </si>
  <si>
    <t>STDEV T10</t>
  </si>
  <si>
    <t>Col-0 Young</t>
  </si>
  <si>
    <t>efr1 young</t>
  </si>
  <si>
    <t>t-Test: Two-Sample Assuming Unequal Variances</t>
  </si>
  <si>
    <t>Variable 1</t>
  </si>
  <si>
    <t>Variable 2</t>
  </si>
  <si>
    <t>fls2 young</t>
  </si>
  <si>
    <t>bak1 Mature</t>
  </si>
  <si>
    <t>bik1 Mature</t>
  </si>
  <si>
    <t>efr1 Mature</t>
  </si>
  <si>
    <t>fls2 Mature</t>
  </si>
  <si>
    <t>Sid2-2 Young</t>
  </si>
  <si>
    <t>Col-0 Mature</t>
  </si>
  <si>
    <t>10^-2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</si>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</sst>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1" fontId="0" fillId="0" borderId="0" xfId="0" applyNumberFormat="1"/>
    <xf numFmtId="9" fontId="0" fillId="0" borderId="0" xfId="0" applyNumberFormat="1"/>
    <xf numFmtId="11" fontId="0" fillId="0" borderId="0" xfId="0" applyNumberFormat="1" applyAlignment="1">
      <alignment wrapText="1"/>
    </xf>
    <xf numFmtId="11" fontId="0" fillId="4" borderId="0" xfId="0" applyNumberFormat="1" applyFill="1" applyAlignment="1">
      <alignment wrapText="1"/>
    </xf>
    <xf numFmtId="0" fontId="0" fillId="4" borderId="0" xfId="0" applyNumberFormat="1" applyFill="1"/>
    <xf numFmtId="49" fontId="2" fillId="0" borderId="1" xfId="0" applyNumberFormat="1" applyFont="1" applyBorder="1" applyAlignment="1" applyProtection="1">
      <alignment wrapText="1"/>
    </xf>
    <xf numFmtId="1" fontId="2" fillId="0" borderId="11" xfId="0" applyNumberFormat="1" applyFont="1" applyBorder="1" applyAlignment="1" applyProtection="1">
      <alignment horizontal="center" wrapText="1"/>
    </xf>
    <xf numFmtId="1" fontId="2" fillId="0" borderId="2" xfId="0" applyNumberFormat="1" applyFont="1" applyBorder="1" applyProtection="1"/>
    <xf numFmtId="11" fontId="2" fillId="0" borderId="13" xfId="0" applyNumberFormat="1" applyFont="1" applyBorder="1" applyProtection="1"/>
    <xf numFmtId="11" fontId="2" fillId="0" borderId="2" xfId="0" applyNumberFormat="1" applyFont="1" applyFill="1" applyBorder="1" applyProtection="1"/>
    <xf numFmtId="11" fontId="2" fillId="0" borderId="11" xfId="0" applyNumberFormat="1" applyFont="1" applyBorder="1" applyProtection="1"/>
    <xf numFmtId="0" fontId="2" fillId="0" borderId="3" xfId="0" applyFont="1" applyBorder="1" applyProtection="1"/>
    <xf numFmtId="11" fontId="3" fillId="0" borderId="0" xfId="0" applyNumberFormat="1" applyFont="1"/>
    <xf numFmtId="0" fontId="3" fillId="0" borderId="0" xfId="0" applyFont="1"/>
    <xf numFmtId="1" fontId="3" fillId="0" borderId="4" xfId="0" applyNumberFormat="1" applyFont="1" applyBorder="1" applyProtection="1"/>
    <xf numFmtId="1" fontId="3" fillId="0" borderId="4" xfId="0" applyNumberFormat="1" applyFont="1" applyFill="1" applyBorder="1" applyProtection="1"/>
    <xf numFmtId="11" fontId="3" fillId="2" borderId="14" xfId="0" applyNumberFormat="1" applyFont="1" applyFill="1" applyBorder="1" applyProtection="1"/>
    <xf numFmtId="11" fontId="3" fillId="0" borderId="24" xfId="0" applyNumberFormat="1" applyFont="1" applyBorder="1" applyAlignment="1" applyProtection="1"/>
    <xf numFmtId="1" fontId="3" fillId="0" borderId="5" xfId="0" applyNumberFormat="1" applyFont="1" applyBorder="1" applyProtection="1"/>
    <xf numFmtId="1" fontId="3" fillId="0" borderId="5" xfId="0" applyNumberFormat="1" applyFont="1" applyFill="1" applyBorder="1" applyProtection="1"/>
    <xf numFmtId="11" fontId="3" fillId="2" borderId="16" xfId="0" applyNumberFormat="1" applyFont="1" applyFill="1" applyBorder="1" applyProtection="1"/>
    <xf numFmtId="1" fontId="3" fillId="0" borderId="23" xfId="0" applyNumberFormat="1" applyFont="1" applyBorder="1" applyProtection="1"/>
    <xf numFmtId="1" fontId="3" fillId="0" borderId="23" xfId="0" applyNumberFormat="1" applyFont="1" applyFill="1" applyBorder="1" applyProtection="1"/>
    <xf numFmtId="11" fontId="3" fillId="2" borderId="15" xfId="0" applyNumberFormat="1" applyFont="1" applyFill="1" applyBorder="1" applyProtection="1"/>
    <xf numFmtId="11" fontId="3" fillId="0" borderId="7" xfId="0" applyNumberFormat="1" applyFont="1" applyFill="1" applyBorder="1" applyAlignment="1" applyProtection="1"/>
    <xf numFmtId="11" fontId="3" fillId="0" borderId="7" xfId="0" applyNumberFormat="1" applyFont="1" applyBorder="1" applyAlignment="1" applyProtection="1">
      <alignment horizontal="center" wrapText="1"/>
    </xf>
    <xf numFmtId="11" fontId="3" fillId="0" borderId="7" xfId="0" applyNumberFormat="1" applyFont="1" applyBorder="1" applyAlignment="1" applyProtection="1">
      <alignment wrapText="1"/>
    </xf>
    <xf numFmtId="0" fontId="4" fillId="0" borderId="1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9" xfId="0" applyFont="1" applyFill="1" applyBorder="1" applyAlignment="1"/>
    <xf numFmtId="1" fontId="3" fillId="5" borderId="4" xfId="0" applyNumberFormat="1" applyFont="1" applyFill="1" applyBorder="1" applyProtection="1"/>
    <xf numFmtId="1" fontId="3" fillId="5" borderId="5" xfId="0" applyNumberFormat="1" applyFont="1" applyFill="1" applyBorder="1" applyProtection="1"/>
    <xf numFmtId="1" fontId="3" fillId="5" borderId="23" xfId="0" applyNumberFormat="1" applyFont="1" applyFill="1" applyBorder="1" applyProtection="1"/>
    <xf numFmtId="1" fontId="3" fillId="3" borderId="4" xfId="0" applyNumberFormat="1" applyFont="1" applyFill="1" applyBorder="1" applyProtection="1"/>
    <xf numFmtId="11" fontId="3" fillId="0" borderId="0" xfId="0" applyNumberFormat="1" applyFont="1" applyBorder="1" applyAlignment="1" applyProtection="1">
      <alignment wrapText="1"/>
    </xf>
    <xf numFmtId="11" fontId="3" fillId="0" borderId="0" xfId="0" applyNumberFormat="1" applyFont="1" applyBorder="1" applyAlignment="1" applyProtection="1">
      <alignment horizontal="center" wrapText="1"/>
    </xf>
    <xf numFmtId="49" fontId="3" fillId="0" borderId="0" xfId="0" applyNumberFormat="1" applyFont="1" applyAlignment="1">
      <alignment wrapText="1"/>
    </xf>
    <xf numFmtId="1" fontId="3" fillId="0" borderId="0" xfId="0" applyNumberFormat="1" applyFont="1" applyAlignment="1">
      <alignment horizontal="center" wrapText="1"/>
    </xf>
    <xf numFmtId="1" fontId="3" fillId="0" borderId="0" xfId="0" applyNumberFormat="1" applyFont="1"/>
    <xf numFmtId="11" fontId="2" fillId="0" borderId="0" xfId="0" applyNumberFormat="1" applyFont="1" applyBorder="1" applyProtection="1"/>
    <xf numFmtId="11" fontId="3" fillId="0" borderId="0" xfId="0" applyNumberFormat="1" applyFont="1" applyBorder="1" applyAlignment="1" applyProtection="1"/>
    <xf numFmtId="11" fontId="3" fillId="0" borderId="24" xfId="0" applyNumberFormat="1" applyFont="1" applyFill="1" applyBorder="1" applyAlignment="1" applyProtection="1"/>
    <xf numFmtId="0" fontId="2" fillId="0" borderId="24" xfId="0" applyNumberFormat="1" applyFont="1" applyFill="1" applyBorder="1" applyProtection="1"/>
    <xf numFmtId="0" fontId="3" fillId="0" borderId="26" xfId="0" applyNumberFormat="1" applyFont="1" applyFill="1" applyBorder="1"/>
    <xf numFmtId="0" fontId="3" fillId="0" borderId="5" xfId="0" applyNumberFormat="1" applyFont="1" applyFill="1" applyBorder="1"/>
    <xf numFmtId="0" fontId="3" fillId="0" borderId="0" xfId="0" applyNumberFormat="1" applyFont="1" applyFill="1" applyBorder="1" applyAlignment="1" applyProtection="1"/>
    <xf numFmtId="1" fontId="3" fillId="0" borderId="29" xfId="0" applyNumberFormat="1" applyFont="1" applyBorder="1" applyProtection="1"/>
    <xf numFmtId="1" fontId="3" fillId="0" borderId="29" xfId="0" applyNumberFormat="1" applyFont="1" applyFill="1" applyBorder="1" applyProtection="1"/>
    <xf numFmtId="11" fontId="3" fillId="2" borderId="30" xfId="0" applyNumberFormat="1" applyFont="1" applyFill="1" applyBorder="1" applyProtection="1"/>
    <xf numFmtId="11" fontId="3" fillId="2" borderId="32" xfId="0" applyNumberFormat="1" applyFont="1" applyFill="1" applyBorder="1" applyProtection="1"/>
    <xf numFmtId="11" fontId="3" fillId="2" borderId="33" xfId="0" applyNumberFormat="1" applyFont="1" applyFill="1" applyBorder="1" applyProtection="1"/>
    <xf numFmtId="11" fontId="3" fillId="2" borderId="34" xfId="0" applyNumberFormat="1" applyFont="1" applyFill="1" applyBorder="1" applyProtection="1"/>
    <xf numFmtId="1" fontId="3" fillId="0" borderId="37" xfId="0" applyNumberFormat="1" applyFont="1" applyBorder="1" applyProtection="1"/>
    <xf numFmtId="1" fontId="3" fillId="0" borderId="37" xfId="0" applyNumberFormat="1" applyFont="1" applyFill="1" applyBorder="1" applyProtection="1"/>
    <xf numFmtId="11" fontId="3" fillId="2" borderId="38" xfId="0" applyNumberFormat="1" applyFont="1" applyFill="1" applyBorder="1" applyProtection="1"/>
    <xf numFmtId="1" fontId="3" fillId="3" borderId="29" xfId="0" applyNumberFormat="1" applyFont="1" applyFill="1" applyBorder="1" applyProtection="1"/>
    <xf numFmtId="11" fontId="0" fillId="0" borderId="25" xfId="0" quotePrefix="1" applyNumberFormat="1" applyFont="1" applyBorder="1" applyAlignment="1" applyProtection="1"/>
    <xf numFmtId="11" fontId="3" fillId="0" borderId="25" xfId="0" quotePrefix="1" applyNumberFormat="1" applyFont="1" applyBorder="1" applyAlignment="1" applyProtection="1"/>
    <xf numFmtId="11" fontId="3" fillId="0" borderId="25" xfId="0" quotePrefix="1" applyNumberFormat="1" applyFont="1" applyFill="1" applyBorder="1" applyAlignment="1" applyProtection="1"/>
    <xf numFmtId="11" fontId="3" fillId="0" borderId="25" xfId="0" applyNumberFormat="1" applyFont="1" applyBorder="1" applyAlignment="1" applyProtection="1">
      <alignment wrapText="1"/>
    </xf>
    <xf numFmtId="11" fontId="3" fillId="0" borderId="7" xfId="0" quotePrefix="1" applyNumberFormat="1" applyFont="1" applyBorder="1" applyAlignment="1" applyProtection="1"/>
    <xf numFmtId="11" fontId="3" fillId="0" borderId="0" xfId="0" applyNumberFormat="1" applyFont="1" applyFill="1"/>
    <xf numFmtId="11" fontId="3" fillId="0" borderId="8" xfId="0" applyNumberFormat="1" applyFont="1" applyBorder="1" applyAlignment="1" applyProtection="1">
      <alignment wrapText="1"/>
    </xf>
    <xf numFmtId="11" fontId="3" fillId="0" borderId="39" xfId="0" applyNumberFormat="1" applyFont="1" applyBorder="1" applyAlignment="1" applyProtection="1"/>
    <xf numFmtId="11" fontId="3" fillId="0" borderId="9" xfId="0" applyNumberFormat="1" applyFont="1" applyBorder="1"/>
    <xf numFmtId="11" fontId="1" fillId="0" borderId="0" xfId="0" applyNumberFormat="1" applyFont="1"/>
    <xf numFmtId="11" fontId="1" fillId="0" borderId="7" xfId="0" applyNumberFormat="1" applyFont="1" applyBorder="1" applyAlignment="1" applyProtection="1"/>
    <xf numFmtId="11" fontId="1" fillId="0" borderId="24" xfId="0" applyNumberFormat="1" applyFont="1" applyBorder="1" applyAlignment="1" applyProtection="1"/>
    <xf numFmtId="11" fontId="2" fillId="0" borderId="0" xfId="0" applyNumberFormat="1" applyFont="1" applyFill="1" applyBorder="1" applyAlignment="1" applyProtection="1">
      <alignment wrapText="1"/>
    </xf>
    <xf numFmtId="11" fontId="1" fillId="0" borderId="0" xfId="0" applyNumberFormat="1" applyFont="1" applyFill="1" applyBorder="1" applyAlignment="1" applyProtection="1">
      <alignment wrapText="1"/>
    </xf>
    <xf numFmtId="11" fontId="1" fillId="0" borderId="0" xfId="0" applyNumberFormat="1" applyFont="1" applyFill="1"/>
    <xf numFmtId="11" fontId="1" fillId="0" borderId="7" xfId="0" applyNumberFormat="1" applyFont="1" applyFill="1" applyBorder="1" applyAlignment="1" applyProtection="1"/>
    <xf numFmtId="11" fontId="4" fillId="0" borderId="10" xfId="0" applyNumberFormat="1" applyFont="1" applyFill="1" applyBorder="1" applyAlignment="1">
      <alignment horizontal="center"/>
    </xf>
    <xf numFmtId="11" fontId="3" fillId="0" borderId="0" xfId="0" applyNumberFormat="1" applyFont="1" applyFill="1" applyBorder="1" applyAlignment="1"/>
    <xf numFmtId="11" fontId="3" fillId="0" borderId="9" xfId="0" applyNumberFormat="1" applyFont="1" applyFill="1" applyBorder="1" applyAlignment="1"/>
    <xf numFmtId="11" fontId="3" fillId="0" borderId="0" xfId="0" applyNumberFormat="1" applyFont="1" applyAlignment="1">
      <alignment wrapText="1"/>
    </xf>
    <xf numFmtId="49" fontId="3" fillId="0" borderId="27" xfId="0" applyNumberFormat="1" applyFont="1" applyBorder="1" applyAlignment="1" applyProtection="1">
      <alignment wrapText="1"/>
    </xf>
    <xf numFmtId="49" fontId="3" fillId="0" borderId="31" xfId="0" applyNumberFormat="1" applyFont="1" applyBorder="1" applyAlignment="1" applyProtection="1">
      <alignment wrapText="1"/>
    </xf>
    <xf numFmtId="49" fontId="3" fillId="0" borderId="35" xfId="0" applyNumberFormat="1" applyFont="1" applyBorder="1" applyAlignment="1" applyProtection="1">
      <alignment wrapText="1"/>
    </xf>
    <xf numFmtId="1" fontId="3" fillId="0" borderId="28" xfId="0" applyNumberFormat="1" applyFont="1" applyBorder="1" applyAlignment="1" applyProtection="1">
      <alignment wrapText="1"/>
    </xf>
    <xf numFmtId="1" fontId="3" fillId="0" borderId="21" xfId="0" applyNumberFormat="1" applyFont="1" applyBorder="1" applyAlignment="1" applyProtection="1">
      <alignment wrapText="1"/>
    </xf>
    <xf numFmtId="1" fontId="3" fillId="0" borderId="22" xfId="0" applyNumberFormat="1" applyFont="1" applyBorder="1" applyAlignment="1" applyProtection="1">
      <alignment wrapText="1"/>
    </xf>
    <xf numFmtId="1" fontId="3" fillId="0" borderId="20" xfId="0" applyNumberFormat="1" applyFont="1" applyBorder="1" applyAlignment="1" applyProtection="1">
      <alignment wrapText="1"/>
    </xf>
    <xf numFmtId="1" fontId="3" fillId="0" borderId="36" xfId="0" applyNumberFormat="1" applyFont="1" applyBorder="1" applyAlignment="1" applyProtection="1">
      <alignment wrapText="1"/>
    </xf>
    <xf numFmtId="1" fontId="0" fillId="0" borderId="29" xfId="0" applyNumberFormat="1" applyFont="1" applyFill="1" applyBorder="1" applyProtection="1"/>
    <xf numFmtId="1" fontId="0" fillId="0" borderId="4" xfId="0" applyNumberFormat="1" applyFont="1" applyFill="1" applyBorder="1" applyProtection="1"/>
    <xf numFmtId="11" fontId="0" fillId="0" borderId="0" xfId="0" quotePrefix="1" applyNumberFormat="1" applyFont="1" applyBorder="1" applyAlignment="1" applyProtection="1"/>
    <xf numFmtId="0" fontId="3" fillId="0" borderId="0" xfId="0" applyNumberFormat="1" applyFont="1" applyAlignment="1">
      <alignment wrapText="1"/>
    </xf>
    <xf numFmtId="0" fontId="3" fillId="0" borderId="0" xfId="0" applyNumberFormat="1" applyFont="1"/>
    <xf numFmtId="0" fontId="3" fillId="0" borderId="7" xfId="0" applyNumberFormat="1" applyFont="1" applyFill="1" applyBorder="1" applyAlignment="1" applyProtection="1"/>
    <xf numFmtId="0" fontId="3" fillId="0" borderId="24" xfId="0" applyNumberFormat="1" applyFont="1" applyFill="1" applyBorder="1" applyAlignment="1" applyProtection="1"/>
    <xf numFmtId="0" fontId="0" fillId="0" borderId="0" xfId="0" applyFill="1" applyBorder="1" applyAlignment="1"/>
    <xf numFmtId="0" fontId="0" fillId="0" borderId="9" xfId="0" applyFill="1" applyBorder="1" applyAlignment="1"/>
    <xf numFmtId="1" fontId="0" fillId="0" borderId="5" xfId="0" applyNumberFormat="1" applyFont="1" applyFill="1" applyBorder="1" applyProtection="1"/>
    <xf numFmtId="1" fontId="5" fillId="0" borderId="29" xfId="0" applyNumberFormat="1" applyFont="1" applyFill="1" applyBorder="1" applyProtection="1"/>
    <xf numFmtId="1" fontId="5" fillId="0" borderId="4" xfId="0" applyNumberFormat="1" applyFont="1" applyFill="1" applyBorder="1" applyProtection="1"/>
    <xf numFmtId="0" fontId="1" fillId="0" borderId="0" xfId="0" applyFont="1" applyFill="1" applyBorder="1" applyProtection="1"/>
    <xf numFmtId="11" fontId="1" fillId="0" borderId="0" xfId="0" applyNumberFormat="1" applyFont="1" applyFill="1" applyBorder="1"/>
    <xf numFmtId="0" fontId="1" fillId="0" borderId="0" xfId="0" applyFont="1"/>
    <xf numFmtId="0" fontId="0" fillId="0" borderId="0" xfId="0" applyNumberFormat="1" applyFont="1" applyFill="1" applyBorder="1" applyAlignment="1" applyProtection="1"/>
    <xf numFmtId="1" fontId="0" fillId="0" borderId="29" xfId="0" applyNumberFormat="1" applyFont="1" applyBorder="1" applyProtection="1"/>
    <xf numFmtId="1" fontId="0" fillId="0" borderId="5" xfId="0" applyNumberFormat="1" applyFont="1" applyBorder="1" applyProtection="1"/>
    <xf numFmtId="1" fontId="0" fillId="0" borderId="23" xfId="0" applyNumberFormat="1" applyFont="1" applyBorder="1" applyProtection="1"/>
    <xf numFmtId="49" fontId="0" fillId="0" borderId="27" xfId="0" applyNumberFormat="1" applyFont="1" applyBorder="1" applyAlignment="1" applyProtection="1">
      <alignment horizontal="center" wrapText="1"/>
    </xf>
    <xf numFmtId="49" fontId="3" fillId="0" borderId="31" xfId="0" applyNumberFormat="1" applyFont="1" applyBorder="1" applyAlignment="1" applyProtection="1">
      <alignment horizontal="center" wrapText="1"/>
    </xf>
    <xf numFmtId="49" fontId="3" fillId="0" borderId="35" xfId="0" applyNumberFormat="1" applyFont="1" applyBorder="1" applyAlignment="1" applyProtection="1">
      <alignment horizontal="center" wrapText="1"/>
    </xf>
    <xf numFmtId="1" fontId="3" fillId="0" borderId="28" xfId="0" applyNumberFormat="1" applyFont="1" applyBorder="1" applyAlignment="1" applyProtection="1">
      <alignment horizontal="center" wrapText="1"/>
    </xf>
    <xf numFmtId="1" fontId="3" fillId="0" borderId="21" xfId="0" applyNumberFormat="1" applyFont="1" applyBorder="1" applyAlignment="1" applyProtection="1">
      <alignment horizontal="center" wrapText="1"/>
    </xf>
    <xf numFmtId="1" fontId="3" fillId="0" borderId="22" xfId="0" applyNumberFormat="1" applyFont="1" applyBorder="1" applyAlignment="1" applyProtection="1">
      <alignment horizontal="center" wrapText="1"/>
    </xf>
    <xf numFmtId="1" fontId="3" fillId="0" borderId="20" xfId="0" applyNumberFormat="1" applyFont="1" applyBorder="1" applyAlignment="1" applyProtection="1">
      <alignment horizontal="center" wrapText="1"/>
    </xf>
    <xf numFmtId="1" fontId="3" fillId="0" borderId="36" xfId="0" applyNumberFormat="1" applyFont="1" applyBorder="1" applyAlignment="1" applyProtection="1">
      <alignment horizontal="center" wrapText="1"/>
    </xf>
    <xf numFmtId="1" fontId="3" fillId="0" borderId="1" xfId="0" applyNumberFormat="1" applyFont="1" applyBorder="1" applyAlignment="1" applyProtection="1">
      <alignment horizontal="center" wrapText="1"/>
    </xf>
    <xf numFmtId="1" fontId="3" fillId="0" borderId="17" xfId="0" applyNumberFormat="1" applyFont="1" applyBorder="1" applyAlignment="1" applyProtection="1">
      <alignment horizontal="center" wrapText="1"/>
    </xf>
    <xf numFmtId="1" fontId="3" fillId="0" borderId="40" xfId="0" applyNumberFormat="1" applyFont="1" applyBorder="1" applyAlignment="1" applyProtection="1">
      <alignment horizontal="center" wrapText="1"/>
    </xf>
    <xf numFmtId="1" fontId="3" fillId="0" borderId="12" xfId="0" applyNumberFormat="1" applyFont="1" applyBorder="1" applyAlignment="1" applyProtection="1">
      <alignment horizontal="center" wrapText="1"/>
    </xf>
    <xf numFmtId="1" fontId="3" fillId="0" borderId="41" xfId="0" applyNumberFormat="1" applyFont="1" applyBorder="1" applyAlignment="1" applyProtection="1">
      <alignment horizontal="center" wrapText="1"/>
    </xf>
    <xf numFmtId="11" fontId="3" fillId="0" borderId="2" xfId="0" applyNumberFormat="1" applyFont="1" applyBorder="1" applyAlignment="1" applyProtection="1">
      <alignment horizontal="center"/>
    </xf>
    <xf numFmtId="11" fontId="3" fillId="0" borderId="18" xfId="0" applyNumberFormat="1" applyFont="1" applyBorder="1" applyAlignment="1" applyProtection="1">
      <alignment horizontal="center"/>
    </xf>
    <xf numFmtId="11" fontId="3" fillId="0" borderId="19" xfId="0" applyNumberFormat="1" applyFont="1" applyBorder="1" applyAlignment="1" applyProtection="1">
      <alignment horizontal="center"/>
    </xf>
    <xf numFmtId="11" fontId="3" fillId="0" borderId="1" xfId="0" applyNumberFormat="1" applyFont="1" applyFill="1" applyBorder="1" applyAlignment="1" applyProtection="1">
      <alignment horizontal="center"/>
    </xf>
    <xf numFmtId="11" fontId="3" fillId="0" borderId="17" xfId="0" applyNumberFormat="1" applyFont="1" applyFill="1" applyBorder="1" applyAlignment="1" applyProtection="1">
      <alignment horizontal="center"/>
    </xf>
    <xf numFmtId="11" fontId="3" fillId="0" borderId="12" xfId="0" applyNumberFormat="1" applyFont="1" applyFill="1" applyBorder="1" applyAlignment="1" applyProtection="1">
      <alignment horizontal="center"/>
    </xf>
    <xf numFmtId="49" fontId="3" fillId="0" borderId="6" xfId="0" applyNumberFormat="1" applyFont="1" applyBorder="1" applyAlignment="1" applyProtection="1">
      <alignment horizontal="center" wrapText="1"/>
    </xf>
    <xf numFmtId="49" fontId="3" fillId="0" borderId="7" xfId="0" applyNumberFormat="1" applyFont="1" applyBorder="1" applyAlignment="1" applyProtection="1">
      <alignment horizontal="center" wrapText="1"/>
    </xf>
    <xf numFmtId="49" fontId="3" fillId="0" borderId="8" xfId="0" applyNumberFormat="1" applyFont="1" applyBorder="1" applyAlignment="1" applyProtection="1">
      <alignment horizontal="center" wrapText="1"/>
    </xf>
    <xf numFmtId="11" fontId="3" fillId="0" borderId="20" xfId="0" applyNumberFormat="1" applyFont="1" applyFill="1" applyBorder="1" applyAlignment="1" applyProtection="1">
      <alignment horizontal="center"/>
    </xf>
    <xf numFmtId="11" fontId="3" fillId="0" borderId="21" xfId="0" applyNumberFormat="1" applyFont="1" applyFill="1" applyBorder="1" applyAlignment="1" applyProtection="1">
      <alignment horizontal="center"/>
    </xf>
    <xf numFmtId="11" fontId="3" fillId="0" borderId="22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Graph!$D$2:$D$5</c:f>
              <c:strCache>
                <c:ptCount val="4"/>
                <c:pt idx="0">
                  <c:v>Col-0</c:v>
                </c:pt>
                <c:pt idx="1">
                  <c:v>efr1</c:v>
                </c:pt>
                <c:pt idx="2">
                  <c:v>bik1</c:v>
                </c:pt>
                <c:pt idx="3">
                  <c:v>bak1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6DAB-40DA-B10F-3E691D09437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503-4F6E-9564-6520D2DE72A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7EC-45A4-9961-6E5F8EAA5118}"/>
              </c:ext>
            </c:extLst>
          </c:dPt>
          <c:errBars>
            <c:errBarType val="both"/>
            <c:errValType val="cust"/>
            <c:noEndCap val="0"/>
            <c:plus>
              <c:numRef>
                <c:f>Graph!$F$2:$F$5</c:f>
                <c:numCache>
                  <c:formatCode>General</c:formatCode>
                  <c:ptCount val="4"/>
                  <c:pt idx="0">
                    <c:v>233268.22008151904</c:v>
                  </c:pt>
                  <c:pt idx="1">
                    <c:v>48546.584157212688</c:v>
                  </c:pt>
                  <c:pt idx="2">
                    <c:v>115300.78418351426</c:v>
                  </c:pt>
                  <c:pt idx="3">
                    <c:v>124111.42507172065</c:v>
                  </c:pt>
                </c:numCache>
              </c:numRef>
            </c:plus>
            <c:minus>
              <c:numRef>
                <c:f>Graph!$F$2:$F$5</c:f>
                <c:numCache>
                  <c:formatCode>General</c:formatCode>
                  <c:ptCount val="4"/>
                  <c:pt idx="0">
                    <c:v>233268.22008151904</c:v>
                  </c:pt>
                  <c:pt idx="1">
                    <c:v>48546.584157212688</c:v>
                  </c:pt>
                  <c:pt idx="2">
                    <c:v>115300.78418351426</c:v>
                  </c:pt>
                  <c:pt idx="3">
                    <c:v>124111.42507172065</c:v>
                  </c:pt>
                </c:numCache>
              </c:numRef>
            </c:minus>
            <c:spPr>
              <a:ln>
                <a:solidFill>
                  <a:schemeClr val="bg1">
                    <a:lumMod val="50000"/>
                  </a:schemeClr>
                </a:solidFill>
              </a:ln>
            </c:spPr>
          </c:errBars>
          <c:cat>
            <c:strRef>
              <c:f>Graph!$D$2:$D$5</c:f>
              <c:strCache>
                <c:ptCount val="4"/>
                <c:pt idx="0">
                  <c:v>Col-0</c:v>
                </c:pt>
                <c:pt idx="1">
                  <c:v>efr1</c:v>
                </c:pt>
                <c:pt idx="2">
                  <c:v>bik1</c:v>
                </c:pt>
                <c:pt idx="3">
                  <c:v>bak1</c:v>
                </c:pt>
              </c:strCache>
            </c:strRef>
          </c:cat>
          <c:val>
            <c:numRef>
              <c:f>Graph!$E$2:$E$5</c:f>
              <c:numCache>
                <c:formatCode>0.00E+00</c:formatCode>
                <c:ptCount val="4"/>
                <c:pt idx="0">
                  <c:v>237500</c:v>
                </c:pt>
                <c:pt idx="1">
                  <c:v>89583.333333333328</c:v>
                </c:pt>
                <c:pt idx="2">
                  <c:v>116666.66666666667</c:v>
                </c:pt>
                <c:pt idx="3">
                  <c:v>222916.66666666666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B-40DA-B10F-3E691D094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149960"/>
        <c:axId val="152150288"/>
      </c:barChart>
      <c:catAx>
        <c:axId val="15214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0288"/>
        <c:crosses val="autoZero"/>
        <c:auto val="1"/>
        <c:lblAlgn val="ctr"/>
        <c:lblOffset val="100"/>
        <c:noMultiLvlLbl val="0"/>
      </c:catAx>
      <c:valAx>
        <c:axId val="152150288"/>
        <c:scaling>
          <c:logBase val="10"/>
          <c:orientation val="minMax"/>
          <c:min val="1000"/>
        </c:scaling>
        <c:delete val="0"/>
        <c:axPos val="l"/>
        <c:numFmt formatCode="0E+00" sourceLinked="0"/>
        <c:majorTickMark val="none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99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DB8-416F-9CF9-A637B818AF76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B8-416F-9CF9-A637B818AF76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06F-48C4-8E92-13AEC574AD85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06F-48C4-8E92-13AEC574AD85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22-49A2-B6D5-E8948795BD5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A22-49A2-B6D5-E8948795BD5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DB8-416F-9CF9-A637B818AF76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B8-416F-9CF9-A637B818AF76}"/>
              </c:ext>
            </c:extLst>
          </c:dPt>
          <c:errBars>
            <c:errBarType val="both"/>
            <c:errValType val="cust"/>
            <c:noEndCap val="0"/>
            <c:plus>
              <c:numRef>
                <c:f>Graph!$C$2:$C$21</c:f>
                <c:numCache>
                  <c:formatCode>General</c:formatCode>
                  <c:ptCount val="20"/>
                  <c:pt idx="0">
                    <c:v>505181.4855409225</c:v>
                  </c:pt>
                  <c:pt idx="1">
                    <c:v>726291.95231669745</c:v>
                  </c:pt>
                  <c:pt idx="2">
                    <c:v>437500</c:v>
                  </c:pt>
                  <c:pt idx="3">
                    <c:v>1429324.578253659</c:v>
                  </c:pt>
                </c:numCache>
              </c:numRef>
            </c:plus>
            <c:minus>
              <c:numRef>
                <c:f>Graph!$C$2:$C$21</c:f>
                <c:numCache>
                  <c:formatCode>General</c:formatCode>
                  <c:ptCount val="20"/>
                  <c:pt idx="0">
                    <c:v>505181.4855409225</c:v>
                  </c:pt>
                  <c:pt idx="1">
                    <c:v>726291.95231669745</c:v>
                  </c:pt>
                  <c:pt idx="2">
                    <c:v>437500</c:v>
                  </c:pt>
                  <c:pt idx="3">
                    <c:v>1429324.578253659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Graph!$A$2:$A$21</c:f>
              <c:strCache>
                <c:ptCount val="4"/>
                <c:pt idx="0">
                  <c:v>Mock Flg22</c:v>
                </c:pt>
                <c:pt idx="1">
                  <c:v>Flg22</c:v>
                </c:pt>
                <c:pt idx="2">
                  <c:v>Mock Chitosan</c:v>
                </c:pt>
                <c:pt idx="3">
                  <c:v>Chitosan</c:v>
                </c:pt>
              </c:strCache>
            </c:strRef>
          </c:cat>
          <c:val>
            <c:numRef>
              <c:f>Graph!$B$2:$B$21</c:f>
              <c:numCache>
                <c:formatCode>0.00E+00</c:formatCode>
                <c:ptCount val="20"/>
                <c:pt idx="0">
                  <c:v>4166666.6666666665</c:v>
                </c:pt>
                <c:pt idx="1">
                  <c:v>1125000</c:v>
                </c:pt>
                <c:pt idx="2">
                  <c:v>6125000</c:v>
                </c:pt>
                <c:pt idx="3">
                  <c:v>5812500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Treatment</c:v>
                </c15:tx>
              </c15:filteredSeriesTitle>
            </c:ext>
            <c:ext xmlns:c16="http://schemas.microsoft.com/office/drawing/2014/chart" uri="{C3380CC4-5D6E-409C-BE32-E72D297353CC}">
              <c16:uniqueId val="{00000000-ADB8-416F-9CF9-A637B818A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149960"/>
        <c:axId val="152150288"/>
      </c:barChart>
      <c:catAx>
        <c:axId val="15214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0288"/>
        <c:crosses val="autoZero"/>
        <c:auto val="1"/>
        <c:lblAlgn val="ctr"/>
        <c:lblOffset val="100"/>
        <c:noMultiLvlLbl val="0"/>
      </c:catAx>
      <c:valAx>
        <c:axId val="152150288"/>
        <c:scaling>
          <c:logBase val="10"/>
          <c:orientation val="minMax"/>
          <c:min val="10000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9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1</xdr:row>
      <xdr:rowOff>76200</xdr:rowOff>
    </xdr:from>
    <xdr:to>
      <xdr:col>16</xdr:col>
      <xdr:colOff>266700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AA137C-9883-4504-8FCF-0C53E971F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552450</xdr:colOff>
      <xdr:row>17</xdr:row>
      <xdr:rowOff>28575</xdr:rowOff>
    </xdr:from>
    <xdr:to>
      <xdr:col>20</xdr:col>
      <xdr:colOff>247650</xdr:colOff>
      <xdr:row>31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2B9AFA-52EE-4FE7-8906-2259B9D2C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2"/>
  <sheetViews>
    <sheetView tabSelected="1" topLeftCell="K1" zoomScaleNormal="100" workbookViewId="0">
      <selection activeCell="O4" sqref="O4:O6"/>
    </sheetView>
  </sheetViews>
  <sheetFormatPr defaultColWidth="9.1796875" defaultRowHeight="14.5" x14ac:dyDescent="0.35"/>
  <cols>
    <col min="1" max="1" width="10.7265625" style="37" customWidth="1"/>
    <col min="2" max="2" width="10.7265625" style="38" customWidth="1"/>
    <col min="3" max="3" width="12.7265625" style="39" bestFit="1" customWidth="1"/>
    <col min="4" max="4" width="20.26953125" style="39" customWidth="1"/>
    <col min="5" max="5" width="21" style="39" customWidth="1"/>
    <col min="6" max="6" width="11.453125" style="13" customWidth="1"/>
    <col min="7" max="7" width="11.453125" style="45" customWidth="1"/>
    <col min="8" max="8" width="14.54296875" style="13" customWidth="1"/>
    <col min="9" max="9" width="12.7265625" style="13" bestFit="1" customWidth="1"/>
    <col min="10" max="13" width="12.7265625" style="13" customWidth="1"/>
    <col min="14" max="15" width="12.7265625" style="76" customWidth="1"/>
    <col min="16" max="19" width="12.7265625" style="13" customWidth="1"/>
    <col min="20" max="20" width="11.81640625" style="13" customWidth="1"/>
    <col min="21" max="21" width="12.54296875" style="13" customWidth="1"/>
    <col min="22" max="22" width="13.1796875" style="14" customWidth="1"/>
    <col min="23" max="23" width="13.453125" style="14" customWidth="1"/>
    <col min="24" max="16384" width="9.1796875" style="14"/>
  </cols>
  <sheetData>
    <row r="1" spans="1:23" ht="29.5" thickBot="1" x14ac:dyDescent="0.4">
      <c r="A1" s="6" t="s">
        <v>0</v>
      </c>
      <c r="B1" s="7" t="s">
        <v>10</v>
      </c>
      <c r="C1" s="8" t="s">
        <v>1</v>
      </c>
      <c r="D1" s="8" t="s">
        <v>8</v>
      </c>
      <c r="E1" s="8" t="s">
        <v>9</v>
      </c>
      <c r="F1" s="9" t="s">
        <v>11</v>
      </c>
      <c r="G1" s="43" t="s">
        <v>18</v>
      </c>
      <c r="H1" s="40" t="s">
        <v>39</v>
      </c>
      <c r="I1" s="40" t="s">
        <v>40</v>
      </c>
      <c r="J1" s="40" t="s">
        <v>14</v>
      </c>
      <c r="K1" s="40" t="s">
        <v>41</v>
      </c>
      <c r="L1" s="40" t="s">
        <v>42</v>
      </c>
      <c r="M1" s="40"/>
      <c r="N1" s="69" t="s">
        <v>43</v>
      </c>
      <c r="O1" s="69" t="s">
        <v>44</v>
      </c>
      <c r="P1" s="69" t="s">
        <v>45</v>
      </c>
      <c r="Q1" s="69" t="s">
        <v>46</v>
      </c>
      <c r="R1" s="69" t="s">
        <v>47</v>
      </c>
      <c r="S1" s="70" t="s">
        <v>48</v>
      </c>
      <c r="T1" s="71" t="s">
        <v>49</v>
      </c>
      <c r="U1" s="66" t="s">
        <v>50</v>
      </c>
      <c r="V1" s="97" t="s">
        <v>90</v>
      </c>
      <c r="W1" s="99" t="s">
        <v>91</v>
      </c>
    </row>
    <row r="2" spans="1:23" ht="15.75" customHeight="1" thickTop="1" x14ac:dyDescent="0.35">
      <c r="A2" s="104" t="s">
        <v>96</v>
      </c>
      <c r="B2" s="107">
        <v>1</v>
      </c>
      <c r="C2" s="47" t="s">
        <v>6</v>
      </c>
      <c r="D2" s="95">
        <v>287</v>
      </c>
      <c r="E2" s="95">
        <v>287</v>
      </c>
      <c r="F2" s="49">
        <f>(AVERAGEIF(D2:E2,"&gt;0",D2:E2))*10^3*100/8</f>
        <v>3587500</v>
      </c>
      <c r="G2" s="46">
        <v>1</v>
      </c>
      <c r="H2" s="13" t="s">
        <v>19</v>
      </c>
      <c r="I2" s="41"/>
      <c r="J2" s="57"/>
      <c r="K2" s="61">
        <f t="array" ref="K2">IFERROR(INDEX($I$2:$I$81,SMALL(IF(ISNUMBER($I$2:$I$81),ROW($A$1:$A$80),""),ROW(A1))),"")</f>
        <v>2939583.3333333335</v>
      </c>
      <c r="L2" s="61">
        <f t="array" ref="L2">IFERROR(INDEX($J$2:$J$81,SMALL(IF(ISNUMBER($J$2:$J$81),ROW($A$1:$A$80),""),ROW(A1))),"")</f>
        <v>705788.93504597677</v>
      </c>
      <c r="M2" s="87" t="s">
        <v>71</v>
      </c>
      <c r="N2" s="88">
        <v>1</v>
      </c>
      <c r="O2" s="88">
        <v>2</v>
      </c>
      <c r="P2" s="89">
        <v>3</v>
      </c>
      <c r="Q2" s="89">
        <v>4</v>
      </c>
      <c r="R2" s="90">
        <v>5</v>
      </c>
      <c r="S2" s="91">
        <v>6</v>
      </c>
      <c r="T2" s="100">
        <v>7</v>
      </c>
      <c r="U2" s="100">
        <v>8</v>
      </c>
      <c r="V2" s="100">
        <v>9</v>
      </c>
      <c r="W2" s="100">
        <v>10</v>
      </c>
    </row>
    <row r="3" spans="1:23" x14ac:dyDescent="0.35">
      <c r="A3" s="105"/>
      <c r="B3" s="108"/>
      <c r="C3" s="19" t="s">
        <v>4</v>
      </c>
      <c r="D3" s="20">
        <v>22</v>
      </c>
      <c r="E3" s="20">
        <v>22</v>
      </c>
      <c r="F3" s="50">
        <f>(AVERAGEIF(D3:E3,"&gt;0",D3:E3))*10^4*100/8</f>
        <v>2750000</v>
      </c>
      <c r="G3" s="46"/>
      <c r="H3" s="41">
        <f t="array" ref="H3">IFERROR(INDEX($F$2:$F$181,SMALL(IF($G$2:$G$181=1,ROW($A$1:$A$163),""),ROW(A1))),"")</f>
        <v>3587500</v>
      </c>
      <c r="I3" s="41"/>
      <c r="J3" s="58"/>
      <c r="K3" s="61">
        <f t="array" ref="K3">IFERROR(INDEX($I$2:$I$81,SMALL(IF(ISNUMBER($I$2:$I$81),ROW($A$1:$A$80),""),ROW(A2))),"")</f>
        <v>45625</v>
      </c>
      <c r="L3" s="61">
        <f t="array" ref="L3">IFERROR(INDEX($J$2:$J$81,SMALL(IF(ISNUMBER($J$2:$J$81),ROW($A$1:$A$80),""),ROW(A2))),"")</f>
        <v>24375</v>
      </c>
      <c r="M3" s="87" t="s">
        <v>72</v>
      </c>
      <c r="N3" s="88">
        <v>1</v>
      </c>
      <c r="O3" s="88">
        <v>2</v>
      </c>
      <c r="P3" s="89">
        <v>3</v>
      </c>
      <c r="Q3" s="89">
        <v>4</v>
      </c>
      <c r="R3" s="90">
        <v>5</v>
      </c>
      <c r="S3" s="91">
        <v>6</v>
      </c>
      <c r="T3" s="100">
        <v>7</v>
      </c>
      <c r="U3" s="100">
        <v>8</v>
      </c>
      <c r="V3" s="100">
        <v>9</v>
      </c>
      <c r="W3" s="100">
        <v>10</v>
      </c>
    </row>
    <row r="4" spans="1:23" ht="15" thickBot="1" x14ac:dyDescent="0.4">
      <c r="A4" s="105"/>
      <c r="B4" s="109"/>
      <c r="C4" s="22" t="s">
        <v>5</v>
      </c>
      <c r="D4" s="23">
        <v>1</v>
      </c>
      <c r="E4" s="23">
        <v>2</v>
      </c>
      <c r="F4" s="51">
        <f>(AVERAGEIF(D4:E4,"&gt;0",D4:E4))*10^5*100/8</f>
        <v>1875000</v>
      </c>
      <c r="G4" s="46"/>
      <c r="H4" s="41">
        <f t="array" ref="H4">IFERROR(INDEX($F$2:$F$181,SMALL(IF($G$2:$G$181=1,ROW($A$1:$A$163),""),ROW(A2))),"")</f>
        <v>3043750</v>
      </c>
      <c r="I4" s="41"/>
      <c r="J4" s="58"/>
      <c r="K4" s="61" t="str">
        <f t="array" ref="K4">IFERROR(INDEX($I$2:$I$81,SMALL(IF(ISNUMBER($I$2:$I$81),ROW($A$1:$A$80),""),ROW(A3))),"")</f>
        <v/>
      </c>
      <c r="L4" s="61" t="str">
        <f t="array" ref="L4">IFERROR(INDEX($J$2:$J$81,SMALL(IF(ISNUMBER($J$2:$J$81),ROW($A$1:$A$80),""),ROW(A3))),"")</f>
        <v/>
      </c>
      <c r="M4" s="61"/>
      <c r="N4" s="25">
        <f t="array" ref="N4">IFERROR(INDEX($F$2:$F$181,SMALL(_xlfn.IFS($G$2:$G$181&lt;$N$2,"",$G$2:$G$181&gt;$N$3,"",ISNUMBER($G$2:$G$181),ROW($A$1:$A$180)),ROW(A1))),"")</f>
        <v>3587500</v>
      </c>
      <c r="O4" s="25">
        <f t="array" ref="O4">IFERROR(INDEX($F$2:$F$181,SMALL(_xlfn.IFS($G$2:$G$181&lt;$O$2,"",$G$2:$G$181&gt;$O$3,"",ISNUMBER($G$2:$G$181),ROW($A$1:$A$180)),ROW(A1))),"")</f>
        <v>30625</v>
      </c>
      <c r="P4" s="25" t="str">
        <f t="array" ref="P4">IFERROR(INDEX($F$2:$F$181,SMALL(_xlfn.IFS($G$2:$G$181&lt;$P$2,"",$G$2:$G$181&gt;$P$3,"",ISNUMBER($G$2:$G$181),ROW($A$1:$A$180)),ROW(A1))),"")</f>
        <v/>
      </c>
      <c r="Q4" s="25" t="str">
        <f t="array" ref="Q4">IFERROR(INDEX($F$2:$F$181,SMALL(_xlfn.IFS($G$2:$G$181&lt;$Q$2,"",$G$2:$G$181&gt;$Q$3,"",ISNUMBER($G$2:$G$181),ROW($A$1:$A$180)),ROW(A1))),"")</f>
        <v/>
      </c>
      <c r="R4" s="25" t="str">
        <f t="array" ref="R4">IFERROR(INDEX($F$2:$F$181,SMALL(_xlfn.IFS($G$2:$G$181&lt;$R$2,"",$G$2:$G$181&gt;$R$3,"",ISNUMBER($G$2:$G$181),ROW($A$1:$A$180)),ROW(A1))),"")</f>
        <v/>
      </c>
      <c r="S4" s="42" t="str">
        <f t="array" ref="S4">IFERROR(INDEX($F$2:$F$181,SMALL(_xlfn.IFS($G$2:$G$181&lt;$S$2,"",$G$2:$G$181&gt;$S$3,"",ISNUMBER($G$2:$G$181),ROW($A$1:$A$180)),ROW(A1))),"")</f>
        <v/>
      </c>
      <c r="T4" s="62" t="str">
        <f t="array" ref="T4">IFERROR(INDEX($F$2:$F$181,SMALL(_xlfn.IFS($G$2:$G$181&lt;$T$2,"",$G$2:$G$181&gt;$T$3,"",ISNUMBER($G$2:$G$181),ROW($A$1:$A$180)),ROW(A1))),"")</f>
        <v/>
      </c>
      <c r="U4" s="13" t="str">
        <f t="array" ref="U4">IFERROR(INDEX($F$2:$F$181,SMALL(_xlfn.IFS($G$2:$G$181&lt;$U$2,"",$G$2:$G$181&gt;$U$3,"",ISNUMBER($G$2:$G$181),ROW($A$1:$A$180)),ROW(A1))),"")</f>
        <v/>
      </c>
      <c r="V4" s="13" t="str">
        <f t="array" ref="V4">IFERROR(INDEX($F$2:$F$181,SMALL(_xlfn.IFS($G$2:$G$181&lt;$V$2,"",$G$2:$G$181&gt;$V$3,"",ISNUMBER($G$2:$G$181),ROW($A$1:$A$180)),ROW(A1))),"")</f>
        <v/>
      </c>
      <c r="W4" s="13" t="str">
        <f t="array" ref="W4">IFERROR(INDEX($F$2:$F$181,SMALL(_xlfn.IFS($G$2:$G$181&lt;$W$2,"",$G$2:$G$181&gt;$W$3,"",ISNUMBER($G$2:$G$181),ROW($A$1:$A$180)),ROW(A1))),"")</f>
        <v/>
      </c>
    </row>
    <row r="5" spans="1:23" ht="15" thickTop="1" x14ac:dyDescent="0.35">
      <c r="A5" s="105"/>
      <c r="B5" s="110">
        <v>2</v>
      </c>
      <c r="C5" s="15" t="s">
        <v>6</v>
      </c>
      <c r="D5" s="96">
        <v>243</v>
      </c>
      <c r="E5" s="96">
        <v>244</v>
      </c>
      <c r="F5" s="49">
        <f t="shared" ref="F5" si="0">(AVERAGEIF(D5:E5,"&gt;0",D5:E5))*10^3*100/8</f>
        <v>3043750</v>
      </c>
      <c r="G5" s="46">
        <v>1</v>
      </c>
      <c r="H5" s="41">
        <f t="array" ref="H5">IFERROR(INDEX($F$2:$F$181,SMALL(IF($G$2:$G$181=1,ROW($A$1:$A$163),""),ROW(A3))),"")</f>
        <v>2187500</v>
      </c>
      <c r="I5" s="41">
        <f>AVERAGE(H3:H5)</f>
        <v>2939583.3333333335</v>
      </c>
      <c r="J5" s="58">
        <f>STDEV(H3:H5)</f>
        <v>705788.93504597677</v>
      </c>
      <c r="K5" s="61" t="str">
        <f t="array" ref="K5">IFERROR(INDEX($I$2:$I$81,SMALL(IF(ISNUMBER($I$2:$I$81),ROW($A$1:$A$80),""),ROW(A4))),"")</f>
        <v/>
      </c>
      <c r="L5" s="61" t="str">
        <f t="array" ref="L5">IFERROR(INDEX($J$2:$J$81,SMALL(IF(ISNUMBER($J$2:$J$81),ROW($A$1:$A$80),""),ROW(A4))),"")</f>
        <v/>
      </c>
      <c r="M5" s="61"/>
      <c r="N5" s="25">
        <f t="array" ref="N5">IFERROR(INDEX($F$2:$F$181,SMALL(_xlfn.IFS($G$2:$G$181&lt;$N$2,"",$G$2:$G$181&gt;$N$3,"",ISNUMBER($G$2:$G$181),ROW($A$1:$A$180)),ROW(A2))),"")</f>
        <v>3043750</v>
      </c>
      <c r="O5" s="25">
        <f t="array" ref="O5">IFERROR(INDEX($F$2:$F$181,SMALL(_xlfn.IFS($G$2:$G$181&lt;$O$2,"",$G$2:$G$181&gt;$O$3,"",ISNUMBER($G$2:$G$181),ROW($A$1:$A$180)),ROW(A2))),"")</f>
        <v>32500</v>
      </c>
      <c r="P5" s="25" t="str">
        <f t="array" ref="P5">IFERROR(INDEX($F$2:$F$181,SMALL(_xlfn.IFS($G$2:$G$181&lt;$P$2,"",$G$2:$G$181&gt;$P$3,"",ISNUMBER($G$2:$G$181),ROW($A$1:$A$180)),ROW(A2))),"")</f>
        <v/>
      </c>
      <c r="Q5" s="25" t="str">
        <f t="array" ref="Q5">IFERROR(INDEX($F$2:$F$181,SMALL(_xlfn.IFS($G$2:$G$181&lt;$Q$2,"",$G$2:$G$181&gt;$Q$3,"",ISNUMBER($G$2:$G$181),ROW($A$1:$A$180)),ROW(A2))),"")</f>
        <v/>
      </c>
      <c r="R5" s="25" t="str">
        <f t="array" ref="R5">IFERROR(INDEX($F$2:$F$181,SMALL(_xlfn.IFS($G$2:$G$181&lt;$R$2,"",$G$2:$G$181&gt;$R$3,"",ISNUMBER($G$2:$G$181),ROW($A$1:$A$180)),ROW(A2))),"")</f>
        <v/>
      </c>
      <c r="S5" s="42" t="str">
        <f t="array" ref="S5">IFERROR(INDEX($F$2:$F$181,SMALL(_xlfn.IFS($G$2:$G$181&lt;$S$2,"",$G$2:$G$181&gt;$S$3,"",ISNUMBER($G$2:$G$181),ROW($A$1:$A$180)),ROW(A2))),"")</f>
        <v/>
      </c>
      <c r="T5" s="62" t="str">
        <f t="array" ref="T5">IFERROR(INDEX($F$2:$F$181,SMALL(_xlfn.IFS($G$2:$G$181&lt;$T$2,"",$G$2:$G$181&gt;$T$3,"",ISNUMBER($G$2:$G$181),ROW($A$1:$A$180)),ROW(A2))),"")</f>
        <v/>
      </c>
      <c r="U5" s="13" t="str">
        <f t="array" ref="U5">IFERROR(INDEX($F$2:$F$181,SMALL(_xlfn.IFS($G$2:$G$181&lt;$U$2,"",$G$2:$G$181&gt;$U$3,"",ISNUMBER($G$2:$G$181),ROW($A$1:$A$180)),ROW(A2))),"")</f>
        <v/>
      </c>
      <c r="V5" s="13" t="str">
        <f t="array" ref="V5">IFERROR(INDEX($F$2:$F$181,SMALL(_xlfn.IFS($G$2:$G$181&lt;$V$2,"",$G$2:$G$181&gt;$V$3,"",ISNUMBER($G$2:$G$181),ROW($A$1:$A$180)),ROW(A2))),"")</f>
        <v/>
      </c>
      <c r="W5" s="13" t="str">
        <f t="array" ref="W5">IFERROR(INDEX($F$2:$F$181,SMALL(_xlfn.IFS($G$2:$G$181&lt;$W$2,"",$G$2:$G$181&gt;$W$3,"",ISNUMBER($G$2:$G$181),ROW($A$1:$A$180)),ROW(A2))),"")</f>
        <v/>
      </c>
    </row>
    <row r="6" spans="1:23" x14ac:dyDescent="0.35">
      <c r="A6" s="105"/>
      <c r="B6" s="108"/>
      <c r="C6" s="19" t="s">
        <v>4</v>
      </c>
      <c r="D6" s="20">
        <v>14</v>
      </c>
      <c r="E6" s="20">
        <v>15</v>
      </c>
      <c r="F6" s="50">
        <f t="shared" ref="F6" si="1">(AVERAGEIF(D6:E6,"&gt;0",D6:E6))*10^4*100/8</f>
        <v>1812500</v>
      </c>
      <c r="G6" s="46"/>
      <c r="H6" s="41" t="s">
        <v>20</v>
      </c>
      <c r="I6" s="41"/>
      <c r="J6" s="58"/>
      <c r="K6" s="61" t="str">
        <f t="array" ref="K6">IFERROR(INDEX($I$2:$I$81,SMALL(IF(ISNUMBER($I$2:$I$81),ROW($A$1:$A$80),""),ROW(A5))),"")</f>
        <v/>
      </c>
      <c r="L6" s="61" t="str">
        <f t="array" ref="L6">IFERROR(INDEX($J$2:$J$81,SMALL(IF(ISNUMBER($J$2:$J$81),ROW($A$1:$A$80),""),ROW(A5))),"")</f>
        <v/>
      </c>
      <c r="M6" s="61"/>
      <c r="N6" s="25">
        <f t="array" ref="N6">IFERROR(INDEX($F$2:$F$181,SMALL(_xlfn.IFS($G$2:$G$181&lt;$N$2,"",$G$2:$G$181&gt;$N$3,"",ISNUMBER($G$2:$G$181),ROW($A$1:$A$180)),ROW(A3))),"")</f>
        <v>2187500</v>
      </c>
      <c r="O6" s="25">
        <f t="array" ref="O6">IFERROR(INDEX($F$2:$F$181,SMALL(_xlfn.IFS($G$2:$G$181&lt;$O$2,"",$G$2:$G$181&gt;$O$3,"",ISNUMBER($G$2:$G$181),ROW($A$1:$A$180)),ROW(A3))),"")</f>
        <v>73750</v>
      </c>
      <c r="P6" s="25" t="str">
        <f t="array" ref="P6">IFERROR(INDEX($F$2:$F$181,SMALL(_xlfn.IFS($G$2:$G$181&lt;$P$2,"",$G$2:$G$181&gt;$P$3,"",ISNUMBER($G$2:$G$181),ROW($A$1:$A$180)),ROW(A3))),"")</f>
        <v/>
      </c>
      <c r="Q6" s="25" t="str">
        <f t="array" ref="Q6">IFERROR(INDEX($F$2:$F$181,SMALL(_xlfn.IFS($G$2:$G$181&lt;$Q$2,"",$G$2:$G$181&gt;$Q$3,"",ISNUMBER($G$2:$G$181),ROW($A$1:$A$180)),ROW(A3))),"")</f>
        <v/>
      </c>
      <c r="R6" s="25" t="str">
        <f t="array" ref="R6">IFERROR(INDEX($F$2:$F$181,SMALL(_xlfn.IFS($G$2:$G$181&lt;$R$2,"",$G$2:$G$181&gt;$R$3,"",ISNUMBER($G$2:$G$181),ROW($A$1:$A$180)),ROW(A3))),"")</f>
        <v/>
      </c>
      <c r="S6" s="42" t="str">
        <f t="array" ref="S6">IFERROR(INDEX($F$2:$F$181,SMALL(_xlfn.IFS($G$2:$G$181&lt;$S$2,"",$G$2:$G$181&gt;$S$3,"",ISNUMBER($G$2:$G$181),ROW($A$1:$A$180)),ROW(A3))),"")</f>
        <v/>
      </c>
      <c r="T6" s="62" t="str">
        <f t="array" ref="T6">IFERROR(INDEX($F$2:$F$181,SMALL(_xlfn.IFS($G$2:$G$181&lt;$T$2,"",$G$2:$G$181&gt;$T$3,"",ISNUMBER($G$2:$G$181),ROW($A$1:$A$180)),ROW(A3))),"")</f>
        <v/>
      </c>
      <c r="U6" s="13" t="str">
        <f t="array" ref="U6">IFERROR(INDEX($F$2:$F$181,SMALL(_xlfn.IFS($G$2:$G$181&lt;$U$2,"",$G$2:$G$181&gt;$U$3,"",ISNUMBER($G$2:$G$181),ROW($A$1:$A$180)),ROW(A3))),"")</f>
        <v/>
      </c>
      <c r="V6" s="13" t="str">
        <f t="array" ref="V6">IFERROR(INDEX($F$2:$F$181,SMALL(_xlfn.IFS($G$2:$G$181&lt;$V$2,"",$G$2:$G$181&gt;$V$3,"",ISNUMBER($G$2:$G$181),ROW($A$1:$A$180)),ROW(A3))),"")</f>
        <v/>
      </c>
      <c r="W6" s="13" t="str">
        <f t="array" ref="W6">IFERROR(INDEX($F$2:$F$181,SMALL(_xlfn.IFS($G$2:$G$181&lt;$W$2,"",$G$2:$G$181&gt;$W$3,"",ISNUMBER($G$2:$G$181),ROW($A$1:$A$180)),ROW(A3))),"")</f>
        <v/>
      </c>
    </row>
    <row r="7" spans="1:23" ht="15" thickBot="1" x14ac:dyDescent="0.4">
      <c r="A7" s="105"/>
      <c r="B7" s="109"/>
      <c r="C7" s="22" t="s">
        <v>5</v>
      </c>
      <c r="D7" s="23">
        <v>2</v>
      </c>
      <c r="E7" s="23">
        <v>1</v>
      </c>
      <c r="F7" s="51">
        <f t="shared" ref="F7" si="2">(AVERAGEIF(D7:E7,"&gt;0",D7:E7))*10^5*100/8</f>
        <v>1875000</v>
      </c>
      <c r="G7" s="46"/>
      <c r="H7" s="41">
        <f t="array" ref="H7">IFERROR(INDEX($F$2:$F$181,SMALL(IF($G$2:$G$181=2,ROW($A$1:$A$163),""),ROW(A1))),"")</f>
        <v>30625</v>
      </c>
      <c r="I7" s="41"/>
      <c r="J7" s="58"/>
      <c r="K7" s="61" t="str">
        <f t="array" ref="K7">IFERROR(INDEX($I$2:$I$81,SMALL(IF(ISNUMBER($I$2:$I$81),ROW($A$1:$A$80),""),ROW(A6))),"")</f>
        <v/>
      </c>
      <c r="L7" s="61" t="str">
        <f t="array" ref="L7">IFERROR(INDEX($J$2:$J$81,SMALL(IF(ISNUMBER($J$2:$J$81),ROW($A$1:$A$80),""),ROW(A6))),"")</f>
        <v/>
      </c>
      <c r="M7" s="61"/>
      <c r="N7" s="25" t="str">
        <f t="array" ref="N7">IFERROR(INDEX($F$2:$F$181,SMALL(_xlfn.IFS($G$2:$G$181&lt;$N$2,"",$G$2:$G$181&gt;$N$3,"",ISNUMBER($G$2:$G$181),ROW($A$1:$A$180)),ROW(A4))),"")</f>
        <v/>
      </c>
      <c r="O7" s="25" t="str">
        <f t="array" ref="O7">IFERROR(INDEX($F$2:$F$181,SMALL(_xlfn.IFS($G$2:$G$181&lt;$O$2,"",$G$2:$G$181&gt;$O$3,"",ISNUMBER($G$2:$G$181),ROW($A$1:$A$180)),ROW(A4))),"")</f>
        <v/>
      </c>
      <c r="P7" s="25" t="str">
        <f t="array" ref="P7">IFERROR(INDEX($F$2:$F$181,SMALL(_xlfn.IFS($G$2:$G$181&lt;$P$2,"",$G$2:$G$181&gt;$P$3,"",ISNUMBER($G$2:$G$181),ROW($A$1:$A$180)),ROW(A4))),"")</f>
        <v/>
      </c>
      <c r="Q7" s="25" t="str">
        <f t="array" ref="Q7">IFERROR(INDEX($F$2:$F$181,SMALL(_xlfn.IFS($G$2:$G$181&lt;$Q$2,"",$G$2:$G$181&gt;$Q$3,"",ISNUMBER($G$2:$G$181),ROW($A$1:$A$180)),ROW(A4))),"")</f>
        <v/>
      </c>
      <c r="R7" s="25" t="str">
        <f t="array" ref="R7">IFERROR(INDEX($F$2:$F$181,SMALL(_xlfn.IFS($G$2:$G$181&lt;$R$2,"",$G$2:$G$181&gt;$R$3,"",ISNUMBER($G$2:$G$181),ROW($A$1:$A$180)),ROW(A4))),"")</f>
        <v/>
      </c>
      <c r="S7" s="42" t="str">
        <f t="array" ref="S7">IFERROR(INDEX($F$2:$F$181,SMALL(_xlfn.IFS($G$2:$G$181&lt;$S$2,"",$G$2:$G$181&gt;$S$3,"",ISNUMBER($G$2:$G$181),ROW($A$1:$A$180)),ROW(A4))),"")</f>
        <v/>
      </c>
      <c r="T7" s="62" t="str">
        <f t="array" ref="T7">IFERROR(INDEX($F$2:$F$181,SMALL(_xlfn.IFS($G$2:$G$181&lt;$T$2,"",$G$2:$G$181&gt;$T$3,"",ISNUMBER($G$2:$G$181),ROW($A$1:$A$180)),ROW(A4))),"")</f>
        <v/>
      </c>
      <c r="U7" s="13" t="str">
        <f t="array" ref="U7">IFERROR(INDEX($F$2:$F$181,SMALL(_xlfn.IFS($G$2:$G$181&lt;$U$2,"",$G$2:$G$181&gt;$U$3,"",ISNUMBER($G$2:$G$181),ROW($A$1:$A$180)),ROW(A4))),"")</f>
        <v/>
      </c>
      <c r="V7" s="13" t="str">
        <f t="array" ref="V7">IFERROR(INDEX($F$2:$F$181,SMALL(_xlfn.IFS($G$2:$G$181&lt;$V$2,"",$G$2:$G$181&gt;$V$3,"",ISNUMBER($G$2:$G$181),ROW($A$1:$A$180)),ROW(A4))),"")</f>
        <v/>
      </c>
      <c r="W7" s="13" t="str">
        <f t="array" ref="W7">IFERROR(INDEX($F$2:$F$181,SMALL(_xlfn.IFS($G$2:$G$181&lt;$W$2,"",$G$2:$G$181&gt;$W$3,"",ISNUMBER($G$2:$G$181),ROW($A$1:$A$180)),ROW(A4))),"")</f>
        <v/>
      </c>
    </row>
    <row r="8" spans="1:23" ht="15" thickTop="1" x14ac:dyDescent="0.35">
      <c r="A8" s="105"/>
      <c r="B8" s="110">
        <v>3</v>
      </c>
      <c r="C8" s="15" t="s">
        <v>6</v>
      </c>
      <c r="D8" s="96">
        <v>175</v>
      </c>
      <c r="E8" s="96">
        <v>175</v>
      </c>
      <c r="F8" s="49">
        <f t="shared" ref="F8" si="3">(AVERAGEIF(D8:E8,"&gt;0",D8:E8))*10^3*100/8</f>
        <v>2187500</v>
      </c>
      <c r="G8" s="46">
        <v>1</v>
      </c>
      <c r="H8" s="41">
        <f t="array" ref="H8">IFERROR(INDEX($F$2:$F$181,SMALL(IF($G$2:$G$181=2,ROW($A$1:$A$163),""),ROW(A2))),"")</f>
        <v>32500</v>
      </c>
      <c r="I8" s="41"/>
      <c r="J8" s="58"/>
      <c r="K8" s="61" t="str">
        <f t="array" ref="K8">IFERROR(INDEX($I$2:$I$81,SMALL(IF(ISNUMBER($I$2:$I$81),ROW($A$1:$A$80),""),ROW(A7))),"")</f>
        <v/>
      </c>
      <c r="L8" s="61" t="str">
        <f t="array" ref="L8">IFERROR(INDEX($J$2:$J$81,SMALL(IF(ISNUMBER($J$2:$J$81),ROW($A$1:$A$80),""),ROW(A7))),"")</f>
        <v/>
      </c>
      <c r="M8" s="61"/>
      <c r="N8" s="25" t="str">
        <f t="array" ref="N8">IFERROR(INDEX($F$2:$F$181,SMALL(_xlfn.IFS($G$2:$G$181&lt;$N$2,"",$G$2:$G$181&gt;$N$3,"",ISNUMBER($G$2:$G$181),ROW($A$1:$A$180)),ROW(A5))),"")</f>
        <v/>
      </c>
      <c r="O8" s="25" t="str">
        <f t="array" ref="O8">IFERROR(INDEX($F$2:$F$181,SMALL(_xlfn.IFS($G$2:$G$181&lt;$O$2,"",$G$2:$G$181&gt;$O$3,"",ISNUMBER($G$2:$G$181),ROW($A$1:$A$180)),ROW(A5))),"")</f>
        <v/>
      </c>
      <c r="P8" s="25" t="str">
        <f t="array" ref="P8">IFERROR(INDEX($F$2:$F$181,SMALL(_xlfn.IFS($G$2:$G$181&lt;$P$2,"",$G$2:$G$181&gt;$P$3,"",ISNUMBER($G$2:$G$181),ROW($A$1:$A$180)),ROW(A5))),"")</f>
        <v/>
      </c>
      <c r="Q8" s="25" t="str">
        <f t="array" ref="Q8">IFERROR(INDEX($F$2:$F$181,SMALL(_xlfn.IFS($G$2:$G$181&lt;$Q$2,"",$G$2:$G$181&gt;$Q$3,"",ISNUMBER($G$2:$G$181),ROW($A$1:$A$180)),ROW(A5))),"")</f>
        <v/>
      </c>
      <c r="R8" s="25" t="str">
        <f t="array" ref="R8">IFERROR(INDEX($F$2:$F$181,SMALL(_xlfn.IFS($G$2:$G$181&lt;$R$2,"",$G$2:$G$181&gt;$R$3,"",ISNUMBER($G$2:$G$181),ROW($A$1:$A$180)),ROW(A5))),"")</f>
        <v/>
      </c>
      <c r="S8" s="42" t="str">
        <f t="array" ref="S8">IFERROR(INDEX($F$2:$F$181,SMALL(_xlfn.IFS($G$2:$G$181&lt;$S$2,"",$G$2:$G$181&gt;$S$3,"",ISNUMBER($G$2:$G$181),ROW($A$1:$A$180)),ROW(A5))),"")</f>
        <v/>
      </c>
      <c r="T8" s="62" t="str">
        <f t="array" ref="T8">IFERROR(INDEX($F$2:$F$181,SMALL(_xlfn.IFS($G$2:$G$181&lt;$T$2,"",$G$2:$G$181&gt;$T$3,"",ISNUMBER($G$2:$G$181),ROW($A$1:$A$180)),ROW(A5))),"")</f>
        <v/>
      </c>
      <c r="U8" s="13" t="str">
        <f t="array" ref="U8">IFERROR(INDEX($F$2:$F$181,SMALL(_xlfn.IFS($G$2:$G$181&lt;$U$2,"",$G$2:$G$181&gt;$U$3,"",ISNUMBER($G$2:$G$181),ROW($A$1:$A$180)),ROW(A5))),"")</f>
        <v/>
      </c>
      <c r="V8" s="13" t="str">
        <f t="array" ref="V8">IFERROR(INDEX($F$2:$F$181,SMALL(_xlfn.IFS($G$2:$G$181&lt;$V$2,"",$G$2:$G$181&gt;$V$3,"",ISNUMBER($G$2:$G$181),ROW($A$1:$A$180)),ROW(A5))),"")</f>
        <v/>
      </c>
      <c r="W8" s="13" t="str">
        <f t="array" ref="W8">IFERROR(INDEX($F$2:$F$181,SMALL(_xlfn.IFS($G$2:$G$181&lt;$W$2,"",$G$2:$G$181&gt;$W$3,"",ISNUMBER($G$2:$G$181),ROW($A$1:$A$180)),ROW(A5))),"")</f>
        <v/>
      </c>
    </row>
    <row r="9" spans="1:23" x14ac:dyDescent="0.35">
      <c r="A9" s="105"/>
      <c r="B9" s="108"/>
      <c r="C9" s="19" t="s">
        <v>4</v>
      </c>
      <c r="D9" s="20">
        <v>10</v>
      </c>
      <c r="E9" s="20">
        <v>10</v>
      </c>
      <c r="F9" s="50">
        <f t="shared" ref="F9" si="4">(AVERAGEIF(D9:E9,"&gt;0",D9:E9))*10^4*100/8</f>
        <v>1250000</v>
      </c>
      <c r="G9" s="46"/>
      <c r="H9" s="41">
        <f t="array" ref="H9">IFERROR(INDEX($F$2:$F$181,SMALL(IF($G$2:$G$181=2,ROW($A$1:$A$163),""),ROW(A3))),"")</f>
        <v>73750</v>
      </c>
      <c r="I9" s="41">
        <f>AVERAGE(H7:H9)</f>
        <v>45625</v>
      </c>
      <c r="J9" s="58">
        <f>STDEV(H7:H9)</f>
        <v>24375</v>
      </c>
      <c r="K9" s="61" t="str">
        <f t="array" ref="K9">IFERROR(INDEX($I$2:$I$81,SMALL(IF(ISNUMBER($I$2:$I$81),ROW($A$1:$A$80),""),ROW(A8))),"")</f>
        <v/>
      </c>
      <c r="L9" s="61" t="str">
        <f t="array" ref="L9">IFERROR(INDEX($J$2:$J$81,SMALL(IF(ISNUMBER($J$2:$J$81),ROW($A$1:$A$80),""),ROW(A8))),"")</f>
        <v/>
      </c>
      <c r="M9" s="61"/>
      <c r="N9" s="25" t="str">
        <f t="array" ref="N9">IFERROR(INDEX($F$2:$F$181,SMALL(_xlfn.IFS($G$2:$G$181&lt;$N$2,"",$G$2:$G$181&gt;$N$3,"",ISNUMBER($G$2:$G$181),ROW($A$1:$A$180)),ROW(A6))),"")</f>
        <v/>
      </c>
      <c r="O9" s="25" t="str">
        <f t="array" ref="O9">IFERROR(INDEX($F$2:$F$181,SMALL(_xlfn.IFS($G$2:$G$181&lt;$O$2,"",$G$2:$G$181&gt;$O$3,"",ISNUMBER($G$2:$G$181),ROW($A$1:$A$180)),ROW(A6))),"")</f>
        <v/>
      </c>
      <c r="P9" s="25" t="str">
        <f t="array" ref="P9">IFERROR(INDEX($F$2:$F$181,SMALL(_xlfn.IFS($G$2:$G$181&lt;$P$2,"",$G$2:$G$181&gt;$P$3,"",ISNUMBER($G$2:$G$181),ROW($A$1:$A$180)),ROW(A6))),"")</f>
        <v/>
      </c>
      <c r="Q9" s="25" t="str">
        <f t="array" ref="Q9">IFERROR(INDEX($F$2:$F$181,SMALL(_xlfn.IFS($G$2:$G$181&lt;$Q$2,"",$G$2:$G$181&gt;$Q$3,"",ISNUMBER($G$2:$G$181),ROW($A$1:$A$180)),ROW(A6))),"")</f>
        <v/>
      </c>
      <c r="R9" s="25" t="str">
        <f t="array" ref="R9">IFERROR(INDEX($F$2:$F$181,SMALL(_xlfn.IFS($G$2:$G$181&lt;$R$2,"",$G$2:$G$181&gt;$R$3,"",ISNUMBER($G$2:$G$181),ROW($A$1:$A$180)),ROW(A6))),"")</f>
        <v/>
      </c>
      <c r="S9" s="42" t="str">
        <f t="array" ref="S9">IFERROR(INDEX($F$2:$F$181,SMALL(_xlfn.IFS($G$2:$G$181&lt;$S$2,"",$G$2:$G$181&gt;$S$3,"",ISNUMBER($G$2:$G$181),ROW($A$1:$A$180)),ROW(A6))),"")</f>
        <v/>
      </c>
      <c r="T9" s="62" t="str">
        <f t="array" ref="T9">IFERROR(INDEX($F$2:$F$181,SMALL(_xlfn.IFS($G$2:$G$181&lt;$T$2,"",$G$2:$G$181&gt;$T$3,"",ISNUMBER($G$2:$G$181),ROW($A$1:$A$180)),ROW(A6))),"")</f>
        <v/>
      </c>
      <c r="U9" s="13" t="str">
        <f t="array" ref="U9">IFERROR(INDEX($F$2:$F$181,SMALL(_xlfn.IFS($G$2:$G$181&lt;$U$2,"",$G$2:$G$181&gt;$U$3,"",ISNUMBER($G$2:$G$181),ROW($A$1:$A$180)),ROW(A6))),"")</f>
        <v/>
      </c>
      <c r="V9" s="13" t="str">
        <f t="array" ref="V9">IFERROR(INDEX($F$2:$F$181,SMALL(_xlfn.IFS($G$2:$G$181&lt;$V$2,"",$G$2:$G$181&gt;$V$3,"",ISNUMBER($G$2:$G$181),ROW($A$1:$A$180)),ROW(A6))),"")</f>
        <v/>
      </c>
      <c r="W9" s="13" t="str">
        <f t="array" ref="W9">IFERROR(INDEX($F$2:$F$181,SMALL(_xlfn.IFS($G$2:$G$181&lt;$W$2,"",$G$2:$G$181&gt;$W$3,"",ISNUMBER($G$2:$G$181),ROW($A$1:$A$180)),ROW(A6))),"")</f>
        <v/>
      </c>
    </row>
    <row r="10" spans="1:23" ht="15" thickBot="1" x14ac:dyDescent="0.4">
      <c r="A10" s="106"/>
      <c r="B10" s="111"/>
      <c r="C10" s="53" t="s">
        <v>5</v>
      </c>
      <c r="D10" s="54">
        <v>1</v>
      </c>
      <c r="E10" s="54"/>
      <c r="F10" s="51">
        <f t="shared" ref="F10" si="5">(AVERAGEIF(D10:E10,"&gt;0",D10:E10))*10^5*100/8</f>
        <v>1250000</v>
      </c>
      <c r="G10" s="46"/>
      <c r="H10" s="41" t="s">
        <v>21</v>
      </c>
      <c r="I10" s="41"/>
      <c r="J10" s="59"/>
      <c r="K10" s="61" t="str">
        <f t="array" ref="K10">IFERROR(INDEX($I$2:$I$81,SMALL(IF(ISNUMBER($I$2:$I$81),ROW($A$1:$A$80),""),ROW(A9))),"")</f>
        <v/>
      </c>
      <c r="L10" s="61" t="str">
        <f t="array" ref="L10">IFERROR(INDEX($J$2:$J$81,SMALL(IF(ISNUMBER($J$2:$J$81),ROW($A$1:$A$80),""),ROW(A9))),"")</f>
        <v/>
      </c>
      <c r="M10" s="61"/>
      <c r="N10" s="25" t="str">
        <f t="array" ref="N10">IFERROR(INDEX($F$2:$F$181,SMALL(_xlfn.IFS($G$2:$G$181&lt;$N$2,"",$G$2:$G$181&gt;$N$3,"",ISNUMBER($G$2:$G$181),ROW($A$1:$A$180)),ROW(A7))),"")</f>
        <v/>
      </c>
      <c r="O10" s="25" t="str">
        <f t="array" ref="O10">IFERROR(INDEX($F$2:$F$181,SMALL(_xlfn.IFS($G$2:$G$181&lt;$O$2,"",$G$2:$G$181&gt;$O$3,"",ISNUMBER($G$2:$G$181),ROW($A$1:$A$180)),ROW(A7))),"")</f>
        <v/>
      </c>
      <c r="P10" s="25" t="str">
        <f t="array" ref="P10">IFERROR(INDEX($F$2:$F$181,SMALL(_xlfn.IFS($G$2:$G$181&lt;$P$2,"",$G$2:$G$181&gt;$P$3,"",ISNUMBER($G$2:$G$181),ROW($A$1:$A$180)),ROW(A7))),"")</f>
        <v/>
      </c>
      <c r="Q10" s="25" t="str">
        <f t="array" ref="Q10">IFERROR(INDEX($F$2:$F$181,SMALL(_xlfn.IFS($G$2:$G$181&lt;$Q$2,"",$G$2:$G$181&gt;$Q$3,"",ISNUMBER($G$2:$G$181),ROW($A$1:$A$180)),ROW(A7))),"")</f>
        <v/>
      </c>
      <c r="R10" s="25" t="str">
        <f t="array" ref="R10">IFERROR(INDEX($F$2:$F$181,SMALL(_xlfn.IFS($G$2:$G$181&lt;$R$2,"",$G$2:$G$181&gt;$R$3,"",ISNUMBER($G$2:$G$181),ROW($A$1:$A$180)),ROW(A7))),"")</f>
        <v/>
      </c>
      <c r="S10" s="42" t="str">
        <f t="array" ref="S10">IFERROR(INDEX($F$2:$F$181,SMALL(_xlfn.IFS($G$2:$G$181&lt;$S$2,"",$G$2:$G$181&gt;$S$3,"",ISNUMBER($G$2:$G$181),ROW($A$1:$A$180)),ROW(A7))),"")</f>
        <v/>
      </c>
      <c r="T10" s="62" t="str">
        <f t="array" ref="T10">IFERROR(INDEX($F$2:$F$181,SMALL(_xlfn.IFS($G$2:$G$181&lt;$T$2,"",$G$2:$G$181&gt;$T$3,"",ISNUMBER($G$2:$G$181),ROW($A$1:$A$180)),ROW(A7))),"")</f>
        <v/>
      </c>
      <c r="U10" s="13" t="str">
        <f t="array" ref="U10">IFERROR(INDEX($F$2:$F$181,SMALL(_xlfn.IFS($G$2:$G$181&lt;$U$2,"",$G$2:$G$181&gt;$U$3,"",ISNUMBER($G$2:$G$181),ROW($A$1:$A$180)),ROW(A7))),"")</f>
        <v/>
      </c>
      <c r="V10" s="13" t="str">
        <f t="array" ref="V10">IFERROR(INDEX($F$2:$F$181,SMALL(_xlfn.IFS($G$2:$G$181&lt;$V$2,"",$G$2:$G$181&gt;$V$3,"",ISNUMBER($G$2:$G$181),ROW($A$1:$A$180)),ROW(A7))),"")</f>
        <v/>
      </c>
      <c r="W10" s="13" t="str">
        <f t="array" ref="W10">IFERROR(INDEX($F$2:$F$181,SMALL(_xlfn.IFS($G$2:$G$181&lt;$W$2,"",$G$2:$G$181&gt;$W$3,"",ISNUMBER($G$2:$G$181),ROW($A$1:$A$180)),ROW(A7))),"")</f>
        <v/>
      </c>
    </row>
    <row r="11" spans="1:23" ht="16.5" customHeight="1" thickTop="1" x14ac:dyDescent="0.35">
      <c r="A11" s="104" t="s">
        <v>107</v>
      </c>
      <c r="B11" s="107">
        <v>1</v>
      </c>
      <c r="C11" s="101" t="s">
        <v>108</v>
      </c>
      <c r="D11" s="95">
        <v>24</v>
      </c>
      <c r="E11" s="95">
        <v>25</v>
      </c>
      <c r="F11" s="49">
        <f>(AVERAGEIF(D11:E11,"&gt;0",D11:E11))*10^2*100/8</f>
        <v>30625</v>
      </c>
      <c r="G11" s="46">
        <v>2</v>
      </c>
      <c r="H11" s="41" t="str">
        <f t="array" ref="H11">IFERROR(INDEX($F$2:$F$181,SMALL(IF($G$2:$G$181=3,ROW($A$1:$A$163),""),ROW(A1))),"")</f>
        <v/>
      </c>
      <c r="I11" s="41"/>
      <c r="J11" s="59"/>
      <c r="K11" s="61" t="str">
        <f t="array" ref="K11">IFERROR(INDEX($I$2:$I$81,SMALL(IF(ISNUMBER($I$2:$I$81),ROW($A$1:$A$80),""),ROW(A10))),"")</f>
        <v/>
      </c>
      <c r="L11" s="61" t="str">
        <f t="array" ref="L11">IFERROR(INDEX($J$2:$J$81,SMALL(IF(ISNUMBER($J$2:$J$81),ROW($A$1:$A$80),""),ROW(A10))),"")</f>
        <v/>
      </c>
      <c r="M11" s="61"/>
      <c r="N11" s="25" t="str">
        <f t="array" ref="N11">IFERROR(INDEX($F$2:$F$181,SMALL(_xlfn.IFS($G$2:$G$181&lt;$N$2,"",$G$2:$G$181&gt;$N$3,"",ISNUMBER($G$2:$G$181),ROW($A$1:$A$180)),ROW(A8))),"")</f>
        <v/>
      </c>
      <c r="O11" s="25" t="str">
        <f t="array" ref="O11">IFERROR(INDEX($F$2:$F$181,SMALL(_xlfn.IFS($G$2:$G$181&lt;$O$2,"",$G$2:$G$181&gt;$O$3,"",ISNUMBER($G$2:$G$181),ROW($A$1:$A$180)),ROW(A8))),"")</f>
        <v/>
      </c>
      <c r="P11" s="25" t="str">
        <f t="array" ref="P11">IFERROR(INDEX($F$2:$F$181,SMALL(_xlfn.IFS($G$2:$G$181&lt;$P$2,"",$G$2:$G$181&gt;$P$3,"",ISNUMBER($G$2:$G$181),ROW($A$1:$A$180)),ROW(A8))),"")</f>
        <v/>
      </c>
      <c r="Q11" s="25" t="str">
        <f t="array" ref="Q11">IFERROR(INDEX($F$2:$F$181,SMALL(_xlfn.IFS($G$2:$G$181&lt;$Q$2,"",$G$2:$G$181&gt;$Q$3,"",ISNUMBER($G$2:$G$181),ROW($A$1:$A$180)),ROW(A8))),"")</f>
        <v/>
      </c>
      <c r="R11" s="25" t="str">
        <f t="array" ref="R11">IFERROR(INDEX($F$2:$F$181,SMALL(_xlfn.IFS($G$2:$G$181&lt;$R$2,"",$G$2:$G$181&gt;$R$3,"",ISNUMBER($G$2:$G$181),ROW($A$1:$A$180)),ROW(A8))),"")</f>
        <v/>
      </c>
      <c r="S11" s="42" t="str">
        <f t="array" ref="S11">IFERROR(INDEX($F$2:$F$181,SMALL(_xlfn.IFS($G$2:$G$181&lt;$S$2,"",$G$2:$G$181&gt;$S$3,"",ISNUMBER($G$2:$G$181),ROW($A$1:$A$180)),ROW(A8))),"")</f>
        <v/>
      </c>
      <c r="T11" s="62" t="str">
        <f t="array" ref="T11">IFERROR(INDEX($F$2:$F$181,SMALL(_xlfn.IFS($G$2:$G$181&lt;$T$2,"",$G$2:$G$181&gt;$T$3,"",ISNUMBER($G$2:$G$181),ROW($A$1:$A$180)),ROW(A8))),"")</f>
        <v/>
      </c>
      <c r="U11" s="13" t="str">
        <f t="array" ref="U11">IFERROR(INDEX($F$2:$F$181,SMALL(_xlfn.IFS($G$2:$G$181&lt;$U$2,"",$G$2:$G$181&gt;$U$3,"",ISNUMBER($G$2:$G$181),ROW($A$1:$A$180)),ROW(A8))),"")</f>
        <v/>
      </c>
      <c r="V11" s="13" t="str">
        <f t="array" ref="V11">IFERROR(INDEX($F$2:$F$181,SMALL(_xlfn.IFS($G$2:$G$181&lt;$V$2,"",$G$2:$G$181&gt;$V$3,"",ISNUMBER($G$2:$G$181),ROW($A$1:$A$180)),ROW(A8))),"")</f>
        <v/>
      </c>
      <c r="W11" s="13" t="str">
        <f t="array" ref="W11">IFERROR(INDEX($F$2:$F$181,SMALL(_xlfn.IFS($G$2:$G$181&lt;$W$2,"",$G$2:$G$181&gt;$W$3,"",ISNUMBER($G$2:$G$181),ROW($A$1:$A$180)),ROW(A8))),"")</f>
        <v/>
      </c>
    </row>
    <row r="12" spans="1:23" x14ac:dyDescent="0.35">
      <c r="A12" s="105"/>
      <c r="B12" s="108"/>
      <c r="C12" s="102" t="s">
        <v>6</v>
      </c>
      <c r="D12" s="20">
        <v>3</v>
      </c>
      <c r="E12" s="20"/>
      <c r="F12" s="50">
        <f>(AVERAGEIF(D12:E12,"&gt;0",D12:E12))*10^3*100/8</f>
        <v>37500</v>
      </c>
      <c r="G12" s="46"/>
      <c r="H12" s="41" t="str">
        <f t="array" ref="H12">IFERROR(INDEX($F$2:$F$181,SMALL(IF($G$2:$G$181=3,ROW($A$1:$A$163),""),ROW(A2))),"")</f>
        <v/>
      </c>
      <c r="I12" s="41"/>
      <c r="J12" s="58"/>
      <c r="K12" s="61" t="str">
        <f t="array" ref="K12">IFERROR(INDEX($I$2:$I$81,SMALL(IF(ISNUMBER($I$2:$I$81),ROW($A$1:$A$80),""),ROW(A11))),"")</f>
        <v/>
      </c>
      <c r="L12" s="61" t="str">
        <f t="array" ref="L12">IFERROR(INDEX($J$2:$J$81,SMALL(IF(ISNUMBER($J$2:$J$81),ROW($A$1:$A$80),""),ROW(A11))),"")</f>
        <v/>
      </c>
      <c r="M12" s="61"/>
      <c r="N12" s="25" t="str">
        <f t="array" ref="N12">IFERROR(INDEX($F$2:$F$181,SMALL(_xlfn.IFS($G$2:$G$181&lt;$N$2,"",$G$2:$G$181&gt;$N$3,"",ISNUMBER($G$2:$G$181),ROW($A$1:$A$180)),ROW(A9))),"")</f>
        <v/>
      </c>
      <c r="O12" s="25" t="str">
        <f t="array" ref="O12">IFERROR(INDEX($F$2:$F$181,SMALL(_xlfn.IFS($G$2:$G$181&lt;$O$2,"",$G$2:$G$181&gt;$O$3,"",ISNUMBER($G$2:$G$181),ROW($A$1:$A$180)),ROW(A9))),"")</f>
        <v/>
      </c>
      <c r="P12" s="25" t="str">
        <f t="array" ref="P12">IFERROR(INDEX($F$2:$F$181,SMALL(_xlfn.IFS($G$2:$G$181&lt;$P$2,"",$G$2:$G$181&gt;$P$3,"",ISNUMBER($G$2:$G$181),ROW($A$1:$A$180)),ROW(A9))),"")</f>
        <v/>
      </c>
      <c r="Q12" s="25" t="str">
        <f t="array" ref="Q12">IFERROR(INDEX($F$2:$F$181,SMALL(_xlfn.IFS($G$2:$G$181&lt;$Q$2,"",$G$2:$G$181&gt;$Q$3,"",ISNUMBER($G$2:$G$181),ROW($A$1:$A$180)),ROW(A9))),"")</f>
        <v/>
      </c>
      <c r="R12" s="25" t="str">
        <f t="array" ref="R12">IFERROR(INDEX($F$2:$F$181,SMALL(_xlfn.IFS($G$2:$G$181&lt;$R$2,"",$G$2:$G$181&gt;$R$3,"",ISNUMBER($G$2:$G$181),ROW($A$1:$A$180)),ROW(A9))),"")</f>
        <v/>
      </c>
      <c r="S12" s="42" t="str">
        <f t="array" ref="S12">IFERROR(INDEX($F$2:$F$181,SMALL(_xlfn.IFS($G$2:$G$181&lt;$S$2,"",$G$2:$G$181&gt;$S$3,"",ISNUMBER($G$2:$G$181),ROW($A$1:$A$180)),ROW(A9))),"")</f>
        <v/>
      </c>
      <c r="T12" s="62" t="str">
        <f t="array" ref="T12">IFERROR(INDEX($F$2:$F$181,SMALL(_xlfn.IFS($G$2:$G$181&lt;$T$2,"",$G$2:$G$181&gt;$T$3,"",ISNUMBER($G$2:$G$181),ROW($A$1:$A$180)),ROW(A9))),"")</f>
        <v/>
      </c>
      <c r="U12" s="13" t="str">
        <f t="array" ref="U12">IFERROR(INDEX($F$2:$F$181,SMALL(_xlfn.IFS($G$2:$G$181&lt;$U$2,"",$G$2:$G$181&gt;$U$3,"",ISNUMBER($G$2:$G$181),ROW($A$1:$A$180)),ROW(A9))),"")</f>
        <v/>
      </c>
      <c r="V12" s="13" t="str">
        <f t="array" ref="V12">IFERROR(INDEX($F$2:$F$181,SMALL(_xlfn.IFS($G$2:$G$181&lt;$V$2,"",$G$2:$G$181&gt;$V$3,"",ISNUMBER($G$2:$G$181),ROW($A$1:$A$180)),ROW(A9))),"")</f>
        <v/>
      </c>
      <c r="W12" s="13" t="str">
        <f t="array" ref="W12">IFERROR(INDEX($F$2:$F$181,SMALL(_xlfn.IFS($G$2:$G$181&lt;$W$2,"",$G$2:$G$181&gt;$W$3,"",ISNUMBER($G$2:$G$181),ROW($A$1:$A$180)),ROW(A9))),"")</f>
        <v/>
      </c>
    </row>
    <row r="13" spans="1:23" ht="15" thickBot="1" x14ac:dyDescent="0.4">
      <c r="A13" s="105"/>
      <c r="B13" s="109"/>
      <c r="C13" s="103" t="s">
        <v>4</v>
      </c>
      <c r="D13" s="23">
        <v>0</v>
      </c>
      <c r="E13" s="23"/>
      <c r="F13" s="51" t="e">
        <f>(AVERAGEIF(D13:E13,"&gt;0",D13:E13))*10^4*100/8</f>
        <v>#DIV/0!</v>
      </c>
      <c r="G13" s="46"/>
      <c r="H13" s="41" t="str">
        <f t="array" ref="H13">IFERROR(INDEX($F$2:$F$181,SMALL(IF($G$2:$G$181=3,ROW($A$1:$A$163),""),ROW(A3))),"")</f>
        <v/>
      </c>
      <c r="I13" s="41" t="e">
        <f>AVERAGE(H11:H13)</f>
        <v>#DIV/0!</v>
      </c>
      <c r="J13" s="58" t="e">
        <f>STDEV(H11:H13)</f>
        <v>#DIV/0!</v>
      </c>
      <c r="K13" s="61" t="str">
        <f t="array" ref="K13">IFERROR(INDEX($I$2:$I$81,SMALL(IF(ISNUMBER($I$2:$I$81),ROW($A$1:$A$80),""),ROW(A12))),"")</f>
        <v/>
      </c>
      <c r="L13" s="61" t="str">
        <f t="array" ref="L13">IFERROR(INDEX($J$2:$J$81,SMALL(IF(ISNUMBER($J$2:$J$81),ROW($A$1:$A$80),""),ROW(A12))),"")</f>
        <v/>
      </c>
      <c r="M13" s="61"/>
      <c r="N13" s="25" t="str">
        <f t="array" ref="N13">IFERROR(INDEX($F$2:$F$181,SMALL(_xlfn.IFS($G$2:$G$181&lt;$N$2,"",$G$2:$G$181&gt;$N$3,"",ISNUMBER($G$2:$G$181),ROW($A$1:$A$180)),ROW(A10))),"")</f>
        <v/>
      </c>
      <c r="O13" s="25" t="str">
        <f t="array" ref="O13">IFERROR(INDEX($F$2:$F$181,SMALL(_xlfn.IFS($G$2:$G$181&lt;$O$2,"",$G$2:$G$181&gt;$O$3,"",ISNUMBER($G$2:$G$181),ROW($A$1:$A$180)),ROW(A10))),"")</f>
        <v/>
      </c>
      <c r="P13" s="25" t="str">
        <f t="array" ref="P13">IFERROR(INDEX($F$2:$F$181,SMALL(_xlfn.IFS($G$2:$G$181&lt;$P$2,"",$G$2:$G$181&gt;$P$3,"",ISNUMBER($G$2:$G$181),ROW($A$1:$A$180)),ROW(A10))),"")</f>
        <v/>
      </c>
      <c r="Q13" s="25" t="str">
        <f t="array" ref="Q13">IFERROR(INDEX($F$2:$F$181,SMALL(_xlfn.IFS($G$2:$G$181&lt;$Q$2,"",$G$2:$G$181&gt;$Q$3,"",ISNUMBER($G$2:$G$181),ROW($A$1:$A$180)),ROW(A10))),"")</f>
        <v/>
      </c>
      <c r="R13" s="25" t="str">
        <f t="array" ref="R13">IFERROR(INDEX($F$2:$F$181,SMALL(_xlfn.IFS($G$2:$G$181&lt;$R$2,"",$G$2:$G$181&gt;$R$3,"",ISNUMBER($G$2:$G$181),ROW($A$1:$A$180)),ROW(A10))),"")</f>
        <v/>
      </c>
      <c r="S13" s="42" t="str">
        <f t="array" ref="S13">IFERROR(INDEX($F$2:$F$181,SMALL(_xlfn.IFS($G$2:$G$181&lt;$S$2,"",$G$2:$G$181&gt;$S$3,"",ISNUMBER($G$2:$G$181),ROW($A$1:$A$180)),ROW(A10))),"")</f>
        <v/>
      </c>
      <c r="T13" s="62" t="str">
        <f t="array" ref="T13">IFERROR(INDEX($F$2:$F$181,SMALL(_xlfn.IFS($G$2:$G$181&lt;$T$2,"",$G$2:$G$181&gt;$T$3,"",ISNUMBER($G$2:$G$181),ROW($A$1:$A$180)),ROW(A10))),"")</f>
        <v/>
      </c>
      <c r="U13" s="13" t="str">
        <f t="array" ref="U13">IFERROR(INDEX($F$2:$F$181,SMALL(_xlfn.IFS($G$2:$G$181&lt;$U$2,"",$G$2:$G$181&gt;$U$3,"",ISNUMBER($G$2:$G$181),ROW($A$1:$A$180)),ROW(A10))),"")</f>
        <v/>
      </c>
      <c r="V13" s="13" t="str">
        <f t="array" ref="V13">IFERROR(INDEX($F$2:$F$181,SMALL(_xlfn.IFS($G$2:$G$181&lt;$V$2,"",$G$2:$G$181&gt;$V$3,"",ISNUMBER($G$2:$G$181),ROW($A$1:$A$180)),ROW(A10))),"")</f>
        <v/>
      </c>
      <c r="W13" s="13" t="str">
        <f t="array" ref="W13">IFERROR(INDEX($F$2:$F$181,SMALL(_xlfn.IFS($G$2:$G$181&lt;$W$2,"",$G$2:$G$181&gt;$W$3,"",ISNUMBER($G$2:$G$181),ROW($A$1:$A$180)),ROW(A10))),"")</f>
        <v/>
      </c>
    </row>
    <row r="14" spans="1:23" ht="15" thickTop="1" x14ac:dyDescent="0.35">
      <c r="A14" s="105"/>
      <c r="B14" s="110">
        <v>2</v>
      </c>
      <c r="C14" s="101" t="s">
        <v>108</v>
      </c>
      <c r="D14" s="16">
        <v>25</v>
      </c>
      <c r="E14" s="16">
        <v>27</v>
      </c>
      <c r="F14" s="49">
        <f t="shared" ref="F14" si="6">(AVERAGEIF(D14:E14,"&gt;0",D14:E14))*10^2*100/8</f>
        <v>32500</v>
      </c>
      <c r="G14" s="46">
        <v>2</v>
      </c>
      <c r="H14" s="41" t="s">
        <v>22</v>
      </c>
      <c r="I14" s="41"/>
      <c r="J14" s="60"/>
      <c r="K14" s="61" t="str">
        <f t="array" ref="K14">IFERROR(INDEX($I$2:$I$81,SMALL(IF(ISNUMBER($I$2:$I$81),ROW($A$1:$A$80),""),ROW(A13))),"")</f>
        <v/>
      </c>
      <c r="L14" s="61" t="str">
        <f t="array" ref="L14">IFERROR(INDEX($J$2:$J$81,SMALL(IF(ISNUMBER($J$2:$J$81),ROW($A$1:$A$80),""),ROW(A13))),"")</f>
        <v/>
      </c>
      <c r="M14" s="61"/>
      <c r="N14" s="25" t="str">
        <f t="array" ref="N14">IFERROR(INDEX($F$2:$F$181,SMALL(_xlfn.IFS($G$2:$G$181&lt;$N$2,"",$G$2:$G$181&gt;$N$3,"",ISNUMBER($G$2:$G$181),ROW($A$1:$A$180)),ROW(A11))),"")</f>
        <v/>
      </c>
      <c r="O14" s="25" t="str">
        <f t="array" ref="O14">IFERROR(INDEX($F$2:$F$181,SMALL(_xlfn.IFS($G$2:$G$181&lt;$O$2,"",$G$2:$G$181&gt;$O$3,"",ISNUMBER($G$2:$G$181),ROW($A$1:$A$180)),ROW(A11))),"")</f>
        <v/>
      </c>
      <c r="P14" s="25" t="str">
        <f t="array" ref="P14">IFERROR(INDEX($F$2:$F$181,SMALL(_xlfn.IFS($G$2:$G$181&lt;$P$2,"",$G$2:$G$181&gt;$P$3,"",ISNUMBER($G$2:$G$181),ROW($A$1:$A$180)),ROW(A11))),"")</f>
        <v/>
      </c>
      <c r="Q14" s="25" t="str">
        <f t="array" ref="Q14">IFERROR(INDEX($F$2:$F$181,SMALL(_xlfn.IFS($G$2:$G$181&lt;$Q$2,"",$G$2:$G$181&gt;$Q$3,"",ISNUMBER($G$2:$G$181),ROW($A$1:$A$180)),ROW(A11))),"")</f>
        <v/>
      </c>
      <c r="R14" s="25" t="str">
        <f t="array" ref="R14">IFERROR(INDEX($F$2:$F$181,SMALL(_xlfn.IFS($G$2:$G$181&lt;$R$2,"",$G$2:$G$181&gt;$R$3,"",ISNUMBER($G$2:$G$181),ROW($A$1:$A$180)),ROW(A11))),"")</f>
        <v/>
      </c>
      <c r="S14" s="42" t="str">
        <f t="array" ref="S14">IFERROR(INDEX($F$2:$F$181,SMALL(_xlfn.IFS($G$2:$G$181&lt;$S$2,"",$G$2:$G$181&gt;$S$3,"",ISNUMBER($G$2:$G$181),ROW($A$1:$A$180)),ROW(A11))),"")</f>
        <v/>
      </c>
      <c r="T14" s="62" t="str">
        <f t="array" ref="T14">IFERROR(INDEX($F$2:$F$181,SMALL(_xlfn.IFS($G$2:$G$181&lt;$T$2,"",$G$2:$G$181&gt;$T$3,"",ISNUMBER($G$2:$G$181),ROW($A$1:$A$180)),ROW(A11))),"")</f>
        <v/>
      </c>
      <c r="U14" s="13" t="str">
        <f t="array" ref="U14">IFERROR(INDEX($F$2:$F$181,SMALL(_xlfn.IFS($G$2:$G$181&lt;$U$2,"",$G$2:$G$181&gt;$U$3,"",ISNUMBER($G$2:$G$181),ROW($A$1:$A$180)),ROW(A11))),"")</f>
        <v/>
      </c>
      <c r="V14" s="13" t="str">
        <f t="array" ref="V14">IFERROR(INDEX($F$2:$F$181,SMALL(_xlfn.IFS($G$2:$G$181&lt;$V$2,"",$G$2:$G$181&gt;$V$3,"",ISNUMBER($G$2:$G$181),ROW($A$1:$A$180)),ROW(A11))),"")</f>
        <v/>
      </c>
      <c r="W14" s="13" t="str">
        <f t="array" ref="W14">IFERROR(INDEX($F$2:$F$181,SMALL(_xlfn.IFS($G$2:$G$181&lt;$W$2,"",$G$2:$G$181&gt;$W$3,"",ISNUMBER($G$2:$G$181),ROW($A$1:$A$180)),ROW(A11))),"")</f>
        <v/>
      </c>
    </row>
    <row r="15" spans="1:23" x14ac:dyDescent="0.35">
      <c r="A15" s="105"/>
      <c r="B15" s="108"/>
      <c r="C15" s="102" t="s">
        <v>6</v>
      </c>
      <c r="D15" s="20">
        <v>3</v>
      </c>
      <c r="E15" s="94">
        <v>2</v>
      </c>
      <c r="F15" s="50">
        <f t="shared" ref="F15" si="7">(AVERAGEIF(D15:E15,"&gt;0",D15:E15))*10^3*100/8</f>
        <v>31250</v>
      </c>
      <c r="G15" s="46"/>
      <c r="H15" s="41" t="str">
        <f t="array" ref="H15">IFERROR(INDEX($F$2:$F$181,SMALL(IF($G$2:$G$181=4,ROW($A$1:$A$163),""),ROW(A1))),"")</f>
        <v/>
      </c>
      <c r="I15" s="41"/>
      <c r="J15" s="60"/>
      <c r="K15" s="61" t="str">
        <f t="array" ref="K15">IFERROR(INDEX($I$2:$I$81,SMALL(IF(ISNUMBER($I$2:$I$81),ROW($A$1:$A$80),""),ROW(A14))),"")</f>
        <v/>
      </c>
      <c r="L15" s="61" t="str">
        <f t="array" ref="L15">IFERROR(INDEX($J$2:$J$81,SMALL(IF(ISNUMBER($J$2:$J$81),ROW($A$1:$A$80),""),ROW(A14))),"")</f>
        <v/>
      </c>
      <c r="M15" s="61"/>
      <c r="N15" s="25" t="str">
        <f t="array" ref="N15">IFERROR(INDEX($F$2:$F$181,SMALL(_xlfn.IFS($G$2:$G$181&lt;$N$2,"",$G$2:$G$181&gt;$N$3,"",ISNUMBER($G$2:$G$181),ROW($A$1:$A$180)),ROW(A12))),"")</f>
        <v/>
      </c>
      <c r="O15" s="25" t="str">
        <f t="array" ref="O15">IFERROR(INDEX($F$2:$F$181,SMALL(_xlfn.IFS($G$2:$G$181&lt;$O$2,"",$G$2:$G$181&gt;$O$3,"",ISNUMBER($G$2:$G$181),ROW($A$1:$A$180)),ROW(A12))),"")</f>
        <v/>
      </c>
      <c r="P15" s="25" t="str">
        <f t="array" ref="P15">IFERROR(INDEX($F$2:$F$181,SMALL(_xlfn.IFS($G$2:$G$181&lt;$P$2,"",$G$2:$G$181&gt;$P$3,"",ISNUMBER($G$2:$G$181),ROW($A$1:$A$180)),ROW(A12))),"")</f>
        <v/>
      </c>
      <c r="Q15" s="25" t="str">
        <f t="array" ref="Q15">IFERROR(INDEX($F$2:$F$181,SMALL(_xlfn.IFS($G$2:$G$181&lt;$Q$2,"",$G$2:$G$181&gt;$Q$3,"",ISNUMBER($G$2:$G$181),ROW($A$1:$A$180)),ROW(A12))),"")</f>
        <v/>
      </c>
      <c r="R15" s="25" t="str">
        <f t="array" ref="R15">IFERROR(INDEX($F$2:$F$181,SMALL(_xlfn.IFS($G$2:$G$181&lt;$R$2,"",$G$2:$G$181&gt;$R$3,"",ISNUMBER($G$2:$G$181),ROW($A$1:$A$180)),ROW(A12))),"")</f>
        <v/>
      </c>
      <c r="S15" s="42" t="str">
        <f t="array" ref="S15">IFERROR(INDEX($F$2:$F$181,SMALL(_xlfn.IFS($G$2:$G$181&lt;$S$2,"",$G$2:$G$181&gt;$S$3,"",ISNUMBER($G$2:$G$181),ROW($A$1:$A$180)),ROW(A12))),"")</f>
        <v/>
      </c>
      <c r="T15" s="62" t="str">
        <f t="array" ref="T15">IFERROR(INDEX($F$2:$F$181,SMALL(_xlfn.IFS($G$2:$G$181&lt;$T$2,"",$G$2:$G$181&gt;$T$3,"",ISNUMBER($G$2:$G$181),ROW($A$1:$A$180)),ROW(A12))),"")</f>
        <v/>
      </c>
      <c r="U15" s="13" t="str">
        <f t="array" ref="U15">IFERROR(INDEX($F$2:$F$181,SMALL(_xlfn.IFS($G$2:$G$181&lt;$U$2,"",$G$2:$G$181&gt;$U$3,"",ISNUMBER($G$2:$G$181),ROW($A$1:$A$180)),ROW(A12))),"")</f>
        <v/>
      </c>
      <c r="V15" s="13" t="str">
        <f t="array" ref="V15">IFERROR(INDEX($F$2:$F$181,SMALL(_xlfn.IFS($G$2:$G$181&lt;$V$2,"",$G$2:$G$181&gt;$V$3,"",ISNUMBER($G$2:$G$181),ROW($A$1:$A$180)),ROW(A12))),"")</f>
        <v/>
      </c>
      <c r="W15" s="13" t="str">
        <f t="array" ref="W15">IFERROR(INDEX($F$2:$F$181,SMALL(_xlfn.IFS($G$2:$G$181&lt;$W$2,"",$G$2:$G$181&gt;$W$3,"",ISNUMBER($G$2:$G$181),ROW($A$1:$A$180)),ROW(A12))),"")</f>
        <v/>
      </c>
    </row>
    <row r="16" spans="1:23" ht="15" thickBot="1" x14ac:dyDescent="0.4">
      <c r="A16" s="105"/>
      <c r="B16" s="109"/>
      <c r="C16" s="103" t="s">
        <v>4</v>
      </c>
      <c r="D16" s="23">
        <v>0</v>
      </c>
      <c r="E16" s="23"/>
      <c r="F16" s="51" t="e">
        <f t="shared" ref="F16" si="8">(AVERAGEIF(D16:E16,"&gt;0",D16:E16))*10^4*100/8</f>
        <v>#DIV/0!</v>
      </c>
      <c r="G16" s="46"/>
      <c r="H16" s="41" t="str">
        <f t="array" ref="H16">IFERROR(INDEX($F$2:$F$181,SMALL(IF($G$2:$G$181=4,ROW($A$1:$A$163),""),ROW(A2))),"")</f>
        <v/>
      </c>
      <c r="I16" s="41"/>
      <c r="J16" s="60"/>
      <c r="K16" s="61" t="str">
        <f t="array" ref="K16">IFERROR(INDEX($I$2:$I$81,SMALL(IF(ISNUMBER($I$2:$I$81),ROW($A$1:$A$80),""),ROW(A15))),"")</f>
        <v/>
      </c>
      <c r="L16" s="61" t="str">
        <f t="array" ref="L16">IFERROR(INDEX($J$2:$J$81,SMALL(IF(ISNUMBER($J$2:$J$81),ROW($A$1:$A$80),""),ROW(A15))),"")</f>
        <v/>
      </c>
      <c r="M16" s="61"/>
      <c r="N16" s="25" t="str">
        <f t="array" ref="N16">IFERROR(INDEX($F$2:$F$181,SMALL(_xlfn.IFS($G$2:$G$181&lt;$N$2,"",$G$2:$G$181&gt;$N$3,"",ISNUMBER($G$2:$G$181),ROW($A$1:$A$180)),ROW(A13))),"")</f>
        <v/>
      </c>
      <c r="O16" s="25" t="str">
        <f t="array" ref="O16">IFERROR(INDEX($F$2:$F$181,SMALL(_xlfn.IFS($G$2:$G$181&lt;$O$2,"",$G$2:$G$181&gt;$O$3,"",ISNUMBER($G$2:$G$181),ROW($A$1:$A$180)),ROW(A13))),"")</f>
        <v/>
      </c>
      <c r="P16" s="25" t="str">
        <f t="array" ref="P16">IFERROR(INDEX($F$2:$F$181,SMALL(_xlfn.IFS($G$2:$G$181&lt;$P$2,"",$G$2:$G$181&gt;$P$3,"",ISNUMBER($G$2:$G$181),ROW($A$1:$A$180)),ROW(A13))),"")</f>
        <v/>
      </c>
      <c r="Q16" s="25" t="str">
        <f t="array" ref="Q16">IFERROR(INDEX($F$2:$F$181,SMALL(_xlfn.IFS($G$2:$G$181&lt;$Q$2,"",$G$2:$G$181&gt;$Q$3,"",ISNUMBER($G$2:$G$181),ROW($A$1:$A$180)),ROW(A13))),"")</f>
        <v/>
      </c>
      <c r="R16" s="25" t="str">
        <f t="array" ref="R16">IFERROR(INDEX($F$2:$F$181,SMALL(_xlfn.IFS($G$2:$G$181&lt;$R$2,"",$G$2:$G$181&gt;$R$3,"",ISNUMBER($G$2:$G$181),ROW($A$1:$A$180)),ROW(A13))),"")</f>
        <v/>
      </c>
      <c r="S16" s="42" t="str">
        <f t="array" ref="S16">IFERROR(INDEX($F$2:$F$181,SMALL(_xlfn.IFS($G$2:$G$181&lt;$S$2,"",$G$2:$G$181&gt;$S$3,"",ISNUMBER($G$2:$G$181),ROW($A$1:$A$180)),ROW(A13))),"")</f>
        <v/>
      </c>
      <c r="T16" s="62" t="str">
        <f t="array" ref="T16">IFERROR(INDEX($F$2:$F$181,SMALL(_xlfn.IFS($G$2:$G$181&lt;$T$2,"",$G$2:$G$181&gt;$T$3,"",ISNUMBER($G$2:$G$181),ROW($A$1:$A$180)),ROW(A13))),"")</f>
        <v/>
      </c>
      <c r="U16" s="13" t="str">
        <f t="array" ref="U16">IFERROR(INDEX($F$2:$F$181,SMALL(_xlfn.IFS($G$2:$G$181&lt;$U$2,"",$G$2:$G$181&gt;$U$3,"",ISNUMBER($G$2:$G$181),ROW($A$1:$A$180)),ROW(A13))),"")</f>
        <v/>
      </c>
      <c r="V16" s="13" t="str">
        <f t="array" ref="V16">IFERROR(INDEX($F$2:$F$181,SMALL(_xlfn.IFS($G$2:$G$181&lt;$V$2,"",$G$2:$G$181&gt;$V$3,"",ISNUMBER($G$2:$G$181),ROW($A$1:$A$180)),ROW(A13))),"")</f>
        <v/>
      </c>
      <c r="W16" s="13" t="str">
        <f t="array" ref="W16">IFERROR(INDEX($F$2:$F$181,SMALL(_xlfn.IFS($G$2:$G$181&lt;$W$2,"",$G$2:$G$181&gt;$W$3,"",ISNUMBER($G$2:$G$181),ROW($A$1:$A$180)),ROW(A13))),"")</f>
        <v/>
      </c>
    </row>
    <row r="17" spans="1:23" ht="15" thickTop="1" x14ac:dyDescent="0.35">
      <c r="A17" s="105"/>
      <c r="B17" s="110">
        <v>3</v>
      </c>
      <c r="C17" s="101" t="s">
        <v>108</v>
      </c>
      <c r="D17" s="96">
        <v>59</v>
      </c>
      <c r="E17" s="96">
        <v>59</v>
      </c>
      <c r="F17" s="49">
        <f t="shared" ref="F17" si="9">(AVERAGEIF(D17:E17,"&gt;0",D17:E17))*10^2*100/8</f>
        <v>73750</v>
      </c>
      <c r="G17" s="46">
        <v>2</v>
      </c>
      <c r="H17" s="41" t="str">
        <f t="array" ref="H17">IFERROR(INDEX($F$2:$F$181,SMALL(IF($G$2:$G$181=4,ROW($A$1:$A$163),""),ROW(A3))),"")</f>
        <v/>
      </c>
      <c r="I17" s="41" t="e">
        <f>AVERAGE(H15:H17)</f>
        <v>#DIV/0!</v>
      </c>
      <c r="J17" s="58" t="e">
        <f>STDEV(H15:H17)</f>
        <v>#DIV/0!</v>
      </c>
      <c r="K17" s="61" t="str">
        <f t="array" ref="K17">IFERROR(INDEX($I$2:$I$81,SMALL(IF(ISNUMBER($I$2:$I$81),ROW($A$1:$A$80),""),ROW(A16))),"")</f>
        <v/>
      </c>
      <c r="L17" s="61" t="str">
        <f t="array" ref="L17">IFERROR(INDEX($J$2:$J$81,SMALL(IF(ISNUMBER($J$2:$J$81),ROW($A$1:$A$80),""),ROW(A16))),"")</f>
        <v/>
      </c>
      <c r="M17" s="61"/>
      <c r="N17" s="25" t="str">
        <f t="array" ref="N17">IFERROR(INDEX($F$2:$F$181,SMALL(_xlfn.IFS($G$2:$G$181&lt;$N$2,"",$G$2:$G$181&gt;$N$3,"",ISNUMBER($G$2:$G$181),ROW($A$1:$A$180)),ROW(A14))),"")</f>
        <v/>
      </c>
      <c r="O17" s="25" t="str">
        <f t="array" ref="O17">IFERROR(INDEX($F$2:$F$181,SMALL(_xlfn.IFS($G$2:$G$181&lt;$O$2,"",$G$2:$G$181&gt;$O$3,"",ISNUMBER($G$2:$G$181),ROW($A$1:$A$180)),ROW(A14))),"")</f>
        <v/>
      </c>
      <c r="P17" s="25" t="str">
        <f t="array" ref="P17">IFERROR(INDEX($F$2:$F$181,SMALL(_xlfn.IFS($G$2:$G$181&lt;$P$2,"",$G$2:$G$181&gt;$P$3,"",ISNUMBER($G$2:$G$181),ROW($A$1:$A$180)),ROW(A14))),"")</f>
        <v/>
      </c>
      <c r="Q17" s="25" t="str">
        <f t="array" ref="Q17">IFERROR(INDEX($F$2:$F$181,SMALL(_xlfn.IFS($G$2:$G$181&lt;$Q$2,"",$G$2:$G$181&gt;$Q$3,"",ISNUMBER($G$2:$G$181),ROW($A$1:$A$180)),ROW(A14))),"")</f>
        <v/>
      </c>
      <c r="R17" s="25" t="str">
        <f t="array" ref="R17">IFERROR(INDEX($F$2:$F$181,SMALL(_xlfn.IFS($G$2:$G$181&lt;$R$2,"",$G$2:$G$181&gt;$R$3,"",ISNUMBER($G$2:$G$181),ROW($A$1:$A$180)),ROW(A14))),"")</f>
        <v/>
      </c>
      <c r="S17" s="42" t="str">
        <f t="array" ref="S17">IFERROR(INDEX($F$2:$F$181,SMALL(_xlfn.IFS($G$2:$G$181&lt;$S$2,"",$G$2:$G$181&gt;$S$3,"",ISNUMBER($G$2:$G$181),ROW($A$1:$A$180)),ROW(A14))),"")</f>
        <v/>
      </c>
      <c r="T17" s="62" t="str">
        <f t="array" ref="T17">IFERROR(INDEX($F$2:$F$181,SMALL(_xlfn.IFS($G$2:$G$181&lt;$T$2,"",$G$2:$G$181&gt;$T$3,"",ISNUMBER($G$2:$G$181),ROW($A$1:$A$180)),ROW(A14))),"")</f>
        <v/>
      </c>
      <c r="U17" s="13" t="str">
        <f t="array" ref="U17">IFERROR(INDEX($F$2:$F$181,SMALL(_xlfn.IFS($G$2:$G$181&lt;$U$2,"",$G$2:$G$181&gt;$U$3,"",ISNUMBER($G$2:$G$181),ROW($A$1:$A$180)),ROW(A14))),"")</f>
        <v/>
      </c>
      <c r="V17" s="13" t="str">
        <f t="array" ref="V17">IFERROR(INDEX($F$2:$F$181,SMALL(_xlfn.IFS($G$2:$G$181&lt;$V$2,"",$G$2:$G$181&gt;$V$3,"",ISNUMBER($G$2:$G$181),ROW($A$1:$A$180)),ROW(A14))),"")</f>
        <v/>
      </c>
      <c r="W17" s="13" t="str">
        <f t="array" ref="W17">IFERROR(INDEX($F$2:$F$181,SMALL(_xlfn.IFS($G$2:$G$181&lt;$W$2,"",$G$2:$G$181&gt;$W$3,"",ISNUMBER($G$2:$G$181),ROW($A$1:$A$180)),ROW(A14))),"")</f>
        <v/>
      </c>
    </row>
    <row r="18" spans="1:23" x14ac:dyDescent="0.35">
      <c r="A18" s="105"/>
      <c r="B18" s="108"/>
      <c r="C18" s="102" t="s">
        <v>6</v>
      </c>
      <c r="D18" s="20">
        <v>8</v>
      </c>
      <c r="E18" s="20">
        <v>7</v>
      </c>
      <c r="F18" s="50">
        <f t="shared" ref="F18" si="10">(AVERAGEIF(D18:E18,"&gt;0",D18:E18))*10^3*100/8</f>
        <v>93750</v>
      </c>
      <c r="G18" s="46"/>
      <c r="H18" s="41" t="s">
        <v>23</v>
      </c>
      <c r="I18" s="41"/>
      <c r="J18" s="60"/>
      <c r="K18" s="61" t="str">
        <f t="array" ref="K18">IFERROR(INDEX($I$2:$I$81,SMALL(IF(ISNUMBER($I$2:$I$81),ROW($A$1:$A$80),""),ROW(A17))),"")</f>
        <v/>
      </c>
      <c r="L18" s="61" t="str">
        <f t="array" ref="L18">IFERROR(INDEX($J$2:$J$81,SMALL(IF(ISNUMBER($J$2:$J$81),ROW($A$1:$A$80),""),ROW(A17))),"")</f>
        <v/>
      </c>
      <c r="M18" s="61"/>
      <c r="N18" s="25" t="str">
        <f t="array" ref="N18">IFERROR(INDEX($F$2:$F$181,SMALL(_xlfn.IFS($G$2:$G$181&lt;$N$2,"",$G$2:$G$181&gt;$N$3,"",ISNUMBER($G$2:$G$181),ROW($A$1:$A$180)),ROW(A15))),"")</f>
        <v/>
      </c>
      <c r="O18" s="25" t="str">
        <f t="array" ref="O18">IFERROR(INDEX($F$2:$F$181,SMALL(_xlfn.IFS($G$2:$G$181&lt;$O$2,"",$G$2:$G$181&gt;$O$3,"",ISNUMBER($G$2:$G$181),ROW($A$1:$A$180)),ROW(A15))),"")</f>
        <v/>
      </c>
      <c r="P18" s="25" t="str">
        <f t="array" ref="P18">IFERROR(INDEX($F$2:$F$181,SMALL(_xlfn.IFS($G$2:$G$181&lt;$P$2,"",$G$2:$G$181&gt;$P$3,"",ISNUMBER($G$2:$G$181),ROW($A$1:$A$180)),ROW(A15))),"")</f>
        <v/>
      </c>
      <c r="Q18" s="25" t="str">
        <f t="array" ref="Q18">IFERROR(INDEX($F$2:$F$181,SMALL(_xlfn.IFS($G$2:$G$181&lt;$Q$2,"",$G$2:$G$181&gt;$Q$3,"",ISNUMBER($G$2:$G$181),ROW($A$1:$A$180)),ROW(A15))),"")</f>
        <v/>
      </c>
      <c r="R18" s="25" t="str">
        <f t="array" ref="R18">IFERROR(INDEX($F$2:$F$181,SMALL(_xlfn.IFS($G$2:$G$181&lt;$R$2,"",$G$2:$G$181&gt;$R$3,"",ISNUMBER($G$2:$G$181),ROW($A$1:$A$180)),ROW(A15))),"")</f>
        <v/>
      </c>
      <c r="S18" s="42" t="str">
        <f t="array" ref="S18">IFERROR(INDEX($F$2:$F$181,SMALL(_xlfn.IFS($G$2:$G$181&lt;$S$2,"",$G$2:$G$181&gt;$S$3,"",ISNUMBER($G$2:$G$181),ROW($A$1:$A$180)),ROW(A15))),"")</f>
        <v/>
      </c>
      <c r="T18" s="62" t="str">
        <f t="array" ref="T18">IFERROR(INDEX($F$2:$F$181,SMALL(_xlfn.IFS($G$2:$G$181&lt;$T$2,"",$G$2:$G$181&gt;$T$3,"",ISNUMBER($G$2:$G$181),ROW($A$1:$A$180)),ROW(A15))),"")</f>
        <v/>
      </c>
      <c r="U18" s="13" t="str">
        <f t="array" ref="U18">IFERROR(INDEX($F$2:$F$181,SMALL(_xlfn.IFS($G$2:$G$181&lt;$U$2,"",$G$2:$G$181&gt;$U$3,"",ISNUMBER($G$2:$G$181),ROW($A$1:$A$180)),ROW(A15))),"")</f>
        <v/>
      </c>
      <c r="V18" s="13" t="str">
        <f t="array" ref="V18">IFERROR(INDEX($F$2:$F$181,SMALL(_xlfn.IFS($G$2:$G$181&lt;$V$2,"",$G$2:$G$181&gt;$V$3,"",ISNUMBER($G$2:$G$181),ROW($A$1:$A$180)),ROW(A15))),"")</f>
        <v/>
      </c>
      <c r="W18" s="13" t="str">
        <f t="array" ref="W18">IFERROR(INDEX($F$2:$F$181,SMALL(_xlfn.IFS($G$2:$G$181&lt;$W$2,"",$G$2:$G$181&gt;$W$3,"",ISNUMBER($G$2:$G$181),ROW($A$1:$A$180)),ROW(A15))),"")</f>
        <v/>
      </c>
    </row>
    <row r="19" spans="1:23" ht="15" thickBot="1" x14ac:dyDescent="0.4">
      <c r="A19" s="106"/>
      <c r="B19" s="111"/>
      <c r="C19" s="103" t="s">
        <v>4</v>
      </c>
      <c r="D19" s="54">
        <v>0</v>
      </c>
      <c r="E19" s="54"/>
      <c r="F19" s="51" t="e">
        <f t="shared" ref="F19" si="11">(AVERAGEIF(D19:E19,"&gt;0",D19:E19))*10^4*100/8</f>
        <v>#DIV/0!</v>
      </c>
      <c r="G19" s="46"/>
      <c r="H19" s="41" t="str">
        <f t="array" ref="H19">IFERROR(INDEX($F$2:$F$181,SMALL(IF($G$2:$G$181=5,ROW($A$1:$A$163),""),ROW(A1))),"")</f>
        <v/>
      </c>
      <c r="I19" s="41"/>
      <c r="J19" s="60"/>
      <c r="K19" s="61" t="str">
        <f t="array" ref="K19">IFERROR(INDEX($I$2:$I$81,SMALL(IF(ISNUMBER($I$2:$I$81),ROW($A$1:$A$80),""),ROW(A18))),"")</f>
        <v/>
      </c>
      <c r="L19" s="61" t="str">
        <f t="array" ref="L19">IFERROR(INDEX($J$2:$J$81,SMALL(IF(ISNUMBER($J$2:$J$81),ROW($A$1:$A$80),""),ROW(A18))),"")</f>
        <v/>
      </c>
      <c r="M19" s="61"/>
      <c r="N19" s="25" t="str">
        <f t="array" ref="N19">IFERROR(INDEX($F$2:$F$181,SMALL(_xlfn.IFS($G$2:$G$181&lt;$N$2,"",$G$2:$G$181&gt;$N$3,"",ISNUMBER($G$2:$G$181),ROW($A$1:$A$180)),ROW(A16))),"")</f>
        <v/>
      </c>
      <c r="O19" s="25" t="str">
        <f t="array" ref="O19">IFERROR(INDEX($F$2:$F$181,SMALL(_xlfn.IFS($G$2:$G$181&lt;$O$2,"",$G$2:$G$181&gt;$O$3,"",ISNUMBER($G$2:$G$181),ROW($A$1:$A$180)),ROW(A16))),"")</f>
        <v/>
      </c>
      <c r="P19" s="25" t="str">
        <f t="array" ref="P19">IFERROR(INDEX($F$2:$F$181,SMALL(_xlfn.IFS($G$2:$G$181&lt;$P$2,"",$G$2:$G$181&gt;$P$3,"",ISNUMBER($G$2:$G$181),ROW($A$1:$A$180)),ROW(A16))),"")</f>
        <v/>
      </c>
      <c r="Q19" s="25" t="str">
        <f t="array" ref="Q19">IFERROR(INDEX($F$2:$F$181,SMALL(_xlfn.IFS($G$2:$G$181&lt;$Q$2,"",$G$2:$G$181&gt;$Q$3,"",ISNUMBER($G$2:$G$181),ROW($A$1:$A$180)),ROW(A16))),"")</f>
        <v/>
      </c>
      <c r="R19" s="25" t="str">
        <f t="array" ref="R19">IFERROR(INDEX($F$2:$F$181,SMALL(_xlfn.IFS($G$2:$G$181&lt;$R$2,"",$G$2:$G$181&gt;$R$3,"",ISNUMBER($G$2:$G$181),ROW($A$1:$A$180)),ROW(A16))),"")</f>
        <v/>
      </c>
      <c r="S19" s="42" t="str">
        <f t="array" ref="S19">IFERROR(INDEX($F$2:$F$181,SMALL(_xlfn.IFS($G$2:$G$181&lt;$S$2,"",$G$2:$G$181&gt;$S$3,"",ISNUMBER($G$2:$G$181),ROW($A$1:$A$180)),ROW(A16))),"")</f>
        <v/>
      </c>
      <c r="T19" s="62" t="str">
        <f t="array" ref="T19">IFERROR(INDEX($F$2:$F$181,SMALL(_xlfn.IFS($G$2:$G$181&lt;$T$2,"",$G$2:$G$181&gt;$T$3,"",ISNUMBER($G$2:$G$181),ROW($A$1:$A$180)),ROW(A16))),"")</f>
        <v/>
      </c>
      <c r="U19" s="13" t="str">
        <f t="array" ref="U19">IFERROR(INDEX($F$2:$F$181,SMALL(_xlfn.IFS($G$2:$G$181&lt;$U$2,"",$G$2:$G$181&gt;$U$3,"",ISNUMBER($G$2:$G$181),ROW($A$1:$A$180)),ROW(A16))),"")</f>
        <v/>
      </c>
      <c r="V19" s="13" t="str">
        <f t="array" ref="V19">IFERROR(INDEX($F$2:$F$181,SMALL(_xlfn.IFS($G$2:$G$181&lt;$V$2,"",$G$2:$G$181&gt;$V$3,"",ISNUMBER($G$2:$G$181),ROW($A$1:$A$180)),ROW(A16))),"")</f>
        <v/>
      </c>
      <c r="W19" s="13" t="str">
        <f t="array" ref="W19">IFERROR(INDEX($F$2:$F$181,SMALL(_xlfn.IFS($G$2:$G$181&lt;$W$2,"",$G$2:$G$181&gt;$W$3,"",ISNUMBER($G$2:$G$181),ROW($A$1:$A$180)),ROW(A16))),"")</f>
        <v/>
      </c>
    </row>
    <row r="20" spans="1:23" ht="15" thickTop="1" x14ac:dyDescent="0.35">
      <c r="A20" s="104"/>
      <c r="B20" s="107">
        <v>1</v>
      </c>
      <c r="C20" s="47" t="s">
        <v>6</v>
      </c>
      <c r="D20" s="95"/>
      <c r="E20" s="95"/>
      <c r="F20" s="49" t="e">
        <f t="shared" ref="F20" si="12">(AVERAGEIF(D20:E20,"&gt;0",D20:E20))*10^3*100/8</f>
        <v>#DIV/0!</v>
      </c>
      <c r="G20" s="100" t="s">
        <v>109</v>
      </c>
      <c r="H20" s="41" t="str">
        <f t="array" ref="H20">IFERROR(INDEX($F$2:$F$181,SMALL(IF($G$2:$G$181=5,ROW($A$1:$A$163),""),ROW(A2))),"")</f>
        <v/>
      </c>
      <c r="I20" s="41"/>
      <c r="J20" s="60"/>
      <c r="K20" s="61" t="str">
        <f t="array" ref="K20">IFERROR(INDEX($I$2:$I$81,SMALL(IF(ISNUMBER($I$2:$I$81),ROW($A$1:$A$80),""),ROW(A19))),"")</f>
        <v/>
      </c>
      <c r="L20" s="61" t="str">
        <f t="array" ref="L20">IFERROR(INDEX($J$2:$J$81,SMALL(IF(ISNUMBER($J$2:$J$81),ROW($A$1:$A$80),""),ROW(A19))),"")</f>
        <v/>
      </c>
      <c r="M20" s="61"/>
      <c r="N20" s="25" t="str">
        <f t="array" ref="N20">IFERROR(INDEX($F$2:$F$181,SMALL(_xlfn.IFS($G$2:$G$181&lt;$N$2,"",$G$2:$G$181&gt;$N$3,"",ISNUMBER($G$2:$G$181),ROW($A$1:$A$180)),ROW(A17))),"")</f>
        <v/>
      </c>
      <c r="O20" s="25" t="str">
        <f t="array" ref="O20">IFERROR(INDEX($F$2:$F$181,SMALL(_xlfn.IFS($G$2:$G$181&lt;$O$2,"",$G$2:$G$181&gt;$O$3,"",ISNUMBER($G$2:$G$181),ROW($A$1:$A$180)),ROW(A17))),"")</f>
        <v/>
      </c>
      <c r="P20" s="25" t="str">
        <f t="array" ref="P20">IFERROR(INDEX($F$2:$F$181,SMALL(_xlfn.IFS($G$2:$G$181&lt;$P$2,"",$G$2:$G$181&gt;$P$3,"",ISNUMBER($G$2:$G$181),ROW($A$1:$A$180)),ROW(A17))),"")</f>
        <v/>
      </c>
      <c r="Q20" s="25" t="str">
        <f t="array" ref="Q20">IFERROR(INDEX($F$2:$F$181,SMALL(_xlfn.IFS($G$2:$G$181&lt;$Q$2,"",$G$2:$G$181&gt;$Q$3,"",ISNUMBER($G$2:$G$181),ROW($A$1:$A$180)),ROW(A17))),"")</f>
        <v/>
      </c>
      <c r="R20" s="25" t="str">
        <f t="array" ref="R20">IFERROR(INDEX($F$2:$F$181,SMALL(_xlfn.IFS($G$2:$G$181&lt;$R$2,"",$G$2:$G$181&gt;$R$3,"",ISNUMBER($G$2:$G$181),ROW($A$1:$A$180)),ROW(A17))),"")</f>
        <v/>
      </c>
      <c r="S20" s="42" t="str">
        <f t="array" ref="S20">IFERROR(INDEX($F$2:$F$181,SMALL(_xlfn.IFS($G$2:$G$181&lt;$S$2,"",$G$2:$G$181&gt;$S$3,"",ISNUMBER($G$2:$G$181),ROW($A$1:$A$180)),ROW(A17))),"")</f>
        <v/>
      </c>
      <c r="T20" s="62" t="str">
        <f t="array" ref="T20">IFERROR(INDEX($F$2:$F$181,SMALL(_xlfn.IFS($G$2:$G$181&lt;$T$2,"",$G$2:$G$181&gt;$T$3,"",ISNUMBER($G$2:$G$181),ROW($A$1:$A$180)),ROW(A17))),"")</f>
        <v/>
      </c>
      <c r="U20" s="13" t="str">
        <f t="array" ref="U20">IFERROR(INDEX($F$2:$F$181,SMALL(_xlfn.IFS($G$2:$G$181&lt;$U$2,"",$G$2:$G$181&gt;$U$3,"",ISNUMBER($G$2:$G$181),ROW($A$1:$A$180)),ROW(A17))),"")</f>
        <v/>
      </c>
      <c r="V20" s="13" t="str">
        <f t="array" ref="V20">IFERROR(INDEX($F$2:$F$181,SMALL(_xlfn.IFS($G$2:$G$181&lt;$V$2,"",$G$2:$G$181&gt;$V$3,"",ISNUMBER($G$2:$G$181),ROW($A$1:$A$180)),ROW(A17))),"")</f>
        <v/>
      </c>
      <c r="W20" s="13" t="str">
        <f t="array" ref="W20">IFERROR(INDEX($F$2:$F$181,SMALL(_xlfn.IFS($G$2:$G$181&lt;$W$2,"",$G$2:$G$181&gt;$W$3,"",ISNUMBER($G$2:$G$181),ROW($A$1:$A$180)),ROW(A17))),"")</f>
        <v/>
      </c>
    </row>
    <row r="21" spans="1:23" x14ac:dyDescent="0.35">
      <c r="A21" s="105"/>
      <c r="B21" s="108"/>
      <c r="C21" s="19" t="s">
        <v>4</v>
      </c>
      <c r="D21" s="20"/>
      <c r="E21" s="20"/>
      <c r="F21" s="50" t="e">
        <f t="shared" ref="F21" si="13">(AVERAGEIF(D21:E21,"&gt;0",D21:E21))*10^4*100/8</f>
        <v>#DIV/0!</v>
      </c>
      <c r="G21" s="46"/>
      <c r="H21" s="41" t="str">
        <f t="array" ref="H21">IFERROR(INDEX($F$2:$F$181,SMALL(IF($G$2:$G$181=5,ROW($A$1:$A$163),""),ROW(A3))),"")</f>
        <v/>
      </c>
      <c r="I21" s="41" t="e">
        <f>AVERAGE(H19:H21)</f>
        <v>#DIV/0!</v>
      </c>
      <c r="J21" s="58" t="e">
        <f>STDEV(H19:H21)</f>
        <v>#DIV/0!</v>
      </c>
      <c r="K21" s="61" t="str">
        <f t="array" ref="K21">IFERROR(INDEX($I$2:$I$81,SMALL(IF(ISNUMBER($I$2:$I$81),ROW($A$1:$A$80),""),ROW(A20))),"")</f>
        <v/>
      </c>
      <c r="L21" s="61" t="str">
        <f t="array" ref="L21">IFERROR(INDEX($J$2:$J$81,SMALL(IF(ISNUMBER($J$2:$J$81),ROW($A$1:$A$80),""),ROW(A20))),"")</f>
        <v/>
      </c>
      <c r="M21" s="61"/>
      <c r="N21" s="25" t="str">
        <f t="array" ref="N21">IFERROR(INDEX($F$2:$F$181,SMALL(_xlfn.IFS($G$2:$G$181&lt;$N$2,"",$G$2:$G$181&gt;$N$3,"",ISNUMBER($G$2:$G$181),ROW($A$1:$A$180)),ROW(A18))),"")</f>
        <v/>
      </c>
      <c r="O21" s="25" t="str">
        <f t="array" ref="O21">IFERROR(INDEX($F$2:$F$181,SMALL(_xlfn.IFS($G$2:$G$181&lt;$O$2,"",$G$2:$G$181&gt;$O$3,"",ISNUMBER($G$2:$G$181),ROW($A$1:$A$180)),ROW(A18))),"")</f>
        <v/>
      </c>
      <c r="P21" s="25" t="str">
        <f t="array" ref="P21">IFERROR(INDEX($F$2:$F$181,SMALL(_xlfn.IFS($G$2:$G$181&lt;$P$2,"",$G$2:$G$181&gt;$P$3,"",ISNUMBER($G$2:$G$181),ROW($A$1:$A$180)),ROW(A18))),"")</f>
        <v/>
      </c>
      <c r="Q21" s="25" t="str">
        <f t="array" ref="Q21">IFERROR(INDEX($F$2:$F$181,SMALL(_xlfn.IFS($G$2:$G$181&lt;$Q$2,"",$G$2:$G$181&gt;$Q$3,"",ISNUMBER($G$2:$G$181),ROW($A$1:$A$180)),ROW(A18))),"")</f>
        <v/>
      </c>
      <c r="R21" s="25" t="str">
        <f t="array" ref="R21">IFERROR(INDEX($F$2:$F$181,SMALL(_xlfn.IFS($G$2:$G$181&lt;$R$2,"",$G$2:$G$181&gt;$R$3,"",ISNUMBER($G$2:$G$181),ROW($A$1:$A$180)),ROW(A18))),"")</f>
        <v/>
      </c>
      <c r="S21" s="42" t="str">
        <f t="array" ref="S21">IFERROR(INDEX($F$2:$F$181,SMALL(_xlfn.IFS($G$2:$G$181&lt;$S$2,"",$G$2:$G$181&gt;$S$3,"",ISNUMBER($G$2:$G$181),ROW($A$1:$A$180)),ROW(A18))),"")</f>
        <v/>
      </c>
      <c r="T21" s="62" t="str">
        <f t="array" ref="T21">IFERROR(INDEX($F$2:$F$181,SMALL(_xlfn.IFS($G$2:$G$181&lt;$T$2,"",$G$2:$G$181&gt;$T$3,"",ISNUMBER($G$2:$G$181),ROW($A$1:$A$180)),ROW(A18))),"")</f>
        <v/>
      </c>
      <c r="U21" s="13" t="str">
        <f t="array" ref="U21">IFERROR(INDEX($F$2:$F$181,SMALL(_xlfn.IFS($G$2:$G$181&lt;$U$2,"",$G$2:$G$181&gt;$U$3,"",ISNUMBER($G$2:$G$181),ROW($A$1:$A$180)),ROW(A18))),"")</f>
        <v/>
      </c>
      <c r="V21" s="13" t="str">
        <f t="array" ref="V21">IFERROR(INDEX($F$2:$F$181,SMALL(_xlfn.IFS($G$2:$G$181&lt;$V$2,"",$G$2:$G$181&gt;$V$3,"",ISNUMBER($G$2:$G$181),ROW($A$1:$A$180)),ROW(A18))),"")</f>
        <v/>
      </c>
      <c r="W21" s="13" t="str">
        <f t="array" ref="W21">IFERROR(INDEX($F$2:$F$181,SMALL(_xlfn.IFS($G$2:$G$181&lt;$W$2,"",$G$2:$G$181&gt;$W$3,"",ISNUMBER($G$2:$G$181),ROW($A$1:$A$180)),ROW(A18))),"")</f>
        <v/>
      </c>
    </row>
    <row r="22" spans="1:23" ht="15" thickBot="1" x14ac:dyDescent="0.4">
      <c r="A22" s="105"/>
      <c r="B22" s="109"/>
      <c r="C22" s="22" t="s">
        <v>5</v>
      </c>
      <c r="D22" s="23"/>
      <c r="E22" s="23"/>
      <c r="F22" s="51" t="e">
        <f t="shared" ref="F22" si="14">(AVERAGEIF(D22:E22,"&gt;0",D22:E22))*10^5*100/8</f>
        <v>#DIV/0!</v>
      </c>
      <c r="G22" s="46"/>
      <c r="H22" s="41" t="s">
        <v>24</v>
      </c>
      <c r="I22" s="41"/>
      <c r="J22" s="60"/>
      <c r="K22" s="61" t="str">
        <f t="array" ref="K22">IFERROR(INDEX($I$2:$I$81,SMALL(IF(ISNUMBER($I$2:$I$81),ROW($A$1:$A$80),""),ROW(A21))),"")</f>
        <v/>
      </c>
      <c r="L22" s="61" t="str">
        <f t="array" ref="L22">IFERROR(INDEX($J$2:$J$81,SMALL(IF(ISNUMBER($J$2:$J$81),ROW($A$1:$A$80),""),ROW(A21))),"")</f>
        <v/>
      </c>
      <c r="M22" s="61"/>
      <c r="N22" s="72" t="s">
        <v>51</v>
      </c>
      <c r="O22" s="72" t="s">
        <v>52</v>
      </c>
      <c r="P22" s="67" t="s">
        <v>53</v>
      </c>
      <c r="Q22" s="67" t="s">
        <v>54</v>
      </c>
      <c r="R22" s="68" t="s">
        <v>55</v>
      </c>
      <c r="S22" s="68" t="s">
        <v>56</v>
      </c>
      <c r="T22" s="66" t="s">
        <v>57</v>
      </c>
      <c r="U22" s="66" t="s">
        <v>58</v>
      </c>
      <c r="V22" s="98" t="s">
        <v>92</v>
      </c>
      <c r="W22" s="98" t="s">
        <v>93</v>
      </c>
    </row>
    <row r="23" spans="1:23" ht="15" thickTop="1" x14ac:dyDescent="0.35">
      <c r="A23" s="105"/>
      <c r="B23" s="110">
        <v>2</v>
      </c>
      <c r="C23" s="15" t="s">
        <v>6</v>
      </c>
      <c r="D23" s="96"/>
      <c r="E23" s="86"/>
      <c r="F23" s="49" t="e">
        <f t="shared" ref="F23" si="15">(AVERAGEIF(D23:E23,"&gt;0",D23:E23))*10^3*100/8</f>
        <v>#DIV/0!</v>
      </c>
      <c r="G23" s="46"/>
      <c r="H23" s="41" t="str">
        <f t="array" ref="H23">IFERROR(INDEX($F$2:$F$181,SMALL(IF($G$2:$G$181=6,ROW($A$1:$A$163),""),ROW(A1))),"")</f>
        <v/>
      </c>
      <c r="I23" s="41"/>
      <c r="J23" s="60"/>
      <c r="K23" s="61" t="str">
        <f t="array" ref="K23">IFERROR(INDEX($I$2:$I$81,SMALL(IF(ISNUMBER($I$2:$I$81),ROW($A$1:$A$80),""),ROW(A22))),"")</f>
        <v/>
      </c>
      <c r="L23" s="61" t="str">
        <f t="array" ref="L23">IFERROR(INDEX($J$2:$J$81,SMALL(IF(ISNUMBER($J$2:$J$81),ROW($A$1:$A$80),""),ROW(A22))),"")</f>
        <v/>
      </c>
      <c r="M23" s="61"/>
      <c r="N23" s="25">
        <f t="shared" ref="N23:W23" si="16">AVERAGE(N4:N21)</f>
        <v>2939583.3333333335</v>
      </c>
      <c r="O23" s="25">
        <f t="shared" si="16"/>
        <v>45625</v>
      </c>
      <c r="P23" s="25" t="e">
        <f t="shared" si="16"/>
        <v>#DIV/0!</v>
      </c>
      <c r="Q23" s="25" t="e">
        <f t="shared" si="16"/>
        <v>#DIV/0!</v>
      </c>
      <c r="R23" s="25" t="e">
        <f t="shared" si="16"/>
        <v>#DIV/0!</v>
      </c>
      <c r="S23" s="25" t="e">
        <f t="shared" si="16"/>
        <v>#DIV/0!</v>
      </c>
      <c r="T23" s="25" t="e">
        <f t="shared" si="16"/>
        <v>#DIV/0!</v>
      </c>
      <c r="U23" s="25" t="e">
        <f t="shared" si="16"/>
        <v>#DIV/0!</v>
      </c>
      <c r="V23" s="25" t="e">
        <f t="shared" si="16"/>
        <v>#DIV/0!</v>
      </c>
      <c r="W23" s="25" t="e">
        <f t="shared" si="16"/>
        <v>#DIV/0!</v>
      </c>
    </row>
    <row r="24" spans="1:23" x14ac:dyDescent="0.35">
      <c r="A24" s="105"/>
      <c r="B24" s="108"/>
      <c r="C24" s="19" t="s">
        <v>4</v>
      </c>
      <c r="D24" s="20"/>
      <c r="E24" s="94"/>
      <c r="F24" s="50" t="e">
        <f t="shared" ref="F24" si="17">(AVERAGEIF(D24:E24,"&gt;0",D24:E24))*10^4*100/8</f>
        <v>#DIV/0!</v>
      </c>
      <c r="G24" s="46"/>
      <c r="H24" s="41" t="str">
        <f t="array" ref="H24">IFERROR(INDEX($F$2:$F$181,SMALL(IF($G$2:$G$181=6,ROW($A$1:$A$163),""),ROW(A2))),"")</f>
        <v/>
      </c>
      <c r="I24" s="41"/>
      <c r="J24" s="60"/>
      <c r="K24" s="61" t="str">
        <f t="array" ref="K24">IFERROR(INDEX($I$2:$I$81,SMALL(IF(ISNUMBER($I$2:$I$81),ROW($A$1:$A$80),""),ROW(A23))),"")</f>
        <v/>
      </c>
      <c r="L24" s="61" t="str">
        <f t="array" ref="L24">IFERROR(INDEX($J$2:$J$81,SMALL(IF(ISNUMBER($J$2:$J$81),ROW($A$1:$A$80),""),ROW(A23))),"")</f>
        <v/>
      </c>
      <c r="M24" s="61"/>
      <c r="N24" s="72" t="s">
        <v>59</v>
      </c>
      <c r="O24" s="72" t="s">
        <v>60</v>
      </c>
      <c r="P24" s="67" t="s">
        <v>61</v>
      </c>
      <c r="Q24" s="67" t="s">
        <v>62</v>
      </c>
      <c r="R24" s="68" t="s">
        <v>63</v>
      </c>
      <c r="S24" s="68" t="s">
        <v>64</v>
      </c>
      <c r="T24" s="66" t="s">
        <v>66</v>
      </c>
      <c r="U24" s="66" t="s">
        <v>65</v>
      </c>
      <c r="V24" s="66" t="s">
        <v>94</v>
      </c>
      <c r="W24" s="66" t="s">
        <v>95</v>
      </c>
    </row>
    <row r="25" spans="1:23" ht="15" thickBot="1" x14ac:dyDescent="0.4">
      <c r="A25" s="105"/>
      <c r="B25" s="109"/>
      <c r="C25" s="22" t="s">
        <v>5</v>
      </c>
      <c r="D25" s="23"/>
      <c r="E25" s="23"/>
      <c r="F25" s="51" t="e">
        <f t="shared" ref="F25" si="18">(AVERAGEIF(D25:E25,"&gt;0",D25:E25))*10^5*100/8</f>
        <v>#DIV/0!</v>
      </c>
      <c r="G25" s="46"/>
      <c r="H25" s="41" t="str">
        <f t="array" ref="H25">IFERROR(INDEX($F$2:$F$181,SMALL(IF($G$2:$G$181=6,ROW($A$1:$A$163),""),ROW(A3))),"")</f>
        <v/>
      </c>
      <c r="I25" s="41" t="e">
        <f>AVERAGE(H23:H25)</f>
        <v>#DIV/0!</v>
      </c>
      <c r="J25" s="58" t="e">
        <f>STDEV(H23:H25)</f>
        <v>#DIV/0!</v>
      </c>
      <c r="K25" s="61" t="str">
        <f t="array" ref="K25">IFERROR(INDEX($I$2:$I$81,SMALL(IF(ISNUMBER($I$2:$I$81),ROW($A$1:$A$80),""),ROW(A24))),"")</f>
        <v/>
      </c>
      <c r="L25" s="61" t="str">
        <f t="array" ref="L25">IFERROR(INDEX($J$2:$J$81,SMALL(IF(ISNUMBER($J$2:$J$81),ROW($A$1:$A$80),""),ROW(A24))),"")</f>
        <v/>
      </c>
      <c r="M25" s="61"/>
      <c r="N25" s="27">
        <f t="shared" ref="N25:W25" si="19">STDEV(N4:N21)</f>
        <v>705788.93504597677</v>
      </c>
      <c r="O25" s="27">
        <f t="shared" si="19"/>
        <v>24375</v>
      </c>
      <c r="P25" s="27" t="e">
        <f t="shared" si="19"/>
        <v>#DIV/0!</v>
      </c>
      <c r="Q25" s="27" t="e">
        <f t="shared" si="19"/>
        <v>#DIV/0!</v>
      </c>
      <c r="R25" s="27" t="e">
        <f t="shared" si="19"/>
        <v>#DIV/0!</v>
      </c>
      <c r="S25" s="27" t="e">
        <f t="shared" si="19"/>
        <v>#DIV/0!</v>
      </c>
      <c r="T25" s="27" t="e">
        <f t="shared" si="19"/>
        <v>#DIV/0!</v>
      </c>
      <c r="U25" s="27" t="e">
        <f t="shared" si="19"/>
        <v>#DIV/0!</v>
      </c>
      <c r="V25" s="27" t="e">
        <f t="shared" si="19"/>
        <v>#DIV/0!</v>
      </c>
      <c r="W25" s="27" t="e">
        <f t="shared" si="19"/>
        <v>#DIV/0!</v>
      </c>
    </row>
    <row r="26" spans="1:23" ht="15" thickTop="1" x14ac:dyDescent="0.35">
      <c r="A26" s="105"/>
      <c r="B26" s="110">
        <v>3</v>
      </c>
      <c r="C26" s="15" t="s">
        <v>6</v>
      </c>
      <c r="D26" s="96"/>
      <c r="E26" s="96"/>
      <c r="F26" s="49" t="e">
        <f t="shared" ref="F26" si="20">(AVERAGEIF(D26:E26,"&gt;0",D26:E26))*10^3*100/8</f>
        <v>#DIV/0!</v>
      </c>
      <c r="G26" s="46"/>
      <c r="H26" s="41" t="s">
        <v>25</v>
      </c>
      <c r="I26" s="41"/>
      <c r="J26" s="60"/>
      <c r="K26" s="61" t="str">
        <f t="array" ref="K26">IFERROR(INDEX($I$2:$I$81,SMALL(IF(ISNUMBER($I$2:$I$81),ROW($A$1:$A$80),""),ROW(A25))),"")</f>
        <v/>
      </c>
      <c r="L26" s="61" t="str">
        <f t="array" ref="L26">IFERROR(INDEX($J$2:$J$81,SMALL(IF(ISNUMBER($J$2:$J$81),ROW($A$1:$A$80),""),ROW(A25))),"")</f>
        <v/>
      </c>
      <c r="M26" s="61"/>
      <c r="N26" t="s">
        <v>87</v>
      </c>
      <c r="O26"/>
      <c r="P26"/>
      <c r="Q26" t="s">
        <v>88</v>
      </c>
      <c r="R26"/>
      <c r="S26"/>
    </row>
    <row r="27" spans="1:23" x14ac:dyDescent="0.35">
      <c r="A27" s="105"/>
      <c r="B27" s="108"/>
      <c r="C27" s="19" t="s">
        <v>4</v>
      </c>
      <c r="D27" s="20"/>
      <c r="E27" s="20"/>
      <c r="F27" s="50" t="e">
        <f t="shared" ref="F27" si="21">(AVERAGEIF(D27:E27,"&gt;0",D27:E27))*10^4*100/8</f>
        <v>#DIV/0!</v>
      </c>
      <c r="G27" s="46"/>
      <c r="H27" s="41" t="str">
        <f t="array" ref="H27">IFERROR(INDEX($F$2:$F$181,SMALL(IF($G$2:$G$181=7,ROW($A$1:$A$163),""),ROW(A1))),"")</f>
        <v/>
      </c>
      <c r="I27" s="41"/>
      <c r="J27" s="60"/>
      <c r="K27" s="61" t="str">
        <f t="array" ref="K27">IFERROR(INDEX($I$2:$I$81,SMALL(IF(ISNUMBER($I$2:$I$81),ROW($A$1:$A$80),""),ROW(A26))),"")</f>
        <v/>
      </c>
      <c r="L27" s="61" t="str">
        <f t="array" ref="L27">IFERROR(INDEX($J$2:$J$81,SMALL(IF(ISNUMBER($J$2:$J$81),ROW($A$1:$A$80),""),ROW(A26))),"")</f>
        <v/>
      </c>
      <c r="M27" s="61"/>
      <c r="N27"/>
      <c r="O27"/>
      <c r="P27"/>
      <c r="Q27"/>
      <c r="R27"/>
      <c r="S27"/>
    </row>
    <row r="28" spans="1:23" ht="15" thickBot="1" x14ac:dyDescent="0.4">
      <c r="A28" s="106"/>
      <c r="B28" s="111"/>
      <c r="C28" s="53" t="s">
        <v>5</v>
      </c>
      <c r="D28" s="54"/>
      <c r="E28" s="54"/>
      <c r="F28" s="51" t="e">
        <f t="shared" ref="F28" si="22">(AVERAGEIF(D28:E28,"&gt;0",D28:E28))*10^5*100/8</f>
        <v>#DIV/0!</v>
      </c>
      <c r="G28" s="46"/>
      <c r="H28" s="41" t="str">
        <f t="array" ref="H28">IFERROR(INDEX($F$2:$F$181,SMALL(IF($G$2:$G$181=7,ROW($A$1:$A$163),""),ROW(A2))),"")</f>
        <v/>
      </c>
      <c r="I28" s="41"/>
      <c r="J28" s="60"/>
      <c r="K28" s="26"/>
      <c r="L28" s="61" t="str">
        <f t="array" ref="L28">IFERROR(INDEX($J$2:$J$81,SMALL(IF(ISNUMBER($J$2:$J$81),ROW($A$1:$A$80),""),ROW(A27))),"")</f>
        <v/>
      </c>
      <c r="M28" s="61"/>
      <c r="N28" t="s">
        <v>98</v>
      </c>
      <c r="O28"/>
      <c r="P28"/>
      <c r="Q28"/>
      <c r="R28"/>
      <c r="S28"/>
      <c r="T28"/>
      <c r="U28"/>
      <c r="V28"/>
    </row>
    <row r="29" spans="1:23" ht="15.5" thickTop="1" thickBot="1" x14ac:dyDescent="0.4">
      <c r="A29" s="104" t="s">
        <v>97</v>
      </c>
      <c r="B29" s="107">
        <v>1</v>
      </c>
      <c r="C29" s="47" t="s">
        <v>6</v>
      </c>
      <c r="D29" s="85"/>
      <c r="E29" s="85"/>
      <c r="F29" s="49" t="e">
        <f t="shared" ref="F29" si="23">(AVERAGEIF(D29:E29,"&gt;0",D29:E29))*10^3*100/8</f>
        <v>#DIV/0!</v>
      </c>
      <c r="G29" s="46"/>
      <c r="H29" s="41" t="str">
        <f t="array" ref="H29">IFERROR(INDEX($F$2:$F$181,SMALL(IF($G$2:$G$181=7,ROW($A$1:$A$163),""),ROW(A3))),"")</f>
        <v/>
      </c>
      <c r="I29" s="41" t="e">
        <f>AVERAGE(H27:H29)</f>
        <v>#DIV/0!</v>
      </c>
      <c r="J29" s="58" t="e">
        <f>STDEV(H27:H29)</f>
        <v>#DIV/0!</v>
      </c>
      <c r="K29" s="26"/>
      <c r="L29" s="61" t="str">
        <f t="array" ref="L29">IFERROR(INDEX($J$2:$J$81,SMALL(IF(ISNUMBER($J$2:$J$81),ROW($A$1:$A$80),""),ROW(A28))),"")</f>
        <v/>
      </c>
      <c r="M29" s="61"/>
      <c r="N29"/>
      <c r="O29"/>
      <c r="P29"/>
      <c r="Q29"/>
      <c r="R29"/>
      <c r="S29"/>
      <c r="T29"/>
      <c r="U29"/>
      <c r="V29"/>
    </row>
    <row r="30" spans="1:23" x14ac:dyDescent="0.35">
      <c r="A30" s="105"/>
      <c r="B30" s="108"/>
      <c r="C30" s="19" t="s">
        <v>4</v>
      </c>
      <c r="D30" s="20"/>
      <c r="E30" s="20"/>
      <c r="F30" s="50" t="e">
        <f t="shared" ref="F30" si="24">(AVERAGEIF(D30:E30,"&gt;0",D30:E30))*10^4*100/8</f>
        <v>#DIV/0!</v>
      </c>
      <c r="G30" s="46"/>
      <c r="H30" s="41" t="s">
        <v>26</v>
      </c>
      <c r="I30" s="41"/>
      <c r="J30" s="60"/>
      <c r="K30" s="26"/>
      <c r="L30" s="61" t="str">
        <f t="array" ref="L30">IFERROR(INDEX($J$2:$J$81,SMALL(IF(ISNUMBER($J$2:$J$81),ROW($A$1:$A$80),""),ROW(A29))),"")</f>
        <v/>
      </c>
      <c r="M30" s="61"/>
      <c r="N30" s="28"/>
      <c r="O30" s="28" t="s">
        <v>99</v>
      </c>
      <c r="P30" s="28" t="s">
        <v>100</v>
      </c>
      <c r="Q30" s="28"/>
      <c r="R30" s="28"/>
      <c r="S30" s="28"/>
      <c r="T30" s="28"/>
      <c r="U30" s="28"/>
      <c r="V30" s="28"/>
    </row>
    <row r="31" spans="1:23" ht="15" thickBot="1" x14ac:dyDescent="0.4">
      <c r="A31" s="105"/>
      <c r="B31" s="109"/>
      <c r="C31" s="22" t="s">
        <v>5</v>
      </c>
      <c r="D31" s="23"/>
      <c r="E31" s="23"/>
      <c r="F31" s="51" t="e">
        <f t="shared" ref="F31" si="25">(AVERAGEIF(D31:E31,"&gt;0",D31:E31))*10^5*100/8</f>
        <v>#DIV/0!</v>
      </c>
      <c r="G31" s="46"/>
      <c r="H31" s="41" t="str">
        <f t="array" ref="H31">IFERROR(INDEX($F$2:$F$181,SMALL(IF($G$2:$G$181=8,ROW($A$1:$A$163),""),ROW(A1))),"")</f>
        <v/>
      </c>
      <c r="I31" s="41"/>
      <c r="J31" s="60"/>
      <c r="K31" s="26"/>
      <c r="L31" s="61" t="str">
        <f t="array" ref="L31">IFERROR(INDEX($J$2:$J$81,SMALL(IF(ISNUMBER($J$2:$J$81),ROW($A$1:$A$80),""),ROW(A30))),"")</f>
        <v/>
      </c>
      <c r="M31" s="61"/>
      <c r="N31" s="92" t="s">
        <v>73</v>
      </c>
      <c r="O31" s="92">
        <v>850000</v>
      </c>
      <c r="P31" s="92">
        <v>714583.33333333337</v>
      </c>
      <c r="Q31" s="92"/>
      <c r="R31" s="92"/>
      <c r="S31" s="92"/>
      <c r="T31" s="92"/>
      <c r="U31" s="92"/>
      <c r="V31" s="92"/>
    </row>
    <row r="32" spans="1:23" ht="15" thickTop="1" x14ac:dyDescent="0.35">
      <c r="A32" s="105"/>
      <c r="B32" s="110">
        <v>2</v>
      </c>
      <c r="C32" s="15" t="s">
        <v>6</v>
      </c>
      <c r="D32" s="86"/>
      <c r="E32" s="86"/>
      <c r="F32" s="49" t="e">
        <f t="shared" ref="F32" si="26">(AVERAGEIF(D32:E32,"&gt;0",D32:E32))*10^3*100/8</f>
        <v>#DIV/0!</v>
      </c>
      <c r="G32" s="46"/>
      <c r="H32" s="41" t="str">
        <f t="array" ref="H32">IFERROR(INDEX($F$2:$F$181,SMALL(IF($G$2:$G$181=8,ROW($A$1:$A$163),""),ROW(A2))),"")</f>
        <v/>
      </c>
      <c r="I32" s="41"/>
      <c r="J32" s="60"/>
      <c r="K32" s="26"/>
      <c r="L32" s="61" t="str">
        <f t="array" ref="L32">IFERROR(INDEX($J$2:$J$81,SMALL(IF(ISNUMBER($J$2:$J$81),ROW($A$1:$A$80),""),ROW(A31))),"")</f>
        <v/>
      </c>
      <c r="M32" s="61"/>
      <c r="N32" s="92" t="s">
        <v>74</v>
      </c>
      <c r="O32" s="92">
        <v>160781250000</v>
      </c>
      <c r="P32" s="92">
        <v>77747395833.333374</v>
      </c>
      <c r="Q32" s="92"/>
      <c r="R32" s="92"/>
      <c r="S32" s="92"/>
      <c r="T32" s="92"/>
      <c r="U32" s="92"/>
      <c r="V32" s="92"/>
    </row>
    <row r="33" spans="1:22" x14ac:dyDescent="0.35">
      <c r="A33" s="105"/>
      <c r="B33" s="108"/>
      <c r="C33" s="19" t="s">
        <v>4</v>
      </c>
      <c r="D33" s="20"/>
      <c r="E33" s="20"/>
      <c r="F33" s="50" t="e">
        <f t="shared" ref="F33" si="27">(AVERAGEIF(D33:E33,"&gt;0",D33:E33))*10^4*100/8</f>
        <v>#DIV/0!</v>
      </c>
      <c r="G33" s="46"/>
      <c r="H33" s="41" t="str">
        <f t="array" ref="H33">IFERROR(INDEX($F$2:$F$181,SMALL(IF($G$2:$G$181=8,ROW($A$1:$A$163),""),ROW(A3))),"")</f>
        <v/>
      </c>
      <c r="I33" s="41" t="e">
        <f>AVERAGE(H31:H33)</f>
        <v>#DIV/0!</v>
      </c>
      <c r="J33" s="58" t="e">
        <f>STDEV(H31:H33)</f>
        <v>#DIV/0!</v>
      </c>
      <c r="K33" s="26"/>
      <c r="L33" s="61" t="str">
        <f t="array" ref="L33">IFERROR(INDEX($J$2:$J$81,SMALL(IF(ISNUMBER($J$2:$J$81),ROW($A$1:$A$80),""),ROW(A32))),"")</f>
        <v/>
      </c>
      <c r="M33" s="61"/>
      <c r="N33" s="92" t="s">
        <v>75</v>
      </c>
      <c r="O33" s="92">
        <v>3</v>
      </c>
      <c r="P33" s="92">
        <v>3</v>
      </c>
      <c r="Q33" s="92"/>
      <c r="R33" s="92"/>
      <c r="S33" s="92"/>
      <c r="T33" s="92"/>
      <c r="U33" s="92"/>
      <c r="V33" s="92"/>
    </row>
    <row r="34" spans="1:22" ht="15" thickBot="1" x14ac:dyDescent="0.4">
      <c r="A34" s="105"/>
      <c r="B34" s="109"/>
      <c r="C34" s="22" t="s">
        <v>5</v>
      </c>
      <c r="D34" s="23"/>
      <c r="E34" s="23"/>
      <c r="F34" s="51" t="e">
        <f t="shared" ref="F34" si="28">(AVERAGEIF(D34:E34,"&gt;0",D34:E34))*10^5*100/8</f>
        <v>#DIV/0!</v>
      </c>
      <c r="G34" s="46"/>
      <c r="H34" s="41" t="s">
        <v>27</v>
      </c>
      <c r="I34" s="41"/>
      <c r="J34" s="60"/>
      <c r="K34" s="26"/>
      <c r="L34" s="61" t="str">
        <f t="array" ref="L34">IFERROR(INDEX($J$2:$J$81,SMALL(IF(ISNUMBER($J$2:$J$81),ROW($A$1:$A$80),""),ROW(A33))),"")</f>
        <v/>
      </c>
      <c r="M34" s="61"/>
      <c r="N34" s="92" t="s">
        <v>76</v>
      </c>
      <c r="O34" s="92">
        <v>0</v>
      </c>
      <c r="P34" s="92"/>
      <c r="Q34" s="92"/>
      <c r="R34" s="92"/>
      <c r="S34" s="92"/>
      <c r="T34" s="92"/>
      <c r="U34" s="92"/>
      <c r="V34" s="92"/>
    </row>
    <row r="35" spans="1:22" ht="15" thickTop="1" x14ac:dyDescent="0.35">
      <c r="A35" s="105"/>
      <c r="B35" s="110">
        <v>3</v>
      </c>
      <c r="C35" s="15" t="s">
        <v>6</v>
      </c>
      <c r="D35" s="86"/>
      <c r="E35" s="86"/>
      <c r="F35" s="49" t="e">
        <f t="shared" ref="F35" si="29">(AVERAGEIF(D35:E35,"&gt;0",D35:E35))*10^3*100/8</f>
        <v>#DIV/0!</v>
      </c>
      <c r="G35" s="46"/>
      <c r="H35" s="41" t="str">
        <f t="array" ref="H35">IFERROR(INDEX($F$2:$F$181,SMALL(IF($G$2:$G$181=9,ROW($A$1:$A$163),""),ROW(A1))),"")</f>
        <v/>
      </c>
      <c r="I35" s="41"/>
      <c r="J35" s="60"/>
      <c r="K35" s="26"/>
      <c r="L35" s="61" t="str">
        <f t="array" ref="L35">IFERROR(INDEX($J$2:$J$81,SMALL(IF(ISNUMBER($J$2:$J$81),ROW($A$1:$A$80),""),ROW(A34))),"")</f>
        <v/>
      </c>
      <c r="M35" s="61"/>
      <c r="N35" s="92" t="s">
        <v>77</v>
      </c>
      <c r="O35" s="92">
        <v>4</v>
      </c>
      <c r="P35" s="92"/>
      <c r="Q35" s="92"/>
      <c r="R35" s="92"/>
      <c r="S35" s="92"/>
      <c r="T35" s="92"/>
      <c r="U35" s="92"/>
      <c r="V35" s="92"/>
    </row>
    <row r="36" spans="1:22" x14ac:dyDescent="0.35">
      <c r="A36" s="105"/>
      <c r="B36" s="108"/>
      <c r="C36" s="19" t="s">
        <v>4</v>
      </c>
      <c r="D36" s="20"/>
      <c r="E36" s="20"/>
      <c r="F36" s="50" t="e">
        <f t="shared" ref="F36" si="30">(AVERAGEIF(D36:E36,"&gt;0",D36:E36))*10^4*100/8</f>
        <v>#DIV/0!</v>
      </c>
      <c r="G36" s="46"/>
      <c r="H36" s="41" t="str">
        <f t="array" ref="H36">IFERROR(INDEX($F$2:$F$181,SMALL(IF($G$2:$G$181=9,ROW($A$1:$A$163),""),ROW(A2))),"")</f>
        <v/>
      </c>
      <c r="I36" s="41"/>
      <c r="J36" s="60"/>
      <c r="K36" s="26"/>
      <c r="L36" s="26"/>
      <c r="M36" s="26"/>
      <c r="N36" s="92" t="s">
        <v>78</v>
      </c>
      <c r="O36" s="92">
        <v>0.48024458350036586</v>
      </c>
      <c r="P36" s="92"/>
      <c r="Q36" s="92"/>
      <c r="R36" s="92"/>
      <c r="S36" s="92"/>
      <c r="T36" s="92"/>
      <c r="U36" s="92"/>
      <c r="V36" s="92"/>
    </row>
    <row r="37" spans="1:22" ht="15" thickBot="1" x14ac:dyDescent="0.4">
      <c r="A37" s="106"/>
      <c r="B37" s="111"/>
      <c r="C37" s="53" t="s">
        <v>5</v>
      </c>
      <c r="D37" s="54"/>
      <c r="E37" s="54"/>
      <c r="F37" s="51" t="e">
        <f t="shared" ref="F37" si="31">(AVERAGEIF(D37:E37,"&gt;0",D37:E37))*10^5*100/8</f>
        <v>#DIV/0!</v>
      </c>
      <c r="G37" s="46"/>
      <c r="H37" s="41" t="str">
        <f t="array" ref="H37">IFERROR(INDEX($F$2:$F$181,SMALL(IF($G$2:$G$181=9,ROW($A$1:$A$163),""),ROW(A3))),"")</f>
        <v/>
      </c>
      <c r="I37" s="41" t="e">
        <f>AVERAGE(H35:H37)</f>
        <v>#DIV/0!</v>
      </c>
      <c r="J37" s="58" t="e">
        <f>STDEV(H35:H37)</f>
        <v>#DIV/0!</v>
      </c>
      <c r="K37" s="26"/>
      <c r="L37" s="26"/>
      <c r="M37" s="26"/>
      <c r="N37" s="92" t="s">
        <v>79</v>
      </c>
      <c r="O37" s="92">
        <v>0.32806809908982137</v>
      </c>
      <c r="P37" s="92"/>
      <c r="Q37" s="92"/>
      <c r="R37" s="92"/>
      <c r="S37" s="92"/>
      <c r="T37" s="92"/>
      <c r="U37" s="92"/>
      <c r="V37" s="92"/>
    </row>
    <row r="38" spans="1:22" ht="15" thickTop="1" x14ac:dyDescent="0.35">
      <c r="A38" s="104" t="s">
        <v>101</v>
      </c>
      <c r="B38" s="116">
        <v>1</v>
      </c>
      <c r="C38" s="15" t="s">
        <v>6</v>
      </c>
      <c r="D38" s="95"/>
      <c r="E38" s="95"/>
      <c r="F38" s="49" t="e">
        <f t="shared" ref="F38" si="32">(AVERAGEIF(D38:E38,"&gt;0",D38:E38))*10^3*100/8</f>
        <v>#DIV/0!</v>
      </c>
      <c r="G38" s="46"/>
      <c r="H38" s="41" t="s">
        <v>28</v>
      </c>
      <c r="I38" s="41"/>
      <c r="J38" s="60"/>
      <c r="K38" s="26"/>
      <c r="L38" s="26"/>
      <c r="M38" s="26"/>
      <c r="N38" s="92" t="s">
        <v>80</v>
      </c>
      <c r="O38" s="92">
        <v>2.1318467863266499</v>
      </c>
      <c r="P38" s="92"/>
      <c r="Q38" s="92"/>
      <c r="R38" s="92"/>
      <c r="S38" s="92"/>
      <c r="T38" s="92"/>
      <c r="U38" s="92"/>
      <c r="V38" s="92"/>
    </row>
    <row r="39" spans="1:22" x14ac:dyDescent="0.35">
      <c r="A39" s="105"/>
      <c r="B39" s="113"/>
      <c r="C39" s="19" t="s">
        <v>4</v>
      </c>
      <c r="D39" s="20"/>
      <c r="E39" s="20"/>
      <c r="F39" s="50" t="e">
        <f t="shared" ref="F39" si="33">(AVERAGEIF(D39:E39,"&gt;0",D39:E39))*10^4*100/8</f>
        <v>#DIV/0!</v>
      </c>
      <c r="G39" s="46"/>
      <c r="H39" s="41" t="str">
        <f t="array" ref="H39">IFERROR(INDEX($F$2:$F$181,SMALL(IF($G$2:$G$181=10,ROW($A$1:$A$163),""),ROW(A1))),"")</f>
        <v/>
      </c>
      <c r="I39" s="41"/>
      <c r="J39" s="60"/>
      <c r="K39" s="26"/>
      <c r="L39" s="26"/>
      <c r="M39" s="26"/>
      <c r="N39" s="92" t="s">
        <v>81</v>
      </c>
      <c r="O39" s="92">
        <v>0.65613619817964275</v>
      </c>
      <c r="P39" s="92"/>
      <c r="Q39" s="92"/>
      <c r="R39" s="92"/>
      <c r="S39" s="92"/>
      <c r="T39" s="92"/>
      <c r="U39" s="92"/>
      <c r="V39" s="92"/>
    </row>
    <row r="40" spans="1:22" ht="15" thickBot="1" x14ac:dyDescent="0.4">
      <c r="A40" s="105"/>
      <c r="B40" s="115"/>
      <c r="C40" s="53" t="s">
        <v>5</v>
      </c>
      <c r="D40" s="23"/>
      <c r="E40" s="23"/>
      <c r="F40" s="51" t="e">
        <f t="shared" ref="F40" si="34">(AVERAGEIF(D40:E40,"&gt;0",D40:E40))*10^5*100/8</f>
        <v>#DIV/0!</v>
      </c>
      <c r="G40" s="46"/>
      <c r="H40" s="41" t="str">
        <f t="array" ref="H40">IFERROR(INDEX($F$2:$F$181,SMALL(IF($G$2:$G$181=10,ROW($A$1:$A$163),""),ROW(A2))),"")</f>
        <v/>
      </c>
      <c r="I40" s="41"/>
      <c r="J40" s="60"/>
      <c r="K40" s="26"/>
      <c r="L40" s="26"/>
      <c r="M40" s="26"/>
      <c r="N40" s="93" t="s">
        <v>82</v>
      </c>
      <c r="O40" s="93">
        <v>2.7764451051977934</v>
      </c>
      <c r="P40" s="93"/>
      <c r="Q40" s="93"/>
      <c r="R40" s="93"/>
      <c r="S40" s="93"/>
      <c r="T40" s="93"/>
      <c r="U40" s="93"/>
      <c r="V40" s="93"/>
    </row>
    <row r="41" spans="1:22" ht="15" thickTop="1" x14ac:dyDescent="0.35">
      <c r="A41" s="105"/>
      <c r="B41" s="112">
        <v>2</v>
      </c>
      <c r="C41" s="15" t="s">
        <v>6</v>
      </c>
      <c r="D41" s="16"/>
      <c r="E41" s="16"/>
      <c r="F41" s="49" t="e">
        <f t="shared" ref="F41" si="35">(AVERAGEIF(D41:E41,"&gt;0",D41:E41))*10^3*100/8</f>
        <v>#DIV/0!</v>
      </c>
      <c r="G41" s="46"/>
      <c r="H41" s="41" t="str">
        <f t="array" ref="H41">IFERROR(INDEX($F$2:$F$181,SMALL(IF($G$2:$G$181=10,ROW($A$1:$A$163),""),ROW(A3))),"")</f>
        <v/>
      </c>
      <c r="I41" s="41" t="e">
        <f>AVERAGE(H39:H41)</f>
        <v>#DIV/0!</v>
      </c>
      <c r="J41" s="58" t="e">
        <f>STDEV(H39:H41)</f>
        <v>#DIV/0!</v>
      </c>
      <c r="K41" s="26"/>
      <c r="L41" s="26"/>
      <c r="M41" s="26"/>
      <c r="N41" s="25"/>
      <c r="O41" s="25"/>
      <c r="P41" s="25"/>
      <c r="Q41" s="27"/>
      <c r="R41" s="18"/>
      <c r="S41" s="18"/>
    </row>
    <row r="42" spans="1:22" x14ac:dyDescent="0.35">
      <c r="A42" s="105"/>
      <c r="B42" s="113"/>
      <c r="C42" s="19" t="s">
        <v>4</v>
      </c>
      <c r="D42" s="20"/>
      <c r="E42" s="94"/>
      <c r="F42" s="50" t="e">
        <f t="shared" ref="F42" si="36">(AVERAGEIF(D42:E42,"&gt;0",D42:E42))*10^4*100/8</f>
        <v>#DIV/0!</v>
      </c>
      <c r="G42" s="46"/>
      <c r="H42" s="41" t="s">
        <v>29</v>
      </c>
      <c r="I42" s="41"/>
      <c r="J42" s="60"/>
      <c r="K42" s="26"/>
      <c r="L42" s="26"/>
      <c r="M42" s="26"/>
      <c r="N42" s="25"/>
      <c r="O42" s="25"/>
      <c r="P42" s="25"/>
      <c r="Q42" s="27"/>
      <c r="R42" s="18"/>
      <c r="S42" s="18"/>
    </row>
    <row r="43" spans="1:22" ht="15" thickBot="1" x14ac:dyDescent="0.4">
      <c r="A43" s="105"/>
      <c r="B43" s="115"/>
      <c r="C43" s="53" t="s">
        <v>5</v>
      </c>
      <c r="D43" s="23"/>
      <c r="E43" s="23"/>
      <c r="F43" s="51" t="e">
        <f t="shared" ref="F43" si="37">(AVERAGEIF(D43:E43,"&gt;0",D43:E43))*10^5*100/8</f>
        <v>#DIV/0!</v>
      </c>
      <c r="G43" s="46"/>
      <c r="H43" s="41" t="str">
        <f t="array" ref="H43">IFERROR(INDEX($F$2:$F$181,SMALL(IF($G$2:$G$181=11,ROW($A$1:$A$163),""),ROW(A1))),"")</f>
        <v/>
      </c>
      <c r="I43" s="41"/>
      <c r="J43" s="60"/>
      <c r="K43" s="26"/>
      <c r="L43" s="26"/>
      <c r="M43" s="26"/>
      <c r="N43" s="25"/>
      <c r="O43" s="25"/>
      <c r="P43" s="25"/>
      <c r="Q43" s="27"/>
      <c r="R43" s="18"/>
      <c r="S43" s="18"/>
    </row>
    <row r="44" spans="1:22" ht="15" thickTop="1" x14ac:dyDescent="0.35">
      <c r="A44" s="105"/>
      <c r="B44" s="112">
        <v>3</v>
      </c>
      <c r="C44" s="15" t="s">
        <v>6</v>
      </c>
      <c r="D44" s="96"/>
      <c r="E44" s="96"/>
      <c r="F44" s="49" t="e">
        <f t="shared" ref="F44" si="38">(AVERAGEIF(D44:E44,"&gt;0",D44:E44))*10^3*100/8</f>
        <v>#DIV/0!</v>
      </c>
      <c r="G44" s="46"/>
      <c r="H44" s="41" t="str">
        <f t="array" ref="H44">IFERROR(INDEX($F$2:$F$181,SMALL(IF($G$2:$G$181=11,ROW($A$1:$A$163),""),ROW(A2))),"")</f>
        <v/>
      </c>
      <c r="I44" s="41"/>
      <c r="J44" s="60"/>
      <c r="K44" s="26"/>
      <c r="L44" s="26"/>
      <c r="M44" s="26"/>
      <c r="N44" s="25"/>
      <c r="O44" s="25"/>
      <c r="P44" s="25"/>
      <c r="Q44" s="27"/>
      <c r="R44" s="18"/>
      <c r="S44" s="18"/>
    </row>
    <row r="45" spans="1:22" x14ac:dyDescent="0.35">
      <c r="A45" s="105"/>
      <c r="B45" s="113"/>
      <c r="C45" s="19" t="s">
        <v>4</v>
      </c>
      <c r="D45" s="20"/>
      <c r="E45" s="20"/>
      <c r="F45" s="50" t="e">
        <f t="shared" ref="F45" si="39">(AVERAGEIF(D45:E45,"&gt;0",D45:E45))*10^4*100/8</f>
        <v>#DIV/0!</v>
      </c>
      <c r="G45" s="46"/>
      <c r="H45" s="41" t="str">
        <f t="array" ref="H45">IFERROR(INDEX($F$2:$F$181,SMALL(IF($G$2:$G$181=11,ROW($A$1:$A$163),""),ROW(A3))),"")</f>
        <v/>
      </c>
      <c r="I45" s="41" t="e">
        <f>AVERAGE(H43:H45)</f>
        <v>#DIV/0!</v>
      </c>
      <c r="J45" s="58" t="e">
        <f>STDEV(H43:H45)</f>
        <v>#DIV/0!</v>
      </c>
      <c r="K45" s="26"/>
      <c r="L45" s="26"/>
      <c r="M45" s="26"/>
      <c r="N45" s="25"/>
      <c r="O45" s="25"/>
      <c r="P45" s="25"/>
      <c r="Q45" s="27"/>
      <c r="R45" s="18"/>
      <c r="S45" s="18"/>
    </row>
    <row r="46" spans="1:22" ht="15" thickBot="1" x14ac:dyDescent="0.4">
      <c r="A46" s="106"/>
      <c r="B46" s="114"/>
      <c r="C46" s="53" t="s">
        <v>5</v>
      </c>
      <c r="D46" s="54"/>
      <c r="E46" s="54"/>
      <c r="F46" s="51" t="e">
        <f t="shared" ref="F46" si="40">(AVERAGEIF(D46:E46,"&gt;0",D46:E46))*10^5*100/8</f>
        <v>#DIV/0!</v>
      </c>
      <c r="G46" s="46"/>
      <c r="H46" s="41" t="s">
        <v>30</v>
      </c>
      <c r="I46" s="41"/>
      <c r="J46" s="60"/>
      <c r="K46" s="26"/>
      <c r="L46" s="26"/>
      <c r="M46" s="26"/>
      <c r="N46" s="27"/>
      <c r="O46" s="25"/>
      <c r="P46" s="27"/>
      <c r="Q46" s="27"/>
      <c r="R46" s="18"/>
      <c r="S46" s="18"/>
    </row>
    <row r="47" spans="1:22" ht="15" thickTop="1" x14ac:dyDescent="0.35">
      <c r="A47" s="104" t="s">
        <v>106</v>
      </c>
      <c r="B47" s="107">
        <v>1</v>
      </c>
      <c r="C47" s="15" t="s">
        <v>6</v>
      </c>
      <c r="D47" s="95"/>
      <c r="E47" s="95"/>
      <c r="F47" s="49" t="e">
        <f t="shared" ref="F47:F89" si="41">(AVERAGEIF(D47:E47,"&gt;0",D47:E47))*10^3*100/8</f>
        <v>#DIV/0!</v>
      </c>
      <c r="G47" s="46"/>
      <c r="H47" s="41" t="str">
        <f t="array" ref="H47">IFERROR(INDEX($F$2:$F$181,SMALL(IF($G$2:$G$181=12,ROW($A$1:$A$163),""),ROW(A1))),"")</f>
        <v/>
      </c>
      <c r="I47" s="41"/>
      <c r="J47" s="60"/>
      <c r="K47" s="26"/>
      <c r="L47" s="26"/>
      <c r="M47" s="26"/>
      <c r="N47" s="27"/>
      <c r="O47" s="25"/>
      <c r="P47" s="27"/>
      <c r="Q47" s="27"/>
      <c r="R47" s="18"/>
      <c r="S47" s="18"/>
    </row>
    <row r="48" spans="1:22" x14ac:dyDescent="0.35">
      <c r="A48" s="105"/>
      <c r="B48" s="108"/>
      <c r="C48" s="19" t="s">
        <v>4</v>
      </c>
      <c r="D48" s="20"/>
      <c r="E48" s="20"/>
      <c r="F48" s="50" t="e">
        <f t="shared" ref="F48:F90" si="42">(AVERAGEIF(D48:E48,"&gt;0",D48:E48))*10^4*100/8</f>
        <v>#DIV/0!</v>
      </c>
      <c r="G48" s="46"/>
      <c r="H48" s="41" t="str">
        <f t="array" ref="H48">IFERROR(INDEX($F$2:$F$181,SMALL(IF($G$2:$G$181=12,ROW($A$1:$A$163),""),ROW(A2))),"")</f>
        <v/>
      </c>
      <c r="I48" s="41"/>
      <c r="J48" s="60"/>
      <c r="K48" s="26"/>
      <c r="L48" s="26"/>
      <c r="M48" s="26"/>
      <c r="N48" s="27"/>
      <c r="O48" s="25"/>
      <c r="P48" s="27"/>
      <c r="Q48" s="27"/>
      <c r="R48" s="18"/>
      <c r="S48" s="18"/>
    </row>
    <row r="49" spans="1:21" ht="15" thickBot="1" x14ac:dyDescent="0.4">
      <c r="A49" s="105"/>
      <c r="B49" s="109"/>
      <c r="C49" s="53" t="s">
        <v>5</v>
      </c>
      <c r="D49" s="23"/>
      <c r="E49" s="23"/>
      <c r="F49" s="51" t="e">
        <f t="shared" ref="F49:F91" si="43">(AVERAGEIF(D49:E49,"&gt;0",D49:E49))*10^5*100/8</f>
        <v>#DIV/0!</v>
      </c>
      <c r="G49" s="46"/>
      <c r="H49" s="41" t="str">
        <f t="array" ref="H49">IFERROR(INDEX($F$2:$F$181,SMALL(IF($G$2:$G$181=12,ROW($A$1:$A$163),""),ROW(A3))),"")</f>
        <v/>
      </c>
      <c r="I49" s="41" t="e">
        <f>AVERAGE(H47:H49)</f>
        <v>#DIV/0!</v>
      </c>
      <c r="J49" s="58" t="e">
        <f>STDEV(H47:H49)</f>
        <v>#DIV/0!</v>
      </c>
      <c r="K49" s="26"/>
      <c r="L49" s="26"/>
      <c r="M49" s="26"/>
      <c r="N49" s="27"/>
      <c r="O49" s="25"/>
      <c r="P49" s="27"/>
      <c r="Q49" s="27"/>
      <c r="R49" s="18"/>
      <c r="S49" s="18"/>
    </row>
    <row r="50" spans="1:21" ht="15" thickTop="1" x14ac:dyDescent="0.35">
      <c r="A50" s="105"/>
      <c r="B50" s="110">
        <v>2</v>
      </c>
      <c r="C50" s="15" t="s">
        <v>6</v>
      </c>
      <c r="D50" s="96"/>
      <c r="E50" s="96"/>
      <c r="F50" s="49" t="e">
        <f t="shared" si="41"/>
        <v>#DIV/0!</v>
      </c>
      <c r="G50" s="46"/>
      <c r="H50" s="41" t="s">
        <v>31</v>
      </c>
      <c r="I50" s="41"/>
      <c r="J50" s="60"/>
      <c r="K50" s="26"/>
      <c r="L50" s="26"/>
      <c r="M50" s="26"/>
      <c r="N50" s="27"/>
      <c r="O50" s="25"/>
      <c r="P50" s="27"/>
      <c r="Q50" s="27"/>
      <c r="R50" s="18"/>
      <c r="S50" s="18"/>
    </row>
    <row r="51" spans="1:21" x14ac:dyDescent="0.35">
      <c r="A51" s="105"/>
      <c r="B51" s="108"/>
      <c r="C51" s="19" t="s">
        <v>4</v>
      </c>
      <c r="D51" s="20"/>
      <c r="E51" s="20"/>
      <c r="F51" s="50" t="e">
        <f t="shared" si="42"/>
        <v>#DIV/0!</v>
      </c>
      <c r="G51" s="46"/>
      <c r="H51" s="41" t="str">
        <f t="array" ref="H51">IFERROR(INDEX($F$2:$F$181,SMALL(IF($G$2:$G$181=13,ROW($A$1:$A$163),""),ROW(A1))),"")</f>
        <v/>
      </c>
      <c r="I51" s="41"/>
      <c r="J51" s="60"/>
      <c r="K51" s="26"/>
      <c r="L51" s="26"/>
      <c r="M51" s="26"/>
      <c r="N51" s="27"/>
      <c r="O51" s="25"/>
      <c r="P51" s="27"/>
      <c r="Q51" s="27"/>
      <c r="R51" s="18"/>
      <c r="S51" s="18"/>
    </row>
    <row r="52" spans="1:21" ht="15" thickBot="1" x14ac:dyDescent="0.4">
      <c r="A52" s="105"/>
      <c r="B52" s="109"/>
      <c r="C52" s="53" t="s">
        <v>5</v>
      </c>
      <c r="D52" s="23"/>
      <c r="E52" s="23"/>
      <c r="F52" s="51" t="e">
        <f t="shared" si="43"/>
        <v>#DIV/0!</v>
      </c>
      <c r="G52" s="46"/>
      <c r="H52" s="41" t="str">
        <f t="array" ref="H52">IFERROR(INDEX($F$2:$F$181,SMALL(IF($G$2:$G$181=13,ROW($A$1:$A$163),""),ROW(A2))),"")</f>
        <v/>
      </c>
      <c r="I52" s="41"/>
      <c r="J52" s="60"/>
      <c r="K52" s="26"/>
      <c r="L52" s="26"/>
      <c r="M52" s="26"/>
      <c r="N52" s="27"/>
      <c r="O52" s="25"/>
      <c r="P52" s="27"/>
      <c r="Q52" s="27"/>
      <c r="R52" s="18"/>
      <c r="S52" s="18"/>
    </row>
    <row r="53" spans="1:21" ht="15" thickTop="1" x14ac:dyDescent="0.35">
      <c r="A53" s="105"/>
      <c r="B53" s="110">
        <v>3</v>
      </c>
      <c r="C53" s="15" t="s">
        <v>6</v>
      </c>
      <c r="D53" s="96"/>
      <c r="E53" s="96"/>
      <c r="F53" s="49" t="e">
        <f t="shared" si="41"/>
        <v>#DIV/0!</v>
      </c>
      <c r="G53" s="46"/>
      <c r="H53" s="41" t="str">
        <f t="array" ref="H53">IFERROR(INDEX($F$2:$F$181,SMALL(IF($G$2:$G$181=13,ROW($A$1:$A$163),""),ROW(A3))),"")</f>
        <v/>
      </c>
      <c r="I53" s="41" t="e">
        <f>AVERAGE(H51:H53)</f>
        <v>#DIV/0!</v>
      </c>
      <c r="J53" s="58" t="e">
        <f>STDEV(H51:H53)</f>
        <v>#DIV/0!</v>
      </c>
      <c r="K53" s="26"/>
      <c r="L53" s="26"/>
      <c r="M53" s="26"/>
      <c r="N53" s="27"/>
      <c r="O53" s="25"/>
      <c r="P53" s="27"/>
      <c r="Q53" s="27"/>
      <c r="R53" s="18"/>
      <c r="S53" s="18"/>
    </row>
    <row r="54" spans="1:21" x14ac:dyDescent="0.35">
      <c r="A54" s="105"/>
      <c r="B54" s="108"/>
      <c r="C54" s="19" t="s">
        <v>4</v>
      </c>
      <c r="D54" s="20"/>
      <c r="E54" s="20"/>
      <c r="F54" s="50" t="e">
        <f t="shared" si="42"/>
        <v>#DIV/0!</v>
      </c>
      <c r="G54" s="46"/>
      <c r="H54" s="41" t="s">
        <v>32</v>
      </c>
      <c r="I54" s="41"/>
      <c r="J54" s="60"/>
      <c r="K54" s="26"/>
      <c r="L54" s="26"/>
      <c r="M54" s="26"/>
      <c r="N54" s="27"/>
      <c r="O54" s="25"/>
      <c r="P54" s="27"/>
      <c r="Q54" s="27"/>
      <c r="R54" s="18"/>
      <c r="S54" s="18"/>
    </row>
    <row r="55" spans="1:21" ht="15" thickBot="1" x14ac:dyDescent="0.4">
      <c r="A55" s="106"/>
      <c r="B55" s="111"/>
      <c r="C55" s="53" t="s">
        <v>5</v>
      </c>
      <c r="D55" s="54"/>
      <c r="E55" s="54"/>
      <c r="F55" s="51" t="e">
        <f t="shared" si="43"/>
        <v>#DIV/0!</v>
      </c>
      <c r="G55" s="46"/>
      <c r="H55" s="41" t="str">
        <f t="array" ref="H55">IFERROR(INDEX($F$2:$F$181,SMALL(IF($G$2:$G$181=14,ROW($A$1:$A$163),""),ROW(A1))),"")</f>
        <v/>
      </c>
      <c r="I55" s="41"/>
      <c r="J55" s="60"/>
      <c r="K55" s="26"/>
      <c r="L55" s="26"/>
      <c r="M55" s="26"/>
      <c r="N55" s="27"/>
      <c r="O55" s="25"/>
      <c r="P55" s="27"/>
      <c r="Q55" s="27"/>
      <c r="R55" s="18"/>
      <c r="S55" s="18"/>
    </row>
    <row r="56" spans="1:21" ht="15" thickTop="1" x14ac:dyDescent="0.35">
      <c r="A56" s="104" t="s">
        <v>102</v>
      </c>
      <c r="B56" s="107">
        <v>1</v>
      </c>
      <c r="C56" s="15" t="s">
        <v>6</v>
      </c>
      <c r="D56" s="95"/>
      <c r="E56" s="95"/>
      <c r="F56" s="49" t="e">
        <f t="shared" si="41"/>
        <v>#DIV/0!</v>
      </c>
      <c r="G56" s="46"/>
      <c r="H56" s="41" t="str">
        <f t="array" ref="H56">IFERROR(INDEX($F$2:$F$181,SMALL(IF($G$2:$G$181=14,ROW($A$1:$A$163),""),ROW(A2))),"")</f>
        <v/>
      </c>
      <c r="I56" s="41"/>
      <c r="J56" s="60"/>
      <c r="K56" s="26"/>
      <c r="L56" s="26"/>
      <c r="M56" s="26"/>
      <c r="N56" s="27"/>
      <c r="O56" s="25"/>
      <c r="P56" s="27"/>
      <c r="Q56" s="27"/>
      <c r="R56" s="18"/>
      <c r="S56" s="18"/>
    </row>
    <row r="57" spans="1:21" x14ac:dyDescent="0.35">
      <c r="A57" s="105"/>
      <c r="B57" s="108"/>
      <c r="C57" s="19" t="s">
        <v>4</v>
      </c>
      <c r="D57" s="20"/>
      <c r="E57" s="20"/>
      <c r="F57" s="50" t="e">
        <f t="shared" si="42"/>
        <v>#DIV/0!</v>
      </c>
      <c r="G57" s="46"/>
      <c r="H57" s="41" t="str">
        <f t="array" ref="H57">IFERROR(INDEX($F$2:$F$181,SMALL(IF($G$2:$G$181=14,ROW($A$1:$A$163),""),ROW(A3))),"")</f>
        <v/>
      </c>
      <c r="I57" s="41" t="e">
        <f>AVERAGE(H55:H57)</f>
        <v>#DIV/0!</v>
      </c>
      <c r="J57" s="58" t="e">
        <f>STDEV(H55:H57)</f>
        <v>#DIV/0!</v>
      </c>
      <c r="K57" s="26"/>
      <c r="L57" s="26"/>
      <c r="M57" s="26"/>
      <c r="N57" s="27"/>
      <c r="O57" s="25"/>
      <c r="P57" s="27"/>
      <c r="Q57" s="27"/>
      <c r="R57" s="18"/>
      <c r="S57" s="18"/>
    </row>
    <row r="58" spans="1:21" ht="15" thickBot="1" x14ac:dyDescent="0.4">
      <c r="A58" s="105"/>
      <c r="B58" s="109"/>
      <c r="C58" s="53" t="s">
        <v>5</v>
      </c>
      <c r="D58" s="23"/>
      <c r="E58" s="23"/>
      <c r="F58" s="51" t="e">
        <f t="shared" si="43"/>
        <v>#DIV/0!</v>
      </c>
      <c r="G58" s="46"/>
      <c r="H58" s="41" t="s">
        <v>33</v>
      </c>
      <c r="I58" s="41"/>
      <c r="J58" s="60"/>
      <c r="K58" s="26"/>
      <c r="L58" s="26"/>
      <c r="M58" s="26"/>
      <c r="N58" s="27"/>
      <c r="O58" s="25"/>
      <c r="P58" s="27"/>
      <c r="Q58" s="27"/>
      <c r="R58" s="18"/>
      <c r="S58" s="18"/>
    </row>
    <row r="59" spans="1:21" ht="15" thickTop="1" x14ac:dyDescent="0.35">
      <c r="A59" s="105"/>
      <c r="B59" s="110">
        <v>2</v>
      </c>
      <c r="C59" s="15" t="s">
        <v>6</v>
      </c>
      <c r="D59" s="96"/>
      <c r="E59" s="96"/>
      <c r="F59" s="49" t="e">
        <f t="shared" si="41"/>
        <v>#DIV/0!</v>
      </c>
      <c r="G59" s="46"/>
      <c r="H59" s="41" t="str">
        <f t="array" ref="H59">IFERROR(INDEX($F$2:$F$181,SMALL(IF($G$2:$G$181=15,ROW($A$1:$A$163),""),ROW(A1))),"")</f>
        <v/>
      </c>
      <c r="I59" s="41"/>
      <c r="J59" s="60"/>
      <c r="K59" s="26"/>
      <c r="L59" s="26"/>
      <c r="M59" s="26"/>
      <c r="N59" s="27"/>
      <c r="O59" s="25"/>
      <c r="P59" s="27"/>
      <c r="Q59" s="27"/>
      <c r="R59" s="18"/>
      <c r="S59" s="18"/>
    </row>
    <row r="60" spans="1:21" ht="15" thickBot="1" x14ac:dyDescent="0.4">
      <c r="A60" s="105"/>
      <c r="B60" s="108"/>
      <c r="C60" s="19" t="s">
        <v>4</v>
      </c>
      <c r="D60" s="20"/>
      <c r="E60" s="20"/>
      <c r="F60" s="50" t="e">
        <f t="shared" si="42"/>
        <v>#DIV/0!</v>
      </c>
      <c r="G60" s="46"/>
      <c r="H60" s="41" t="str">
        <f t="array" ref="H60">IFERROR(INDEX($F$2:$F$181,SMALL(IF($G$2:$G$181=15,ROW($A$1:$A$163),""),ROW(A2))),"")</f>
        <v/>
      </c>
      <c r="I60" s="41"/>
      <c r="J60" s="60"/>
      <c r="K60" s="26"/>
      <c r="L60" s="26"/>
      <c r="M60" s="26"/>
      <c r="N60" s="63"/>
      <c r="O60" s="25"/>
      <c r="P60" s="63"/>
      <c r="Q60" s="63"/>
      <c r="R60" s="64"/>
      <c r="S60" s="64"/>
      <c r="T60" s="65"/>
      <c r="U60" s="65"/>
    </row>
    <row r="61" spans="1:21" ht="15" thickBot="1" x14ac:dyDescent="0.4">
      <c r="A61" s="105"/>
      <c r="B61" s="109"/>
      <c r="C61" s="53" t="s">
        <v>5</v>
      </c>
      <c r="D61" s="23"/>
      <c r="E61" s="23"/>
      <c r="F61" s="51" t="e">
        <f t="shared" si="43"/>
        <v>#DIV/0!</v>
      </c>
      <c r="G61" s="46"/>
      <c r="H61" s="41" t="str">
        <f t="array" ref="H61">IFERROR(INDEX($F$2:$F$181,SMALL(IF($G$2:$G$181=15,ROW($A$1:$A$163),""),ROW(A3))),"")</f>
        <v/>
      </c>
      <c r="I61" s="41" t="e">
        <f>AVERAGE(H59:H61)</f>
        <v>#DIV/0!</v>
      </c>
      <c r="J61" s="58" t="e">
        <f>STDEV(H59:H61)</f>
        <v>#DIV/0!</v>
      </c>
      <c r="K61" s="26"/>
      <c r="L61" s="26"/>
      <c r="M61" s="26"/>
      <c r="N61" s="27"/>
      <c r="O61" s="25"/>
      <c r="P61" s="27"/>
      <c r="Q61" s="27"/>
      <c r="R61" s="18"/>
      <c r="S61" s="18"/>
    </row>
    <row r="62" spans="1:21" ht="15" thickTop="1" x14ac:dyDescent="0.35">
      <c r="A62" s="105"/>
      <c r="B62" s="110">
        <v>3</v>
      </c>
      <c r="C62" s="15" t="s">
        <v>6</v>
      </c>
      <c r="D62" s="96"/>
      <c r="E62" s="96"/>
      <c r="F62" s="49" t="e">
        <f t="shared" si="41"/>
        <v>#DIV/0!</v>
      </c>
      <c r="G62" s="46"/>
      <c r="H62" s="41" t="s">
        <v>34</v>
      </c>
      <c r="I62" s="41"/>
      <c r="J62" s="60"/>
      <c r="K62" s="26"/>
      <c r="L62" s="26"/>
      <c r="M62" s="26"/>
      <c r="N62" s="27"/>
      <c r="O62" s="25"/>
      <c r="P62" s="27"/>
      <c r="Q62" s="27"/>
      <c r="R62" s="18"/>
      <c r="S62" s="18"/>
    </row>
    <row r="63" spans="1:21" x14ac:dyDescent="0.35">
      <c r="A63" s="105"/>
      <c r="B63" s="108"/>
      <c r="C63" s="19" t="s">
        <v>4</v>
      </c>
      <c r="D63" s="20"/>
      <c r="E63" s="20"/>
      <c r="F63" s="50" t="e">
        <f t="shared" si="42"/>
        <v>#DIV/0!</v>
      </c>
      <c r="G63" s="46"/>
      <c r="H63" s="41" t="str">
        <f t="array" ref="H63">IFERROR(INDEX($F$2:$F$181,SMALL(IF($G$2:$G$181=16,ROW($A$1:$A$163),""),ROW(A1))),"")</f>
        <v/>
      </c>
      <c r="I63" s="41"/>
      <c r="J63" s="60"/>
      <c r="K63" s="26"/>
      <c r="L63" s="26"/>
      <c r="M63" s="26"/>
      <c r="N63" s="27"/>
      <c r="O63" s="25"/>
      <c r="P63" s="27"/>
      <c r="Q63" s="27"/>
      <c r="R63" s="18"/>
      <c r="S63" s="18"/>
    </row>
    <row r="64" spans="1:21" ht="15" thickBot="1" x14ac:dyDescent="0.4">
      <c r="A64" s="106"/>
      <c r="B64" s="111"/>
      <c r="C64" s="53" t="s">
        <v>5</v>
      </c>
      <c r="D64" s="54"/>
      <c r="E64" s="54"/>
      <c r="F64" s="51" t="e">
        <f t="shared" si="43"/>
        <v>#DIV/0!</v>
      </c>
      <c r="G64" s="46"/>
      <c r="H64" s="41" t="str">
        <f t="array" ref="H64">IFERROR(INDEX($F$2:$F$181,SMALL(IF($G$2:$G$181=16,ROW($A$1:$A$163),""),ROW(A2))),"")</f>
        <v/>
      </c>
      <c r="I64" s="41"/>
      <c r="J64" s="60"/>
      <c r="K64" s="26"/>
      <c r="L64" s="26"/>
      <c r="M64" s="26"/>
      <c r="N64" s="27"/>
      <c r="O64" s="25"/>
      <c r="P64" s="27"/>
      <c r="Q64" s="27"/>
      <c r="R64" s="18"/>
      <c r="S64" s="18"/>
    </row>
    <row r="65" spans="1:19" ht="15" thickTop="1" x14ac:dyDescent="0.35">
      <c r="A65" s="104" t="s">
        <v>103</v>
      </c>
      <c r="B65" s="107">
        <v>1</v>
      </c>
      <c r="C65" s="15" t="s">
        <v>6</v>
      </c>
      <c r="D65" s="95"/>
      <c r="E65" s="95"/>
      <c r="F65" s="49" t="e">
        <f t="shared" si="41"/>
        <v>#DIV/0!</v>
      </c>
      <c r="G65" s="46"/>
      <c r="H65" s="41" t="str">
        <f t="array" ref="H65">IFERROR(INDEX($F$2:$F$181,SMALL(IF($G$2:$G$181=16,ROW($A$1:$A$163),""),ROW(A3))),"")</f>
        <v/>
      </c>
      <c r="I65" s="41" t="e">
        <f>AVERAGE(H63:H65)</f>
        <v>#DIV/0!</v>
      </c>
      <c r="J65" s="58" t="e">
        <f>STDEV(H63:H65)</f>
        <v>#DIV/0!</v>
      </c>
      <c r="K65" s="26"/>
      <c r="L65" s="26"/>
      <c r="M65" s="26"/>
      <c r="N65" s="27"/>
      <c r="O65" s="25"/>
      <c r="P65" s="27"/>
      <c r="Q65" s="27"/>
      <c r="R65" s="18"/>
      <c r="S65" s="18"/>
    </row>
    <row r="66" spans="1:19" x14ac:dyDescent="0.35">
      <c r="A66" s="105"/>
      <c r="B66" s="108"/>
      <c r="C66" s="19" t="s">
        <v>4</v>
      </c>
      <c r="D66" s="20"/>
      <c r="E66" s="20"/>
      <c r="F66" s="50" t="e">
        <f t="shared" si="42"/>
        <v>#DIV/0!</v>
      </c>
      <c r="G66" s="46"/>
      <c r="H66" s="41" t="s">
        <v>35</v>
      </c>
      <c r="I66" s="41"/>
      <c r="J66" s="60"/>
      <c r="K66" s="26"/>
      <c r="L66" s="26"/>
      <c r="M66" s="26"/>
      <c r="N66" s="27"/>
      <c r="O66" s="25"/>
      <c r="P66" s="27"/>
      <c r="Q66" s="27"/>
      <c r="R66" s="18"/>
      <c r="S66" s="18"/>
    </row>
    <row r="67" spans="1:19" ht="15" thickBot="1" x14ac:dyDescent="0.4">
      <c r="A67" s="105"/>
      <c r="B67" s="109"/>
      <c r="C67" s="53" t="s">
        <v>5</v>
      </c>
      <c r="D67" s="23"/>
      <c r="E67" s="23"/>
      <c r="F67" s="51" t="e">
        <f t="shared" si="43"/>
        <v>#DIV/0!</v>
      </c>
      <c r="G67" s="46"/>
      <c r="H67" s="41" t="str">
        <f t="array" ref="H67">IFERROR(INDEX($F$2:$F$181,SMALL(IF($G$2:$G$181=17,ROW($A$1:$A$163),""),ROW(A1))),"")</f>
        <v/>
      </c>
      <c r="I67" s="41"/>
      <c r="J67" s="60"/>
      <c r="K67" s="26"/>
      <c r="L67" s="26"/>
      <c r="M67" s="26"/>
      <c r="N67" s="27"/>
      <c r="O67" s="25"/>
      <c r="P67" s="27"/>
      <c r="Q67" s="27"/>
      <c r="R67" s="18"/>
      <c r="S67" s="18"/>
    </row>
    <row r="68" spans="1:19" ht="15" thickTop="1" x14ac:dyDescent="0.35">
      <c r="A68" s="105"/>
      <c r="B68" s="110">
        <v>2</v>
      </c>
      <c r="C68" s="15" t="s">
        <v>6</v>
      </c>
      <c r="D68" s="96"/>
      <c r="E68" s="96"/>
      <c r="F68" s="49" t="e">
        <f t="shared" si="41"/>
        <v>#DIV/0!</v>
      </c>
      <c r="G68" s="46"/>
      <c r="H68" s="41" t="str">
        <f t="array" ref="H68">IFERROR(INDEX($F$2:$F$181,SMALL(IF($G$2:$G$181=17,ROW($A$1:$A$163),""),ROW(A2))),"")</f>
        <v/>
      </c>
      <c r="I68" s="41"/>
      <c r="J68" s="60"/>
      <c r="K68" s="26"/>
      <c r="L68" s="26"/>
      <c r="M68" s="26"/>
      <c r="N68" s="27"/>
      <c r="O68" s="25"/>
      <c r="P68" s="27"/>
      <c r="Q68" s="27"/>
      <c r="R68" s="18"/>
      <c r="S68" s="18"/>
    </row>
    <row r="69" spans="1:19" x14ac:dyDescent="0.35">
      <c r="A69" s="105"/>
      <c r="B69" s="108"/>
      <c r="C69" s="19" t="s">
        <v>4</v>
      </c>
      <c r="D69" s="20"/>
      <c r="E69" s="20"/>
      <c r="F69" s="50" t="e">
        <f t="shared" si="42"/>
        <v>#DIV/0!</v>
      </c>
      <c r="G69" s="46"/>
      <c r="H69" s="41" t="str">
        <f t="array" ref="H69">IFERROR(INDEX($F$2:$F$181,SMALL(IF($G$2:$G$181=17,ROW($A$1:$A$163),""),ROW(A3))),"")</f>
        <v/>
      </c>
      <c r="I69" s="41" t="e">
        <f>AVERAGE(H67:H69)</f>
        <v>#DIV/0!</v>
      </c>
      <c r="J69" s="58" t="e">
        <f>STDEV(H67:H69)</f>
        <v>#DIV/0!</v>
      </c>
      <c r="K69" s="26"/>
      <c r="L69" s="26"/>
      <c r="M69" s="26"/>
      <c r="N69" s="27"/>
      <c r="O69" s="25"/>
      <c r="P69" s="27"/>
      <c r="Q69" s="27"/>
      <c r="R69" s="18"/>
      <c r="S69" s="18"/>
    </row>
    <row r="70" spans="1:19" ht="15" thickBot="1" x14ac:dyDescent="0.4">
      <c r="A70" s="105"/>
      <c r="B70" s="109"/>
      <c r="C70" s="53" t="s">
        <v>5</v>
      </c>
      <c r="D70" s="23"/>
      <c r="E70" s="23"/>
      <c r="F70" s="51" t="e">
        <f t="shared" si="43"/>
        <v>#DIV/0!</v>
      </c>
      <c r="G70" s="46"/>
      <c r="H70" s="41" t="s">
        <v>36</v>
      </c>
      <c r="I70" s="41"/>
      <c r="J70" s="60"/>
      <c r="K70" s="26"/>
      <c r="L70" s="26"/>
      <c r="M70" s="26"/>
      <c r="N70" s="27"/>
      <c r="O70" s="25"/>
      <c r="P70" s="27"/>
      <c r="Q70" s="27"/>
      <c r="R70" s="18"/>
      <c r="S70" s="18"/>
    </row>
    <row r="71" spans="1:19" ht="15" thickTop="1" x14ac:dyDescent="0.35">
      <c r="A71" s="105"/>
      <c r="B71" s="110">
        <v>3</v>
      </c>
      <c r="C71" s="15" t="s">
        <v>6</v>
      </c>
      <c r="D71" s="96"/>
      <c r="E71" s="96"/>
      <c r="F71" s="49" t="e">
        <f t="shared" si="41"/>
        <v>#DIV/0!</v>
      </c>
      <c r="G71" s="46"/>
      <c r="H71" s="41" t="str">
        <f t="array" ref="H71">IFERROR(INDEX($F$2:$F$181,SMALL(IF($G$2:$G$181=18,ROW($A$1:$A$180),""),ROW(A1))),"")</f>
        <v/>
      </c>
      <c r="I71" s="41"/>
      <c r="J71" s="60"/>
      <c r="K71" s="26"/>
      <c r="L71" s="26"/>
      <c r="M71" s="26"/>
      <c r="N71" s="27"/>
      <c r="O71" s="25"/>
      <c r="P71" s="27"/>
      <c r="Q71" s="27"/>
      <c r="R71" s="18"/>
      <c r="S71" s="18"/>
    </row>
    <row r="72" spans="1:19" x14ac:dyDescent="0.35">
      <c r="A72" s="105"/>
      <c r="B72" s="108"/>
      <c r="C72" s="19" t="s">
        <v>4</v>
      </c>
      <c r="D72" s="20"/>
      <c r="E72" s="20"/>
      <c r="F72" s="50" t="e">
        <f t="shared" si="42"/>
        <v>#DIV/0!</v>
      </c>
      <c r="G72" s="46"/>
      <c r="H72" s="41" t="str">
        <f t="array" ref="H72">IFERROR(INDEX($F$2:$F$181,SMALL(IF($G$2:$G$181=18,ROW($A$1:$A$180),""),ROW(A2))),"")</f>
        <v/>
      </c>
      <c r="I72" s="41"/>
      <c r="J72" s="60"/>
      <c r="K72" s="26"/>
      <c r="L72" s="26"/>
      <c r="M72" s="26"/>
      <c r="N72" s="27"/>
      <c r="O72" s="25"/>
      <c r="P72" s="27"/>
      <c r="Q72" s="27"/>
      <c r="R72" s="18"/>
      <c r="S72" s="18"/>
    </row>
    <row r="73" spans="1:19" ht="15" thickBot="1" x14ac:dyDescent="0.4">
      <c r="A73" s="106"/>
      <c r="B73" s="111"/>
      <c r="C73" s="53" t="s">
        <v>5</v>
      </c>
      <c r="D73" s="54"/>
      <c r="E73" s="54"/>
      <c r="F73" s="51" t="e">
        <f t="shared" si="43"/>
        <v>#DIV/0!</v>
      </c>
      <c r="G73" s="46"/>
      <c r="H73" s="41" t="str">
        <f t="array" ref="H73">IFERROR(INDEX($F$2:$F$181,SMALL(IF($G$2:$G$181=18,ROW($A$1:$A$180),""),ROW(A3))),"")</f>
        <v/>
      </c>
      <c r="I73" s="41" t="e">
        <f>AVERAGE(H71:H73)</f>
        <v>#DIV/0!</v>
      </c>
      <c r="J73" s="58" t="e">
        <f>STDEV(H71:H73)</f>
        <v>#DIV/0!</v>
      </c>
      <c r="K73" s="26"/>
      <c r="L73" s="26"/>
      <c r="M73" s="26"/>
      <c r="N73" s="27"/>
      <c r="O73" s="25"/>
      <c r="P73" s="27"/>
      <c r="Q73" s="27"/>
      <c r="R73" s="18"/>
      <c r="S73" s="18"/>
    </row>
    <row r="74" spans="1:19" ht="15" thickTop="1" x14ac:dyDescent="0.35">
      <c r="A74" s="104" t="s">
        <v>104</v>
      </c>
      <c r="B74" s="107">
        <v>1</v>
      </c>
      <c r="C74" s="15" t="s">
        <v>6</v>
      </c>
      <c r="D74" s="95"/>
      <c r="E74" s="95"/>
      <c r="F74" s="49" t="e">
        <f t="shared" si="41"/>
        <v>#DIV/0!</v>
      </c>
      <c r="G74" s="46"/>
      <c r="H74" s="41" t="s">
        <v>37</v>
      </c>
      <c r="I74" s="41"/>
      <c r="J74" s="60"/>
      <c r="K74" s="26"/>
      <c r="L74" s="26"/>
      <c r="M74" s="26"/>
      <c r="N74" s="27"/>
      <c r="O74" s="25"/>
      <c r="P74" s="27"/>
      <c r="Q74" s="27"/>
      <c r="R74" s="18"/>
      <c r="S74" s="18"/>
    </row>
    <row r="75" spans="1:19" x14ac:dyDescent="0.35">
      <c r="A75" s="105"/>
      <c r="B75" s="108"/>
      <c r="C75" s="19" t="s">
        <v>4</v>
      </c>
      <c r="D75" s="20"/>
      <c r="E75" s="20"/>
      <c r="F75" s="50" t="e">
        <f t="shared" si="42"/>
        <v>#DIV/0!</v>
      </c>
      <c r="G75" s="46"/>
      <c r="H75" s="41" t="str">
        <f t="array" ref="H75">IFERROR(INDEX($F$2:$F$181,SMALL(IF($G$2:$G$181=19,ROW($A$1:$A$180),""),ROW(A1))),"")</f>
        <v/>
      </c>
      <c r="I75" s="41"/>
      <c r="J75" s="60"/>
      <c r="K75" s="26"/>
      <c r="L75" s="26"/>
      <c r="M75" s="26"/>
      <c r="N75" s="27"/>
      <c r="O75" s="25"/>
      <c r="P75" s="27"/>
      <c r="Q75" s="27"/>
      <c r="R75" s="18"/>
      <c r="S75" s="18"/>
    </row>
    <row r="76" spans="1:19" ht="15" thickBot="1" x14ac:dyDescent="0.4">
      <c r="A76" s="105"/>
      <c r="B76" s="109"/>
      <c r="C76" s="53" t="s">
        <v>5</v>
      </c>
      <c r="D76" s="23"/>
      <c r="E76" s="23"/>
      <c r="F76" s="51" t="e">
        <f t="shared" si="43"/>
        <v>#DIV/0!</v>
      </c>
      <c r="G76" s="46"/>
      <c r="H76" s="41" t="str">
        <f t="array" ref="H76">IFERROR(INDEX($F$2:$F$181,SMALL(IF($G$2:$G$181=19,ROW($A$1:$A$180),""),ROW(A2))),"")</f>
        <v/>
      </c>
      <c r="I76" s="41"/>
      <c r="J76" s="60"/>
      <c r="K76" s="26"/>
      <c r="L76" s="26"/>
      <c r="M76" s="26"/>
      <c r="N76" s="27"/>
      <c r="O76" s="25"/>
      <c r="P76" s="27"/>
      <c r="Q76" s="27"/>
      <c r="R76" s="18"/>
      <c r="S76" s="18"/>
    </row>
    <row r="77" spans="1:19" ht="15" thickTop="1" x14ac:dyDescent="0.35">
      <c r="A77" s="105"/>
      <c r="B77" s="110">
        <v>2</v>
      </c>
      <c r="C77" s="15" t="s">
        <v>6</v>
      </c>
      <c r="D77" s="96"/>
      <c r="E77" s="96"/>
      <c r="F77" s="49" t="e">
        <f t="shared" si="41"/>
        <v>#DIV/0!</v>
      </c>
      <c r="G77" s="46"/>
      <c r="H77" s="41" t="str">
        <f t="array" ref="H77">IFERROR(INDEX($F$2:$F$181,SMALL(IF($G$2:$G$181=19,ROW($A$1:$A$180),""),ROW(A3))),"")</f>
        <v/>
      </c>
      <c r="I77" s="41" t="e">
        <f>AVERAGE(H75:H77)</f>
        <v>#DIV/0!</v>
      </c>
      <c r="J77" s="58" t="e">
        <f>STDEV(H75:H77)</f>
        <v>#DIV/0!</v>
      </c>
      <c r="K77" s="26"/>
      <c r="L77" s="26"/>
      <c r="M77" s="26"/>
      <c r="N77" s="27"/>
      <c r="O77" s="25"/>
      <c r="P77" s="27"/>
      <c r="Q77" s="27"/>
      <c r="R77" s="18"/>
      <c r="S77" s="18"/>
    </row>
    <row r="78" spans="1:19" x14ac:dyDescent="0.35">
      <c r="A78" s="105"/>
      <c r="B78" s="108"/>
      <c r="C78" s="19" t="s">
        <v>4</v>
      </c>
      <c r="D78" s="20"/>
      <c r="E78" s="20"/>
      <c r="F78" s="50" t="e">
        <f t="shared" si="42"/>
        <v>#DIV/0!</v>
      </c>
      <c r="G78" s="46"/>
      <c r="H78" s="41" t="s">
        <v>38</v>
      </c>
      <c r="I78" s="41"/>
      <c r="J78" s="60"/>
      <c r="K78" s="26"/>
      <c r="L78" s="26"/>
      <c r="M78" s="26"/>
      <c r="N78" s="27"/>
      <c r="O78" s="25"/>
      <c r="P78" s="27"/>
      <c r="Q78" s="27"/>
      <c r="R78" s="18"/>
      <c r="S78" s="18"/>
    </row>
    <row r="79" spans="1:19" ht="15" thickBot="1" x14ac:dyDescent="0.4">
      <c r="A79" s="105"/>
      <c r="B79" s="109"/>
      <c r="C79" s="53" t="s">
        <v>5</v>
      </c>
      <c r="D79" s="23"/>
      <c r="E79" s="23"/>
      <c r="F79" s="51" t="e">
        <f t="shared" si="43"/>
        <v>#DIV/0!</v>
      </c>
      <c r="G79" s="46"/>
      <c r="H79" s="41" t="str">
        <f t="array" ref="H79">IFERROR(INDEX($F$2:$F$181,SMALL(IF($G$2:$G$181=20,ROW($A$1:$A$180),""),ROW(A1))),"")</f>
        <v/>
      </c>
      <c r="I79" s="41"/>
      <c r="J79" s="60"/>
      <c r="K79" s="26"/>
      <c r="L79" s="26"/>
      <c r="M79" s="26"/>
      <c r="N79" s="27"/>
      <c r="O79" s="25"/>
      <c r="P79" s="27"/>
      <c r="Q79" s="27"/>
      <c r="R79" s="18"/>
      <c r="S79" s="18"/>
    </row>
    <row r="80" spans="1:19" ht="15" thickTop="1" x14ac:dyDescent="0.35">
      <c r="A80" s="105"/>
      <c r="B80" s="110">
        <v>3</v>
      </c>
      <c r="C80" s="15" t="s">
        <v>6</v>
      </c>
      <c r="D80" s="96"/>
      <c r="E80" s="96"/>
      <c r="F80" s="49" t="e">
        <f t="shared" si="41"/>
        <v>#DIV/0!</v>
      </c>
      <c r="G80" s="46"/>
      <c r="H80" s="41" t="str">
        <f t="array" ref="H80">IFERROR(INDEX($F$2:$F$181,SMALL(IF($G$2:$G$181=20,ROW($A$1:$A$180),""),ROW(A2))),"")</f>
        <v/>
      </c>
      <c r="I80" s="41"/>
      <c r="J80" s="60"/>
      <c r="K80" s="26"/>
      <c r="L80" s="26"/>
      <c r="M80" s="26"/>
      <c r="N80" s="27"/>
      <c r="O80" s="25"/>
      <c r="P80" s="27"/>
      <c r="Q80" s="27"/>
      <c r="R80" s="18"/>
      <c r="S80" s="18"/>
    </row>
    <row r="81" spans="1:22" x14ac:dyDescent="0.35">
      <c r="A81" s="105"/>
      <c r="B81" s="108"/>
      <c r="C81" s="19" t="s">
        <v>4</v>
      </c>
      <c r="D81" s="20"/>
      <c r="E81" s="20"/>
      <c r="F81" s="50" t="e">
        <f t="shared" si="42"/>
        <v>#DIV/0!</v>
      </c>
      <c r="G81" s="46"/>
      <c r="H81" s="41" t="str">
        <f t="array" ref="H81">IFERROR(INDEX($F$2:$F$181,SMALL(IF($G$2:$G$181=20,ROW($A$1:$A$180),""),ROW(A3))),"")</f>
        <v/>
      </c>
      <c r="I81" s="41" t="e">
        <f>AVERAGE(H79:H81)</f>
        <v>#DIV/0!</v>
      </c>
      <c r="J81" s="58" t="e">
        <f>STDEV(H79:H81)</f>
        <v>#DIV/0!</v>
      </c>
      <c r="K81" s="26"/>
      <c r="L81" s="26"/>
      <c r="M81" s="26"/>
      <c r="N81" s="27"/>
      <c r="O81" s="25"/>
      <c r="P81" s="27"/>
      <c r="Q81" s="27"/>
      <c r="R81" s="18"/>
      <c r="S81" s="18"/>
    </row>
    <row r="82" spans="1:22" ht="15" thickBot="1" x14ac:dyDescent="0.4">
      <c r="A82" s="106"/>
      <c r="B82" s="111"/>
      <c r="C82" s="53" t="s">
        <v>5</v>
      </c>
      <c r="D82" s="54"/>
      <c r="E82" s="54"/>
      <c r="F82" s="51" t="e">
        <f t="shared" si="43"/>
        <v>#DIV/0!</v>
      </c>
      <c r="G82" s="46"/>
      <c r="H82" s="41"/>
      <c r="I82" s="41"/>
      <c r="J82" s="60"/>
      <c r="K82" s="26"/>
      <c r="L82" s="26"/>
      <c r="M82" s="26"/>
      <c r="N82" s="27"/>
      <c r="O82" s="25"/>
      <c r="P82" s="27"/>
      <c r="Q82" s="27"/>
      <c r="R82" s="18"/>
      <c r="S82" s="18"/>
    </row>
    <row r="83" spans="1:22" ht="15" thickTop="1" x14ac:dyDescent="0.35">
      <c r="A83" s="104" t="s">
        <v>105</v>
      </c>
      <c r="B83" s="107">
        <v>1</v>
      </c>
      <c r="C83" s="15" t="s">
        <v>6</v>
      </c>
      <c r="D83" s="95"/>
      <c r="E83" s="95"/>
      <c r="F83" s="49" t="e">
        <f t="shared" si="41"/>
        <v>#DIV/0!</v>
      </c>
      <c r="G83" s="46"/>
      <c r="H83" s="41"/>
      <c r="I83" s="41"/>
      <c r="J83" s="60"/>
      <c r="K83" s="26"/>
      <c r="L83" s="26"/>
      <c r="M83" s="26"/>
      <c r="N83" s="27"/>
      <c r="O83" s="25"/>
      <c r="P83" s="27"/>
      <c r="Q83" s="27"/>
      <c r="R83" s="18"/>
      <c r="S83" s="18"/>
      <c r="T83" s="73"/>
      <c r="U83" s="73"/>
      <c r="V83" s="28"/>
    </row>
    <row r="84" spans="1:22" x14ac:dyDescent="0.35">
      <c r="A84" s="105"/>
      <c r="B84" s="108"/>
      <c r="C84" s="19" t="s">
        <v>4</v>
      </c>
      <c r="D84" s="20"/>
      <c r="E84" s="20"/>
      <c r="F84" s="50" t="e">
        <f t="shared" si="42"/>
        <v>#DIV/0!</v>
      </c>
      <c r="G84" s="46"/>
      <c r="H84" s="41"/>
      <c r="I84" s="41"/>
      <c r="J84" s="60"/>
      <c r="K84" s="26"/>
      <c r="L84" s="26"/>
      <c r="M84" s="26"/>
      <c r="N84" s="27"/>
      <c r="O84" s="25"/>
      <c r="P84" s="27"/>
      <c r="Q84" s="27"/>
      <c r="R84" s="18"/>
      <c r="S84" s="18"/>
      <c r="T84" s="74"/>
      <c r="U84" s="74"/>
      <c r="V84" s="29"/>
    </row>
    <row r="85" spans="1:22" ht="15" thickBot="1" x14ac:dyDescent="0.4">
      <c r="A85" s="105"/>
      <c r="B85" s="109"/>
      <c r="C85" s="53" t="s">
        <v>5</v>
      </c>
      <c r="D85" s="23"/>
      <c r="E85" s="23"/>
      <c r="F85" s="51" t="e">
        <f t="shared" si="43"/>
        <v>#DIV/0!</v>
      </c>
      <c r="G85" s="46"/>
      <c r="H85" s="41"/>
      <c r="I85" s="41"/>
      <c r="J85" s="60"/>
      <c r="K85" s="26"/>
      <c r="L85" s="26"/>
      <c r="M85" s="26"/>
      <c r="N85" s="27"/>
      <c r="O85" s="25"/>
      <c r="P85" s="27"/>
      <c r="Q85" s="27"/>
      <c r="R85" s="18"/>
      <c r="S85" s="18"/>
      <c r="T85" s="74"/>
      <c r="U85" s="74"/>
      <c r="V85" s="29"/>
    </row>
    <row r="86" spans="1:22" ht="15" thickTop="1" x14ac:dyDescent="0.35">
      <c r="A86" s="105"/>
      <c r="B86" s="110">
        <v>2</v>
      </c>
      <c r="C86" s="15" t="s">
        <v>6</v>
      </c>
      <c r="D86" s="96"/>
      <c r="E86" s="96"/>
      <c r="F86" s="49" t="e">
        <f t="shared" si="41"/>
        <v>#DIV/0!</v>
      </c>
      <c r="G86" s="46"/>
      <c r="H86" s="41"/>
      <c r="I86" s="41"/>
      <c r="J86" s="60"/>
      <c r="K86" s="26"/>
      <c r="L86" s="26"/>
      <c r="M86" s="26"/>
      <c r="N86" s="27"/>
      <c r="O86" s="25"/>
      <c r="P86" s="27"/>
      <c r="Q86" s="27"/>
      <c r="R86" s="18"/>
      <c r="S86" s="18"/>
      <c r="T86" s="74"/>
      <c r="U86" s="74"/>
      <c r="V86" s="29"/>
    </row>
    <row r="87" spans="1:22" x14ac:dyDescent="0.35">
      <c r="A87" s="105"/>
      <c r="B87" s="108"/>
      <c r="C87" s="19" t="s">
        <v>4</v>
      </c>
      <c r="D87" s="20"/>
      <c r="E87" s="20"/>
      <c r="F87" s="50" t="e">
        <f t="shared" si="42"/>
        <v>#DIV/0!</v>
      </c>
      <c r="G87" s="46"/>
      <c r="H87" s="41"/>
      <c r="I87" s="41"/>
      <c r="J87" s="60"/>
      <c r="K87" s="26"/>
      <c r="L87" s="26"/>
      <c r="M87" s="26"/>
      <c r="N87" s="27"/>
      <c r="O87" s="25"/>
      <c r="P87" s="27"/>
      <c r="Q87" s="27"/>
      <c r="R87" s="18"/>
      <c r="S87" s="18"/>
      <c r="T87" s="74"/>
      <c r="U87" s="74"/>
      <c r="V87" s="29"/>
    </row>
    <row r="88" spans="1:22" ht="15" thickBot="1" x14ac:dyDescent="0.4">
      <c r="A88" s="105"/>
      <c r="B88" s="109"/>
      <c r="C88" s="53" t="s">
        <v>5</v>
      </c>
      <c r="D88" s="23"/>
      <c r="E88" s="23"/>
      <c r="F88" s="51" t="e">
        <f t="shared" si="43"/>
        <v>#DIV/0!</v>
      </c>
      <c r="G88" s="46"/>
      <c r="H88" s="41"/>
      <c r="I88" s="41"/>
      <c r="J88" s="60"/>
      <c r="K88" s="26"/>
      <c r="L88" s="26"/>
      <c r="M88" s="26"/>
      <c r="N88" s="27"/>
      <c r="O88" s="25"/>
      <c r="P88" s="27"/>
      <c r="Q88" s="27"/>
      <c r="R88" s="18"/>
      <c r="S88" s="18"/>
      <c r="T88" s="74"/>
      <c r="U88" s="74"/>
      <c r="V88" s="29"/>
    </row>
    <row r="89" spans="1:22" ht="15" thickTop="1" x14ac:dyDescent="0.35">
      <c r="A89" s="105"/>
      <c r="B89" s="110">
        <v>3</v>
      </c>
      <c r="C89" s="15" t="s">
        <v>6</v>
      </c>
      <c r="D89" s="96"/>
      <c r="E89" s="96"/>
      <c r="F89" s="49" t="e">
        <f t="shared" si="41"/>
        <v>#DIV/0!</v>
      </c>
      <c r="G89" s="46"/>
      <c r="H89" s="41"/>
      <c r="I89" s="41"/>
      <c r="J89" s="60"/>
      <c r="K89" s="26"/>
      <c r="L89" s="26"/>
      <c r="M89" s="26"/>
      <c r="N89" s="27"/>
      <c r="O89" s="25"/>
      <c r="P89" s="27"/>
      <c r="Q89" s="27"/>
      <c r="R89" s="18"/>
      <c r="S89" s="18"/>
      <c r="T89" s="74"/>
      <c r="U89" s="74"/>
      <c r="V89" s="29"/>
    </row>
    <row r="90" spans="1:22" x14ac:dyDescent="0.35">
      <c r="A90" s="105"/>
      <c r="B90" s="108"/>
      <c r="C90" s="19" t="s">
        <v>4</v>
      </c>
      <c r="D90" s="20"/>
      <c r="E90" s="20"/>
      <c r="F90" s="50" t="e">
        <f t="shared" si="42"/>
        <v>#DIV/0!</v>
      </c>
      <c r="G90" s="46"/>
      <c r="H90" s="41"/>
      <c r="I90" s="41"/>
      <c r="J90" s="60"/>
      <c r="K90" s="26"/>
      <c r="L90" s="26"/>
      <c r="M90" s="26"/>
      <c r="N90" s="27"/>
      <c r="O90" s="25"/>
      <c r="P90" s="27"/>
      <c r="Q90" s="27"/>
      <c r="R90" s="18"/>
      <c r="S90" s="18"/>
      <c r="T90" s="74"/>
      <c r="U90" s="74"/>
      <c r="V90" s="29"/>
    </row>
    <row r="91" spans="1:22" ht="15" thickBot="1" x14ac:dyDescent="0.4">
      <c r="A91" s="106"/>
      <c r="B91" s="111"/>
      <c r="C91" s="53" t="s">
        <v>5</v>
      </c>
      <c r="D91" s="54"/>
      <c r="E91" s="54"/>
      <c r="F91" s="51" t="e">
        <f t="shared" si="43"/>
        <v>#DIV/0!</v>
      </c>
      <c r="G91" s="46"/>
      <c r="H91" s="41"/>
      <c r="I91" s="41"/>
      <c r="J91" s="60"/>
      <c r="K91" s="26"/>
      <c r="L91" s="26"/>
      <c r="M91" s="26"/>
      <c r="N91" s="27"/>
      <c r="O91" s="25"/>
      <c r="P91" s="27"/>
      <c r="Q91" s="27"/>
      <c r="R91" s="18"/>
      <c r="S91" s="18"/>
      <c r="T91" s="74"/>
      <c r="U91" s="74"/>
      <c r="V91" s="29"/>
    </row>
    <row r="92" spans="1:22" ht="15" thickTop="1" x14ac:dyDescent="0.35">
      <c r="A92" s="77"/>
      <c r="B92" s="80"/>
      <c r="C92" s="47"/>
      <c r="D92" s="48"/>
      <c r="E92" s="48"/>
      <c r="F92" s="49"/>
      <c r="G92" s="46"/>
      <c r="H92" s="41"/>
      <c r="I92" s="41"/>
      <c r="J92" s="60"/>
      <c r="K92" s="26"/>
      <c r="L92" s="26"/>
      <c r="M92" s="26"/>
      <c r="N92" s="27"/>
      <c r="O92" s="25"/>
      <c r="P92" s="27"/>
      <c r="Q92" s="27"/>
      <c r="R92" s="18"/>
      <c r="S92" s="18"/>
      <c r="T92" s="74"/>
      <c r="U92" s="74"/>
      <c r="V92" s="29"/>
    </row>
    <row r="93" spans="1:22" ht="15" thickBot="1" x14ac:dyDescent="0.4">
      <c r="A93" s="78"/>
      <c r="B93" s="81"/>
      <c r="C93" s="19"/>
      <c r="D93" s="20"/>
      <c r="E93" s="20"/>
      <c r="F93" s="50"/>
      <c r="G93" s="46"/>
      <c r="H93" s="41"/>
      <c r="I93" s="41"/>
      <c r="J93" s="60"/>
      <c r="K93" s="26"/>
      <c r="L93" s="26"/>
      <c r="M93" s="26"/>
      <c r="N93" s="27"/>
      <c r="O93" s="25"/>
      <c r="P93" s="27"/>
      <c r="Q93" s="27"/>
      <c r="R93" s="18"/>
      <c r="S93" s="18"/>
      <c r="T93" s="75"/>
      <c r="U93" s="75"/>
      <c r="V93" s="30"/>
    </row>
    <row r="94" spans="1:22" ht="15" thickBot="1" x14ac:dyDescent="0.4">
      <c r="A94" s="78"/>
      <c r="B94" s="82"/>
      <c r="C94" s="22"/>
      <c r="D94" s="23"/>
      <c r="E94" s="23"/>
      <c r="F94" s="51"/>
      <c r="G94" s="46"/>
      <c r="H94" s="41"/>
      <c r="I94" s="41"/>
      <c r="J94" s="60"/>
      <c r="K94" s="26"/>
      <c r="L94" s="26"/>
      <c r="M94" s="26"/>
      <c r="N94" s="27"/>
      <c r="O94" s="25"/>
      <c r="P94" s="27"/>
      <c r="Q94" s="27"/>
      <c r="R94" s="18"/>
      <c r="S94" s="18"/>
    </row>
    <row r="95" spans="1:22" x14ac:dyDescent="0.35">
      <c r="A95" s="78"/>
      <c r="B95" s="83"/>
      <c r="C95" s="15"/>
      <c r="D95" s="31"/>
      <c r="E95" s="31"/>
      <c r="F95" s="52"/>
      <c r="G95" s="46"/>
      <c r="H95" s="41"/>
      <c r="I95" s="41"/>
      <c r="J95" s="60"/>
      <c r="K95" s="26"/>
      <c r="L95" s="26"/>
      <c r="M95" s="26"/>
      <c r="N95" s="27"/>
      <c r="O95" s="25"/>
      <c r="P95" s="27"/>
      <c r="Q95" s="27"/>
      <c r="R95" s="18"/>
      <c r="S95" s="18"/>
    </row>
    <row r="96" spans="1:22" x14ac:dyDescent="0.35">
      <c r="A96" s="78"/>
      <c r="B96" s="81"/>
      <c r="C96" s="19"/>
      <c r="D96" s="32"/>
      <c r="E96" s="32"/>
      <c r="F96" s="50"/>
      <c r="G96" s="46"/>
      <c r="H96" s="41"/>
      <c r="I96" s="41"/>
      <c r="J96" s="60"/>
      <c r="K96" s="26"/>
      <c r="L96" s="26"/>
      <c r="M96" s="26"/>
      <c r="N96" s="27"/>
      <c r="O96" s="25"/>
      <c r="P96" s="27"/>
      <c r="Q96" s="27"/>
      <c r="R96" s="18"/>
      <c r="S96" s="18"/>
    </row>
    <row r="97" spans="1:19" ht="15" thickBot="1" x14ac:dyDescent="0.4">
      <c r="A97" s="78"/>
      <c r="B97" s="82"/>
      <c r="C97" s="22"/>
      <c r="D97" s="33"/>
      <c r="E97" s="33"/>
      <c r="F97" s="51"/>
      <c r="G97" s="46"/>
      <c r="H97" s="41"/>
      <c r="I97" s="41"/>
      <c r="J97" s="60"/>
      <c r="K97" s="26"/>
      <c r="L97" s="26"/>
      <c r="M97" s="26"/>
      <c r="N97" s="27"/>
      <c r="O97" s="25"/>
      <c r="P97" s="27"/>
      <c r="Q97" s="27"/>
      <c r="R97" s="18"/>
      <c r="S97" s="18"/>
    </row>
    <row r="98" spans="1:19" x14ac:dyDescent="0.35">
      <c r="A98" s="78"/>
      <c r="B98" s="83"/>
      <c r="C98" s="15"/>
      <c r="D98" s="16"/>
      <c r="E98" s="16"/>
      <c r="F98" s="52"/>
      <c r="G98" s="46"/>
      <c r="H98" s="41"/>
      <c r="I98" s="41"/>
      <c r="J98" s="60"/>
      <c r="K98" s="26"/>
      <c r="L98" s="26"/>
      <c r="M98" s="26"/>
      <c r="N98" s="27"/>
      <c r="O98" s="25"/>
      <c r="P98" s="27"/>
      <c r="Q98" s="27"/>
      <c r="R98" s="18"/>
      <c r="S98" s="18"/>
    </row>
    <row r="99" spans="1:19" x14ac:dyDescent="0.35">
      <c r="A99" s="78"/>
      <c r="B99" s="81"/>
      <c r="C99" s="19"/>
      <c r="D99" s="20"/>
      <c r="E99" s="20"/>
      <c r="F99" s="50"/>
      <c r="G99" s="46"/>
      <c r="H99" s="41"/>
      <c r="I99" s="41"/>
      <c r="J99" s="60"/>
      <c r="K99" s="26"/>
      <c r="L99" s="26"/>
      <c r="M99" s="26"/>
      <c r="N99" s="27"/>
      <c r="O99" s="25"/>
      <c r="P99" s="27"/>
      <c r="Q99" s="27"/>
      <c r="R99" s="18"/>
      <c r="S99" s="18"/>
    </row>
    <row r="100" spans="1:19" ht="15" thickBot="1" x14ac:dyDescent="0.4">
      <c r="A100" s="79"/>
      <c r="B100" s="84"/>
      <c r="C100" s="53"/>
      <c r="D100" s="54"/>
      <c r="E100" s="54"/>
      <c r="F100" s="55"/>
      <c r="G100" s="46"/>
      <c r="H100" s="41"/>
      <c r="I100" s="41"/>
      <c r="J100" s="60"/>
      <c r="K100" s="26"/>
      <c r="L100" s="26"/>
      <c r="M100" s="26"/>
      <c r="N100" s="27"/>
      <c r="O100" s="25"/>
      <c r="P100" s="27"/>
      <c r="Q100" s="27"/>
      <c r="R100" s="18"/>
      <c r="S100" s="18"/>
    </row>
    <row r="101" spans="1:19" ht="15" thickTop="1" x14ac:dyDescent="0.35">
      <c r="A101" s="77"/>
      <c r="B101" s="80"/>
      <c r="C101" s="47"/>
      <c r="D101" s="48"/>
      <c r="E101" s="48"/>
      <c r="F101" s="49"/>
      <c r="G101" s="46"/>
      <c r="H101" s="41"/>
      <c r="I101" s="41"/>
      <c r="J101" s="60"/>
      <c r="K101" s="26"/>
      <c r="L101" s="26"/>
      <c r="M101" s="26"/>
      <c r="N101" s="27"/>
      <c r="O101" s="25"/>
      <c r="P101" s="27"/>
      <c r="Q101" s="27"/>
      <c r="R101" s="18"/>
      <c r="S101" s="18"/>
    </row>
    <row r="102" spans="1:19" x14ac:dyDescent="0.35">
      <c r="A102" s="78"/>
      <c r="B102" s="81"/>
      <c r="C102" s="19"/>
      <c r="D102" s="20"/>
      <c r="E102" s="20"/>
      <c r="F102" s="50"/>
      <c r="G102" s="46"/>
      <c r="H102" s="41"/>
      <c r="I102" s="41"/>
      <c r="J102" s="60"/>
      <c r="K102" s="26"/>
      <c r="L102" s="26"/>
      <c r="M102" s="26"/>
      <c r="N102" s="27"/>
      <c r="O102" s="25"/>
      <c r="P102" s="27"/>
      <c r="Q102" s="27"/>
      <c r="R102" s="18"/>
      <c r="S102" s="18"/>
    </row>
    <row r="103" spans="1:19" ht="15" thickBot="1" x14ac:dyDescent="0.4">
      <c r="A103" s="78"/>
      <c r="B103" s="82"/>
      <c r="C103" s="22"/>
      <c r="D103" s="23"/>
      <c r="E103" s="23"/>
      <c r="F103" s="51"/>
      <c r="G103" s="46"/>
      <c r="H103" s="41"/>
      <c r="I103" s="41"/>
      <c r="J103" s="60"/>
      <c r="K103" s="26"/>
      <c r="L103" s="26"/>
      <c r="M103" s="26"/>
      <c r="N103" s="27"/>
      <c r="O103" s="25"/>
      <c r="P103" s="27"/>
      <c r="Q103" s="27"/>
      <c r="R103" s="18"/>
      <c r="S103" s="18"/>
    </row>
    <row r="104" spans="1:19" x14ac:dyDescent="0.35">
      <c r="A104" s="78"/>
      <c r="B104" s="83"/>
      <c r="C104" s="15"/>
      <c r="D104" s="16"/>
      <c r="E104" s="16"/>
      <c r="F104" s="52"/>
      <c r="G104" s="46"/>
      <c r="H104" s="41"/>
      <c r="I104" s="41"/>
      <c r="J104" s="60"/>
      <c r="K104" s="26"/>
      <c r="L104" s="26"/>
      <c r="M104" s="26"/>
      <c r="N104" s="27"/>
      <c r="O104" s="25"/>
      <c r="P104" s="27"/>
      <c r="Q104" s="27"/>
      <c r="R104" s="18"/>
      <c r="S104" s="18"/>
    </row>
    <row r="105" spans="1:19" x14ac:dyDescent="0.35">
      <c r="A105" s="78"/>
      <c r="B105" s="81"/>
      <c r="C105" s="19"/>
      <c r="D105" s="20"/>
      <c r="E105" s="20"/>
      <c r="F105" s="50"/>
      <c r="G105" s="46"/>
      <c r="H105" s="41"/>
      <c r="I105" s="41"/>
      <c r="J105" s="60"/>
      <c r="K105" s="26"/>
      <c r="L105" s="26"/>
      <c r="M105" s="26"/>
      <c r="N105" s="27"/>
      <c r="O105" s="25"/>
      <c r="P105" s="27"/>
      <c r="Q105" s="27"/>
      <c r="R105" s="18"/>
      <c r="S105" s="18"/>
    </row>
    <row r="106" spans="1:19" ht="15" thickBot="1" x14ac:dyDescent="0.4">
      <c r="A106" s="78"/>
      <c r="B106" s="82"/>
      <c r="C106" s="22"/>
      <c r="D106" s="23"/>
      <c r="E106" s="23"/>
      <c r="F106" s="51"/>
      <c r="G106" s="46"/>
      <c r="H106" s="41"/>
      <c r="I106" s="41"/>
      <c r="J106" s="60"/>
      <c r="K106" s="26"/>
      <c r="L106" s="26"/>
      <c r="M106" s="26"/>
      <c r="N106" s="27"/>
      <c r="O106" s="25"/>
      <c r="P106" s="27"/>
      <c r="Q106" s="27"/>
      <c r="R106" s="18"/>
      <c r="S106" s="18"/>
    </row>
    <row r="107" spans="1:19" x14ac:dyDescent="0.35">
      <c r="A107" s="78"/>
      <c r="B107" s="83"/>
      <c r="C107" s="15"/>
      <c r="D107" s="16"/>
      <c r="E107" s="16"/>
      <c r="F107" s="52"/>
      <c r="G107" s="46"/>
      <c r="H107" s="41"/>
      <c r="I107" s="41"/>
      <c r="J107" s="60"/>
      <c r="K107" s="26"/>
      <c r="L107" s="26"/>
      <c r="M107" s="26"/>
      <c r="N107" s="27"/>
      <c r="O107" s="25"/>
      <c r="P107" s="27"/>
      <c r="Q107" s="27"/>
      <c r="R107" s="18"/>
      <c r="S107" s="18"/>
    </row>
    <row r="108" spans="1:19" x14ac:dyDescent="0.35">
      <c r="A108" s="78"/>
      <c r="B108" s="81"/>
      <c r="C108" s="19"/>
      <c r="D108" s="20"/>
      <c r="E108" s="20"/>
      <c r="F108" s="50"/>
      <c r="G108" s="46"/>
      <c r="H108" s="41"/>
      <c r="I108" s="41"/>
      <c r="J108" s="60"/>
      <c r="K108" s="26"/>
      <c r="L108" s="26"/>
      <c r="M108" s="26"/>
      <c r="N108" s="27"/>
      <c r="O108" s="25"/>
      <c r="P108" s="27"/>
      <c r="Q108" s="27"/>
      <c r="R108" s="18"/>
      <c r="S108" s="18"/>
    </row>
    <row r="109" spans="1:19" ht="15" thickBot="1" x14ac:dyDescent="0.4">
      <c r="A109" s="79"/>
      <c r="B109" s="84"/>
      <c r="C109" s="53"/>
      <c r="D109" s="54"/>
      <c r="E109" s="54"/>
      <c r="F109" s="55"/>
      <c r="G109" s="46"/>
      <c r="H109" s="41"/>
      <c r="I109" s="41"/>
      <c r="J109" s="60"/>
      <c r="K109" s="26"/>
      <c r="L109" s="26"/>
      <c r="M109" s="26"/>
      <c r="N109" s="27"/>
      <c r="O109" s="25"/>
      <c r="P109" s="27"/>
      <c r="Q109" s="27"/>
      <c r="R109" s="18"/>
      <c r="S109" s="18"/>
    </row>
    <row r="110" spans="1:19" ht="15" thickTop="1" x14ac:dyDescent="0.35">
      <c r="A110" s="77"/>
      <c r="B110" s="80"/>
      <c r="C110" s="47"/>
      <c r="D110" s="48"/>
      <c r="E110" s="48"/>
      <c r="F110" s="49"/>
      <c r="G110" s="46"/>
      <c r="H110" s="41"/>
      <c r="I110" s="41"/>
      <c r="J110" s="60"/>
      <c r="K110" s="26"/>
      <c r="L110" s="26"/>
      <c r="M110" s="26"/>
      <c r="N110" s="27"/>
      <c r="O110" s="25"/>
      <c r="P110" s="27"/>
      <c r="Q110" s="27"/>
      <c r="R110" s="18"/>
      <c r="S110" s="18"/>
    </row>
    <row r="111" spans="1:19" x14ac:dyDescent="0.35">
      <c r="A111" s="78"/>
      <c r="B111" s="81"/>
      <c r="C111" s="19"/>
      <c r="D111" s="20"/>
      <c r="E111" s="20"/>
      <c r="F111" s="50"/>
      <c r="G111" s="46"/>
      <c r="H111" s="41"/>
      <c r="I111" s="41"/>
      <c r="J111" s="60"/>
      <c r="K111" s="26"/>
      <c r="L111" s="26"/>
      <c r="M111" s="26"/>
      <c r="N111" s="27"/>
      <c r="O111" s="25"/>
      <c r="P111" s="27"/>
      <c r="Q111" s="27"/>
      <c r="R111" s="18"/>
      <c r="S111" s="18"/>
    </row>
    <row r="112" spans="1:19" ht="15" thickBot="1" x14ac:dyDescent="0.4">
      <c r="A112" s="78"/>
      <c r="B112" s="82"/>
      <c r="C112" s="22"/>
      <c r="D112" s="23"/>
      <c r="E112" s="23"/>
      <c r="F112" s="51"/>
      <c r="G112" s="46"/>
      <c r="H112" s="41"/>
      <c r="I112" s="41"/>
      <c r="J112" s="60"/>
      <c r="K112" s="26"/>
      <c r="L112" s="26"/>
      <c r="M112" s="26"/>
      <c r="N112" s="27"/>
      <c r="O112" s="25"/>
      <c r="P112" s="27"/>
      <c r="Q112" s="27"/>
      <c r="R112" s="18"/>
      <c r="S112" s="18"/>
    </row>
    <row r="113" spans="1:19" x14ac:dyDescent="0.35">
      <c r="A113" s="78"/>
      <c r="B113" s="83"/>
      <c r="C113" s="15"/>
      <c r="D113" s="16"/>
      <c r="E113" s="16"/>
      <c r="F113" s="52"/>
      <c r="G113" s="46"/>
      <c r="H113" s="41"/>
      <c r="I113" s="41"/>
      <c r="J113" s="60"/>
      <c r="K113" s="26"/>
      <c r="L113" s="26"/>
      <c r="M113" s="26"/>
      <c r="N113" s="27"/>
      <c r="O113" s="25"/>
      <c r="P113" s="27"/>
      <c r="Q113" s="27"/>
      <c r="R113" s="18"/>
      <c r="S113" s="18"/>
    </row>
    <row r="114" spans="1:19" x14ac:dyDescent="0.35">
      <c r="A114" s="78"/>
      <c r="B114" s="81"/>
      <c r="C114" s="19"/>
      <c r="D114" s="20"/>
      <c r="E114" s="20"/>
      <c r="F114" s="50"/>
      <c r="G114" s="46"/>
      <c r="H114" s="41"/>
      <c r="I114" s="41"/>
      <c r="J114" s="60"/>
      <c r="K114" s="26"/>
      <c r="L114" s="26"/>
      <c r="M114" s="26"/>
      <c r="N114" s="27"/>
      <c r="O114" s="25"/>
      <c r="P114" s="27"/>
      <c r="Q114" s="27"/>
      <c r="R114" s="18"/>
      <c r="S114" s="18"/>
    </row>
    <row r="115" spans="1:19" ht="15" thickBot="1" x14ac:dyDescent="0.4">
      <c r="A115" s="78"/>
      <c r="B115" s="82"/>
      <c r="C115" s="22"/>
      <c r="D115" s="23"/>
      <c r="E115" s="23"/>
      <c r="F115" s="51"/>
      <c r="G115" s="46"/>
      <c r="H115" s="41"/>
      <c r="I115" s="41"/>
      <c r="J115" s="60"/>
      <c r="K115" s="26"/>
      <c r="L115" s="26"/>
      <c r="M115" s="26"/>
      <c r="N115" s="27"/>
      <c r="O115" s="25"/>
      <c r="P115" s="27"/>
      <c r="Q115" s="27"/>
      <c r="R115" s="18"/>
      <c r="S115" s="18"/>
    </row>
    <row r="116" spans="1:19" x14ac:dyDescent="0.35">
      <c r="A116" s="78"/>
      <c r="B116" s="83"/>
      <c r="C116" s="15"/>
      <c r="D116" s="16"/>
      <c r="E116" s="16"/>
      <c r="F116" s="52"/>
      <c r="G116" s="46"/>
      <c r="H116" s="41"/>
      <c r="I116" s="41"/>
      <c r="J116" s="60"/>
      <c r="K116" s="26"/>
      <c r="L116" s="26"/>
      <c r="M116" s="26"/>
      <c r="N116" s="27"/>
      <c r="O116" s="25"/>
      <c r="P116" s="27"/>
      <c r="Q116" s="27"/>
      <c r="R116" s="18"/>
      <c r="S116" s="18"/>
    </row>
    <row r="117" spans="1:19" x14ac:dyDescent="0.35">
      <c r="A117" s="78"/>
      <c r="B117" s="81"/>
      <c r="C117" s="19"/>
      <c r="D117" s="20"/>
      <c r="E117" s="20"/>
      <c r="F117" s="50"/>
      <c r="G117" s="46"/>
      <c r="H117" s="41"/>
      <c r="I117" s="41"/>
      <c r="J117" s="60"/>
      <c r="K117" s="26"/>
      <c r="L117" s="26"/>
      <c r="M117" s="26"/>
      <c r="N117" s="27"/>
      <c r="O117" s="25"/>
      <c r="P117" s="27"/>
      <c r="Q117" s="27"/>
      <c r="R117" s="18"/>
      <c r="S117" s="18"/>
    </row>
    <row r="118" spans="1:19" ht="15" thickBot="1" x14ac:dyDescent="0.4">
      <c r="A118" s="79"/>
      <c r="B118" s="84"/>
      <c r="C118" s="53"/>
      <c r="D118" s="54"/>
      <c r="E118" s="54"/>
      <c r="F118" s="55"/>
      <c r="G118" s="46"/>
      <c r="H118" s="41"/>
      <c r="I118" s="41"/>
      <c r="J118" s="60"/>
      <c r="K118" s="26"/>
      <c r="L118" s="26"/>
      <c r="M118" s="26"/>
      <c r="N118" s="27"/>
      <c r="O118" s="25"/>
      <c r="P118" s="27"/>
      <c r="Q118" s="27"/>
      <c r="R118" s="18"/>
      <c r="S118" s="18"/>
    </row>
    <row r="119" spans="1:19" ht="15" thickTop="1" x14ac:dyDescent="0.35">
      <c r="A119" s="77"/>
      <c r="B119" s="80"/>
      <c r="C119" s="47"/>
      <c r="D119" s="48"/>
      <c r="E119" s="48"/>
      <c r="F119" s="49"/>
      <c r="G119" s="46"/>
      <c r="H119" s="41"/>
      <c r="I119" s="41"/>
      <c r="J119" s="60"/>
      <c r="K119" s="26"/>
      <c r="L119" s="26"/>
      <c r="M119" s="26"/>
      <c r="N119" s="27"/>
      <c r="O119" s="25"/>
      <c r="P119" s="27"/>
      <c r="Q119" s="27"/>
      <c r="R119" s="18"/>
      <c r="S119" s="18"/>
    </row>
    <row r="120" spans="1:19" x14ac:dyDescent="0.35">
      <c r="A120" s="78"/>
      <c r="B120" s="81"/>
      <c r="C120" s="19"/>
      <c r="D120" s="20"/>
      <c r="E120" s="20"/>
      <c r="F120" s="50"/>
      <c r="G120" s="46"/>
      <c r="H120" s="41"/>
      <c r="I120" s="41"/>
      <c r="J120" s="60"/>
      <c r="K120" s="26"/>
      <c r="L120" s="26"/>
      <c r="M120" s="26"/>
      <c r="N120" s="27"/>
      <c r="O120" s="25"/>
      <c r="P120" s="27"/>
      <c r="Q120" s="27"/>
      <c r="R120" s="18"/>
      <c r="S120" s="18"/>
    </row>
    <row r="121" spans="1:19" ht="15" thickBot="1" x14ac:dyDescent="0.4">
      <c r="A121" s="78"/>
      <c r="B121" s="82"/>
      <c r="C121" s="22"/>
      <c r="D121" s="23"/>
      <c r="E121" s="23"/>
      <c r="F121" s="51"/>
      <c r="G121" s="46"/>
      <c r="H121" s="41"/>
      <c r="I121" s="41"/>
      <c r="J121" s="60"/>
      <c r="K121" s="26"/>
      <c r="L121" s="26"/>
      <c r="M121" s="26"/>
      <c r="N121" s="27"/>
      <c r="O121" s="25"/>
      <c r="P121" s="27"/>
      <c r="Q121" s="27"/>
      <c r="R121" s="18"/>
      <c r="S121" s="18"/>
    </row>
    <row r="122" spans="1:19" x14ac:dyDescent="0.35">
      <c r="A122" s="78"/>
      <c r="B122" s="83"/>
      <c r="C122" s="15"/>
      <c r="D122" s="16"/>
      <c r="E122" s="16"/>
      <c r="F122" s="52"/>
      <c r="G122" s="46"/>
      <c r="H122" s="41"/>
      <c r="I122" s="41"/>
      <c r="J122" s="60"/>
      <c r="K122" s="26"/>
      <c r="L122" s="26"/>
      <c r="M122" s="26"/>
      <c r="N122" s="27"/>
      <c r="O122" s="25"/>
      <c r="P122" s="27"/>
      <c r="Q122" s="27"/>
      <c r="R122" s="18"/>
      <c r="S122" s="18"/>
    </row>
    <row r="123" spans="1:19" x14ac:dyDescent="0.35">
      <c r="A123" s="78"/>
      <c r="B123" s="81"/>
      <c r="C123" s="19"/>
      <c r="D123" s="20"/>
      <c r="E123" s="20"/>
      <c r="F123" s="50"/>
      <c r="G123" s="46"/>
      <c r="H123" s="41"/>
      <c r="I123" s="41"/>
      <c r="J123" s="60"/>
      <c r="K123" s="26"/>
      <c r="L123" s="26"/>
      <c r="M123" s="26"/>
      <c r="N123" s="27"/>
      <c r="O123" s="25"/>
      <c r="P123" s="27"/>
      <c r="Q123" s="27"/>
      <c r="R123" s="18"/>
      <c r="S123" s="18"/>
    </row>
    <row r="124" spans="1:19" ht="15" thickBot="1" x14ac:dyDescent="0.4">
      <c r="A124" s="78"/>
      <c r="B124" s="82"/>
      <c r="C124" s="22"/>
      <c r="D124" s="23"/>
      <c r="E124" s="23"/>
      <c r="F124" s="51"/>
      <c r="G124" s="46"/>
      <c r="H124" s="41"/>
      <c r="I124" s="41"/>
      <c r="J124" s="60"/>
      <c r="K124" s="26"/>
      <c r="L124" s="26"/>
      <c r="M124" s="26"/>
      <c r="N124" s="27"/>
      <c r="O124" s="25"/>
      <c r="P124" s="27"/>
      <c r="Q124" s="27"/>
      <c r="R124" s="18"/>
      <c r="S124" s="18"/>
    </row>
    <row r="125" spans="1:19" x14ac:dyDescent="0.35">
      <c r="A125" s="78"/>
      <c r="B125" s="83"/>
      <c r="C125" s="15"/>
      <c r="D125" s="16"/>
      <c r="E125" s="16"/>
      <c r="F125" s="52"/>
      <c r="G125" s="46"/>
      <c r="H125" s="41"/>
      <c r="I125" s="41"/>
      <c r="J125" s="60"/>
      <c r="K125" s="26"/>
      <c r="L125" s="26"/>
      <c r="M125" s="26"/>
      <c r="N125" s="27"/>
      <c r="O125" s="25"/>
      <c r="P125" s="27"/>
      <c r="Q125" s="27"/>
      <c r="R125" s="18"/>
      <c r="S125" s="18"/>
    </row>
    <row r="126" spans="1:19" x14ac:dyDescent="0.35">
      <c r="A126" s="78"/>
      <c r="B126" s="81"/>
      <c r="C126" s="19"/>
      <c r="D126" s="20"/>
      <c r="E126" s="20"/>
      <c r="F126" s="50"/>
      <c r="G126" s="46"/>
      <c r="H126" s="41"/>
      <c r="I126" s="41"/>
      <c r="J126" s="60"/>
      <c r="K126" s="26"/>
      <c r="L126" s="26"/>
      <c r="M126" s="26"/>
      <c r="N126" s="27"/>
      <c r="O126" s="25"/>
      <c r="P126" s="27"/>
      <c r="Q126" s="27"/>
      <c r="R126" s="18"/>
      <c r="S126" s="18"/>
    </row>
    <row r="127" spans="1:19" ht="15" thickBot="1" x14ac:dyDescent="0.4">
      <c r="A127" s="79"/>
      <c r="B127" s="84"/>
      <c r="C127" s="53"/>
      <c r="D127" s="54"/>
      <c r="E127" s="54"/>
      <c r="F127" s="55"/>
      <c r="G127" s="46"/>
      <c r="H127" s="41"/>
      <c r="I127" s="41"/>
      <c r="J127" s="60"/>
      <c r="K127" s="26"/>
      <c r="L127" s="26"/>
      <c r="M127" s="26"/>
      <c r="N127" s="27"/>
      <c r="O127" s="25"/>
      <c r="P127" s="27"/>
      <c r="Q127" s="27"/>
      <c r="R127" s="18"/>
      <c r="S127" s="18"/>
    </row>
    <row r="128" spans="1:19" ht="15" thickTop="1" x14ac:dyDescent="0.35">
      <c r="A128" s="77"/>
      <c r="B128" s="80"/>
      <c r="C128" s="47"/>
      <c r="D128" s="48"/>
      <c r="E128" s="48"/>
      <c r="F128" s="49"/>
      <c r="G128" s="46"/>
      <c r="H128" s="41"/>
      <c r="I128" s="41"/>
      <c r="J128" s="60"/>
      <c r="K128" s="26"/>
      <c r="L128" s="26"/>
      <c r="M128" s="26"/>
      <c r="N128" s="27"/>
      <c r="O128" s="25"/>
      <c r="P128" s="27"/>
      <c r="Q128" s="27"/>
      <c r="R128" s="18"/>
      <c r="S128" s="18"/>
    </row>
    <row r="129" spans="1:19" x14ac:dyDescent="0.35">
      <c r="A129" s="78"/>
      <c r="B129" s="81"/>
      <c r="C129" s="19"/>
      <c r="D129" s="20"/>
      <c r="E129" s="20"/>
      <c r="F129" s="50"/>
      <c r="G129" s="46"/>
      <c r="H129" s="41"/>
      <c r="I129" s="41"/>
      <c r="J129" s="60"/>
      <c r="K129" s="26"/>
      <c r="L129" s="26"/>
      <c r="M129" s="26"/>
      <c r="N129" s="27"/>
      <c r="O129" s="25"/>
      <c r="P129" s="27"/>
      <c r="Q129" s="27"/>
      <c r="R129" s="18"/>
      <c r="S129" s="18"/>
    </row>
    <row r="130" spans="1:19" ht="15" thickBot="1" x14ac:dyDescent="0.4">
      <c r="A130" s="78"/>
      <c r="B130" s="82"/>
      <c r="C130" s="22"/>
      <c r="D130" s="23"/>
      <c r="E130" s="23"/>
      <c r="F130" s="51"/>
      <c r="G130" s="46"/>
      <c r="H130" s="41"/>
      <c r="I130" s="41"/>
      <c r="J130" s="60"/>
      <c r="K130" s="26"/>
      <c r="L130" s="26"/>
      <c r="M130" s="26"/>
      <c r="N130" s="27"/>
      <c r="O130" s="25"/>
      <c r="P130" s="27"/>
      <c r="Q130" s="27"/>
      <c r="R130" s="18"/>
      <c r="S130" s="18"/>
    </row>
    <row r="131" spans="1:19" x14ac:dyDescent="0.35">
      <c r="A131" s="78"/>
      <c r="B131" s="83"/>
      <c r="C131" s="15"/>
      <c r="D131" s="34"/>
      <c r="E131" s="34"/>
      <c r="F131" s="52"/>
      <c r="G131" s="46"/>
      <c r="H131" s="41"/>
      <c r="I131" s="41"/>
      <c r="J131" s="60"/>
      <c r="K131" s="26"/>
      <c r="L131" s="26"/>
      <c r="M131" s="26"/>
      <c r="N131" s="27"/>
      <c r="O131" s="25"/>
      <c r="P131" s="27"/>
      <c r="Q131" s="27"/>
      <c r="R131" s="18"/>
      <c r="S131" s="18"/>
    </row>
    <row r="132" spans="1:19" x14ac:dyDescent="0.35">
      <c r="A132" s="78"/>
      <c r="B132" s="81"/>
      <c r="C132" s="19"/>
      <c r="D132" s="20"/>
      <c r="E132" s="20"/>
      <c r="F132" s="50"/>
      <c r="G132" s="46"/>
      <c r="H132" s="41"/>
      <c r="I132" s="41"/>
      <c r="J132" s="60"/>
      <c r="K132" s="26"/>
      <c r="L132" s="26"/>
      <c r="M132" s="26"/>
      <c r="N132" s="27"/>
      <c r="O132" s="25"/>
      <c r="P132" s="27"/>
      <c r="Q132" s="27"/>
      <c r="R132" s="18"/>
      <c r="S132" s="18"/>
    </row>
    <row r="133" spans="1:19" ht="15" thickBot="1" x14ac:dyDescent="0.4">
      <c r="A133" s="78"/>
      <c r="B133" s="82"/>
      <c r="C133" s="22"/>
      <c r="D133" s="23"/>
      <c r="E133" s="23"/>
      <c r="F133" s="51"/>
      <c r="G133" s="46"/>
      <c r="H133" s="41"/>
      <c r="I133" s="41"/>
      <c r="J133" s="60"/>
      <c r="K133" s="26"/>
      <c r="L133" s="26"/>
      <c r="M133" s="26"/>
      <c r="N133" s="27"/>
      <c r="O133" s="25"/>
      <c r="P133" s="27"/>
      <c r="Q133" s="27"/>
      <c r="R133" s="18"/>
      <c r="S133" s="18"/>
    </row>
    <row r="134" spans="1:19" x14ac:dyDescent="0.35">
      <c r="A134" s="78"/>
      <c r="B134" s="83"/>
      <c r="C134" s="15"/>
      <c r="D134" s="16"/>
      <c r="E134" s="16"/>
      <c r="F134" s="52"/>
      <c r="G134" s="46"/>
      <c r="H134" s="41"/>
      <c r="I134" s="41"/>
      <c r="J134" s="60"/>
      <c r="K134" s="26"/>
      <c r="L134" s="26"/>
      <c r="M134" s="26"/>
      <c r="N134" s="27"/>
      <c r="O134" s="25"/>
      <c r="P134" s="27"/>
      <c r="Q134" s="27"/>
      <c r="R134" s="18"/>
      <c r="S134" s="18"/>
    </row>
    <row r="135" spans="1:19" x14ac:dyDescent="0.35">
      <c r="A135" s="78"/>
      <c r="B135" s="81"/>
      <c r="C135" s="19"/>
      <c r="D135" s="20"/>
      <c r="E135" s="20"/>
      <c r="F135" s="50"/>
      <c r="G135" s="46"/>
      <c r="H135" s="41"/>
      <c r="I135" s="41"/>
      <c r="J135" s="60"/>
      <c r="K135" s="26"/>
      <c r="L135" s="26"/>
      <c r="M135" s="26"/>
      <c r="N135" s="27"/>
      <c r="O135" s="25"/>
      <c r="P135" s="27"/>
      <c r="Q135" s="27"/>
      <c r="R135" s="18"/>
      <c r="S135" s="18"/>
    </row>
    <row r="136" spans="1:19" ht="15" thickBot="1" x14ac:dyDescent="0.4">
      <c r="A136" s="79"/>
      <c r="B136" s="84"/>
      <c r="C136" s="53"/>
      <c r="D136" s="54"/>
      <c r="E136" s="54"/>
      <c r="F136" s="55"/>
      <c r="G136" s="46"/>
      <c r="H136" s="41"/>
      <c r="I136" s="41"/>
      <c r="J136" s="60"/>
      <c r="K136" s="26"/>
      <c r="L136" s="26"/>
      <c r="M136" s="26"/>
      <c r="N136" s="27"/>
      <c r="O136" s="25"/>
      <c r="P136" s="27"/>
      <c r="Q136" s="27"/>
      <c r="R136" s="18"/>
      <c r="S136" s="18"/>
    </row>
    <row r="137" spans="1:19" ht="15" thickTop="1" x14ac:dyDescent="0.35">
      <c r="A137" s="77"/>
      <c r="B137" s="80"/>
      <c r="C137" s="47"/>
      <c r="D137" s="48"/>
      <c r="E137" s="48"/>
      <c r="F137" s="49"/>
      <c r="G137" s="46"/>
      <c r="H137" s="41"/>
      <c r="I137" s="41"/>
      <c r="J137" s="60"/>
      <c r="K137" s="26"/>
      <c r="L137" s="26"/>
      <c r="M137" s="26"/>
      <c r="N137" s="27"/>
      <c r="O137" s="25"/>
      <c r="P137" s="27"/>
      <c r="Q137" s="27"/>
      <c r="R137" s="18"/>
      <c r="S137" s="18"/>
    </row>
    <row r="138" spans="1:19" x14ac:dyDescent="0.35">
      <c r="A138" s="78"/>
      <c r="B138" s="81"/>
      <c r="C138" s="19"/>
      <c r="D138" s="20"/>
      <c r="E138" s="20"/>
      <c r="F138" s="50"/>
      <c r="G138" s="46"/>
      <c r="H138" s="41"/>
      <c r="I138" s="41"/>
      <c r="J138" s="60"/>
      <c r="K138" s="26"/>
      <c r="L138" s="26"/>
      <c r="M138" s="26"/>
      <c r="N138" s="27"/>
      <c r="O138" s="25"/>
      <c r="P138" s="27"/>
      <c r="Q138" s="27"/>
      <c r="R138" s="18"/>
      <c r="S138" s="18"/>
    </row>
    <row r="139" spans="1:19" ht="15" thickBot="1" x14ac:dyDescent="0.4">
      <c r="A139" s="78"/>
      <c r="B139" s="82"/>
      <c r="C139" s="22"/>
      <c r="D139" s="23"/>
      <c r="E139" s="23"/>
      <c r="F139" s="51"/>
      <c r="G139" s="46"/>
      <c r="H139" s="41"/>
      <c r="I139" s="41"/>
      <c r="J139" s="60"/>
      <c r="K139" s="26"/>
      <c r="L139" s="26"/>
      <c r="M139" s="26"/>
      <c r="N139" s="27"/>
      <c r="O139" s="25"/>
      <c r="P139" s="27"/>
      <c r="Q139" s="27"/>
      <c r="R139" s="18"/>
      <c r="S139" s="18"/>
    </row>
    <row r="140" spans="1:19" x14ac:dyDescent="0.35">
      <c r="A140" s="78"/>
      <c r="B140" s="83"/>
      <c r="C140" s="15"/>
      <c r="D140" s="16"/>
      <c r="E140" s="16"/>
      <c r="F140" s="52"/>
      <c r="G140" s="46"/>
      <c r="H140" s="41"/>
      <c r="I140" s="41"/>
      <c r="J140" s="60"/>
      <c r="K140" s="26"/>
      <c r="L140" s="26"/>
      <c r="M140" s="26"/>
      <c r="N140" s="27"/>
      <c r="O140" s="25"/>
      <c r="P140" s="27"/>
      <c r="Q140" s="27"/>
      <c r="R140" s="18"/>
      <c r="S140" s="18"/>
    </row>
    <row r="141" spans="1:19" x14ac:dyDescent="0.35">
      <c r="A141" s="78"/>
      <c r="B141" s="81"/>
      <c r="C141" s="19"/>
      <c r="D141" s="20"/>
      <c r="E141" s="20"/>
      <c r="F141" s="50"/>
      <c r="G141" s="46"/>
      <c r="H141" s="41"/>
      <c r="I141" s="41"/>
      <c r="J141" s="60"/>
      <c r="K141" s="26"/>
      <c r="L141" s="26"/>
      <c r="M141" s="26"/>
      <c r="N141" s="27"/>
      <c r="O141" s="25"/>
      <c r="P141" s="27"/>
      <c r="Q141" s="27"/>
      <c r="R141" s="18"/>
      <c r="S141" s="18"/>
    </row>
    <row r="142" spans="1:19" ht="15" thickBot="1" x14ac:dyDescent="0.4">
      <c r="A142" s="78"/>
      <c r="B142" s="82"/>
      <c r="C142" s="22"/>
      <c r="D142" s="23"/>
      <c r="E142" s="23"/>
      <c r="F142" s="51"/>
      <c r="G142" s="46"/>
      <c r="H142" s="41"/>
      <c r="I142" s="41"/>
      <c r="J142" s="60"/>
      <c r="K142" s="26"/>
      <c r="L142" s="26"/>
      <c r="M142" s="26"/>
      <c r="N142" s="27"/>
      <c r="O142" s="25"/>
      <c r="P142" s="27"/>
      <c r="Q142" s="27"/>
      <c r="R142" s="18"/>
      <c r="S142" s="18"/>
    </row>
    <row r="143" spans="1:19" x14ac:dyDescent="0.35">
      <c r="A143" s="78"/>
      <c r="B143" s="83"/>
      <c r="C143" s="15"/>
      <c r="D143" s="16"/>
      <c r="E143" s="16"/>
      <c r="F143" s="52"/>
      <c r="G143" s="46"/>
      <c r="H143" s="41"/>
      <c r="I143" s="41"/>
      <c r="J143" s="60"/>
      <c r="K143" s="26"/>
      <c r="L143" s="26"/>
      <c r="M143" s="26"/>
      <c r="N143" s="27"/>
      <c r="O143" s="25"/>
      <c r="P143" s="27"/>
      <c r="Q143" s="27"/>
      <c r="R143" s="18"/>
      <c r="S143" s="18"/>
    </row>
    <row r="144" spans="1:19" x14ac:dyDescent="0.35">
      <c r="A144" s="78"/>
      <c r="B144" s="81"/>
      <c r="C144" s="19"/>
      <c r="D144" s="20"/>
      <c r="E144" s="20"/>
      <c r="F144" s="50"/>
      <c r="G144" s="46"/>
      <c r="H144" s="41"/>
      <c r="I144" s="41"/>
      <c r="J144" s="60"/>
      <c r="K144" s="26"/>
      <c r="L144" s="26"/>
      <c r="M144" s="26"/>
      <c r="N144" s="27"/>
      <c r="O144" s="25"/>
      <c r="P144" s="27"/>
      <c r="Q144" s="27"/>
      <c r="R144" s="18"/>
      <c r="S144" s="18"/>
    </row>
    <row r="145" spans="1:19" ht="15" thickBot="1" x14ac:dyDescent="0.4">
      <c r="A145" s="79"/>
      <c r="B145" s="84"/>
      <c r="C145" s="53"/>
      <c r="D145" s="54"/>
      <c r="E145" s="54"/>
      <c r="F145" s="55"/>
      <c r="G145" s="46"/>
      <c r="H145" s="41"/>
      <c r="I145" s="41"/>
      <c r="J145" s="60"/>
      <c r="K145" s="26"/>
      <c r="L145" s="26"/>
      <c r="M145" s="26"/>
      <c r="N145" s="27"/>
      <c r="O145" s="25"/>
      <c r="P145" s="27"/>
      <c r="Q145" s="27"/>
      <c r="R145" s="18"/>
      <c r="S145" s="18"/>
    </row>
    <row r="146" spans="1:19" ht="15" thickTop="1" x14ac:dyDescent="0.35">
      <c r="A146" s="77"/>
      <c r="B146" s="80"/>
      <c r="C146" s="47"/>
      <c r="D146" s="48"/>
      <c r="E146" s="48"/>
      <c r="F146" s="49"/>
      <c r="G146" s="46"/>
      <c r="H146" s="41"/>
      <c r="I146" s="41"/>
      <c r="J146" s="60"/>
      <c r="K146" s="26"/>
      <c r="L146" s="26"/>
      <c r="M146" s="26"/>
      <c r="N146" s="27"/>
      <c r="O146" s="25"/>
      <c r="P146" s="27"/>
      <c r="Q146" s="27"/>
      <c r="R146" s="18"/>
      <c r="S146" s="18"/>
    </row>
    <row r="147" spans="1:19" x14ac:dyDescent="0.35">
      <c r="A147" s="78"/>
      <c r="B147" s="81"/>
      <c r="C147" s="19"/>
      <c r="D147" s="20"/>
      <c r="E147" s="20"/>
      <c r="F147" s="50"/>
      <c r="G147" s="46"/>
      <c r="H147" s="41"/>
      <c r="I147" s="41"/>
      <c r="J147" s="60"/>
      <c r="K147" s="26"/>
      <c r="L147" s="26"/>
      <c r="M147" s="26"/>
      <c r="N147" s="27"/>
      <c r="O147" s="25"/>
      <c r="P147" s="27"/>
      <c r="Q147" s="27"/>
      <c r="R147" s="18"/>
      <c r="S147" s="18"/>
    </row>
    <row r="148" spans="1:19" ht="15" thickBot="1" x14ac:dyDescent="0.4">
      <c r="A148" s="78"/>
      <c r="B148" s="82"/>
      <c r="C148" s="22"/>
      <c r="D148" s="23"/>
      <c r="E148" s="23"/>
      <c r="F148" s="51"/>
      <c r="G148" s="46"/>
      <c r="H148" s="41"/>
      <c r="I148" s="41"/>
      <c r="J148" s="60"/>
      <c r="K148" s="26"/>
      <c r="L148" s="26"/>
      <c r="M148" s="26"/>
      <c r="N148" s="27"/>
      <c r="O148" s="25"/>
      <c r="P148" s="27"/>
      <c r="Q148" s="27"/>
      <c r="R148" s="18"/>
      <c r="S148" s="18"/>
    </row>
    <row r="149" spans="1:19" x14ac:dyDescent="0.35">
      <c r="A149" s="78"/>
      <c r="B149" s="83"/>
      <c r="C149" s="15"/>
      <c r="D149" s="16"/>
      <c r="E149" s="16"/>
      <c r="F149" s="52"/>
      <c r="G149" s="46"/>
      <c r="H149" s="41"/>
      <c r="I149" s="41"/>
      <c r="J149" s="60"/>
      <c r="K149" s="26"/>
      <c r="L149" s="26"/>
      <c r="M149" s="26"/>
      <c r="N149" s="27"/>
      <c r="O149" s="25"/>
      <c r="P149" s="27"/>
      <c r="Q149" s="27"/>
      <c r="R149" s="18"/>
      <c r="S149" s="18"/>
    </row>
    <row r="150" spans="1:19" x14ac:dyDescent="0.35">
      <c r="A150" s="78"/>
      <c r="B150" s="81"/>
      <c r="C150" s="19"/>
      <c r="D150" s="20"/>
      <c r="E150" s="20"/>
      <c r="F150" s="50"/>
      <c r="G150" s="46"/>
      <c r="H150" s="41"/>
      <c r="I150" s="41"/>
      <c r="J150" s="60"/>
      <c r="K150" s="26"/>
      <c r="L150" s="26"/>
      <c r="M150" s="26"/>
      <c r="N150" s="27"/>
      <c r="O150" s="25"/>
      <c r="P150" s="27"/>
      <c r="Q150" s="27"/>
      <c r="R150" s="18"/>
      <c r="S150" s="18"/>
    </row>
    <row r="151" spans="1:19" ht="15" thickBot="1" x14ac:dyDescent="0.4">
      <c r="A151" s="78"/>
      <c r="B151" s="82"/>
      <c r="C151" s="22"/>
      <c r="D151" s="23"/>
      <c r="E151" s="23"/>
      <c r="F151" s="51"/>
      <c r="G151" s="46"/>
      <c r="H151" s="41"/>
      <c r="I151" s="41"/>
      <c r="J151" s="60"/>
      <c r="K151" s="26"/>
      <c r="L151" s="26"/>
      <c r="M151" s="26"/>
      <c r="N151" s="27"/>
      <c r="O151" s="25"/>
      <c r="P151" s="27"/>
      <c r="Q151" s="27"/>
      <c r="R151" s="18"/>
      <c r="S151" s="18"/>
    </row>
    <row r="152" spans="1:19" x14ac:dyDescent="0.35">
      <c r="A152" s="78"/>
      <c r="B152" s="83"/>
      <c r="C152" s="15"/>
      <c r="D152" s="16"/>
      <c r="E152" s="16"/>
      <c r="F152" s="52"/>
      <c r="G152" s="46"/>
      <c r="H152" s="41"/>
      <c r="I152" s="41"/>
      <c r="J152" s="60"/>
      <c r="K152" s="26"/>
      <c r="L152" s="26"/>
      <c r="M152" s="26"/>
      <c r="N152" s="27"/>
      <c r="O152" s="25"/>
      <c r="P152" s="27"/>
      <c r="Q152" s="27"/>
      <c r="R152" s="18"/>
      <c r="S152" s="18"/>
    </row>
    <row r="153" spans="1:19" x14ac:dyDescent="0.35">
      <c r="A153" s="78"/>
      <c r="B153" s="81"/>
      <c r="C153" s="19"/>
      <c r="D153" s="20"/>
      <c r="E153" s="20"/>
      <c r="F153" s="50"/>
      <c r="G153" s="46"/>
      <c r="H153" s="41"/>
      <c r="I153" s="41"/>
      <c r="J153" s="60"/>
      <c r="K153" s="26"/>
      <c r="L153" s="26"/>
      <c r="M153" s="26"/>
      <c r="N153" s="27"/>
      <c r="O153" s="25"/>
      <c r="P153" s="27"/>
      <c r="Q153" s="27"/>
      <c r="R153" s="18"/>
      <c r="S153" s="18"/>
    </row>
    <row r="154" spans="1:19" ht="15" thickBot="1" x14ac:dyDescent="0.4">
      <c r="A154" s="79"/>
      <c r="B154" s="84"/>
      <c r="C154" s="53"/>
      <c r="D154" s="54"/>
      <c r="E154" s="54"/>
      <c r="F154" s="55"/>
      <c r="G154" s="46"/>
      <c r="H154" s="41"/>
      <c r="I154" s="41"/>
      <c r="J154" s="60"/>
      <c r="K154" s="26"/>
      <c r="L154" s="26"/>
      <c r="M154" s="26"/>
      <c r="N154" s="27"/>
      <c r="O154" s="25"/>
      <c r="P154" s="27"/>
      <c r="Q154" s="27"/>
      <c r="R154" s="18"/>
      <c r="S154" s="18"/>
    </row>
    <row r="155" spans="1:19" ht="15" thickTop="1" x14ac:dyDescent="0.35">
      <c r="A155" s="77"/>
      <c r="B155" s="80"/>
      <c r="C155" s="47"/>
      <c r="D155" s="56"/>
      <c r="E155" s="56"/>
      <c r="F155" s="49"/>
      <c r="G155" s="46"/>
      <c r="H155" s="41"/>
      <c r="I155" s="41"/>
      <c r="J155" s="60"/>
      <c r="K155" s="26"/>
      <c r="L155" s="26"/>
      <c r="M155" s="26"/>
      <c r="N155" s="27"/>
      <c r="O155" s="25"/>
      <c r="P155" s="27"/>
      <c r="Q155" s="27"/>
      <c r="R155" s="18"/>
      <c r="S155" s="18"/>
    </row>
    <row r="156" spans="1:19" x14ac:dyDescent="0.35">
      <c r="A156" s="78"/>
      <c r="B156" s="81"/>
      <c r="C156" s="19"/>
      <c r="D156" s="20"/>
      <c r="E156" s="20"/>
      <c r="F156" s="50"/>
      <c r="G156" s="46"/>
      <c r="H156" s="41"/>
      <c r="I156" s="41"/>
      <c r="J156" s="60"/>
      <c r="K156" s="26"/>
      <c r="L156" s="26"/>
      <c r="M156" s="26"/>
      <c r="N156" s="27"/>
      <c r="O156" s="25"/>
      <c r="P156" s="27"/>
      <c r="Q156" s="27"/>
      <c r="R156" s="18"/>
      <c r="S156" s="18"/>
    </row>
    <row r="157" spans="1:19" ht="15" thickBot="1" x14ac:dyDescent="0.4">
      <c r="A157" s="78"/>
      <c r="B157" s="82"/>
      <c r="C157" s="22"/>
      <c r="D157" s="23"/>
      <c r="E157" s="23"/>
      <c r="F157" s="51"/>
      <c r="G157" s="46"/>
      <c r="H157" s="41"/>
      <c r="I157" s="41"/>
      <c r="J157" s="60"/>
      <c r="K157" s="26"/>
      <c r="L157" s="26"/>
      <c r="M157" s="26"/>
      <c r="N157" s="27"/>
      <c r="O157" s="25"/>
      <c r="P157" s="27"/>
      <c r="Q157" s="27"/>
      <c r="R157" s="18"/>
      <c r="S157" s="18"/>
    </row>
    <row r="158" spans="1:19" x14ac:dyDescent="0.35">
      <c r="A158" s="78"/>
      <c r="B158" s="83"/>
      <c r="C158" s="15"/>
      <c r="D158" s="34"/>
      <c r="E158" s="34"/>
      <c r="F158" s="52"/>
      <c r="G158" s="46"/>
      <c r="H158" s="41"/>
      <c r="I158" s="41"/>
      <c r="J158" s="60"/>
      <c r="K158" s="26"/>
      <c r="L158" s="26"/>
      <c r="M158" s="26"/>
      <c r="N158" s="27"/>
      <c r="O158" s="25"/>
      <c r="P158" s="27"/>
      <c r="Q158" s="27"/>
      <c r="R158" s="18"/>
      <c r="S158" s="18"/>
    </row>
    <row r="159" spans="1:19" x14ac:dyDescent="0.35">
      <c r="A159" s="78"/>
      <c r="B159" s="81"/>
      <c r="C159" s="19"/>
      <c r="D159" s="20"/>
      <c r="E159" s="20"/>
      <c r="F159" s="50"/>
      <c r="G159" s="46"/>
      <c r="H159" s="41"/>
      <c r="I159" s="41"/>
      <c r="J159" s="60"/>
      <c r="K159" s="26"/>
      <c r="L159" s="26"/>
      <c r="M159" s="26"/>
      <c r="N159" s="27"/>
      <c r="O159" s="25"/>
      <c r="P159" s="27"/>
      <c r="Q159" s="27"/>
      <c r="R159" s="18"/>
      <c r="S159" s="18"/>
    </row>
    <row r="160" spans="1:19" ht="15" thickBot="1" x14ac:dyDescent="0.4">
      <c r="A160" s="78"/>
      <c r="B160" s="82"/>
      <c r="C160" s="22"/>
      <c r="D160" s="23"/>
      <c r="E160" s="23"/>
      <c r="F160" s="51"/>
      <c r="G160" s="46"/>
      <c r="H160" s="41"/>
      <c r="I160" s="41"/>
      <c r="J160" s="60"/>
      <c r="K160" s="26"/>
      <c r="L160" s="26"/>
      <c r="M160" s="26"/>
      <c r="N160" s="27"/>
      <c r="O160" s="25"/>
      <c r="P160" s="27"/>
      <c r="Q160" s="27"/>
      <c r="R160" s="18"/>
      <c r="S160" s="18"/>
    </row>
    <row r="161" spans="1:19" x14ac:dyDescent="0.35">
      <c r="A161" s="78"/>
      <c r="B161" s="83"/>
      <c r="C161" s="15"/>
      <c r="D161" s="16"/>
      <c r="E161" s="16"/>
      <c r="F161" s="52"/>
      <c r="G161" s="46"/>
      <c r="H161" s="41"/>
      <c r="I161" s="41"/>
      <c r="J161" s="60"/>
      <c r="K161" s="26"/>
      <c r="L161" s="26"/>
      <c r="M161" s="26"/>
      <c r="N161" s="27"/>
      <c r="O161" s="25"/>
      <c r="P161" s="27"/>
      <c r="Q161" s="27"/>
      <c r="R161" s="18"/>
      <c r="S161" s="18"/>
    </row>
    <row r="162" spans="1:19" x14ac:dyDescent="0.35">
      <c r="A162" s="78"/>
      <c r="B162" s="81"/>
      <c r="C162" s="19"/>
      <c r="D162" s="20"/>
      <c r="E162" s="20"/>
      <c r="F162" s="50"/>
      <c r="G162" s="46"/>
      <c r="H162" s="41"/>
      <c r="I162" s="41"/>
      <c r="J162" s="60"/>
      <c r="K162" s="26"/>
      <c r="L162" s="26"/>
      <c r="M162" s="26"/>
      <c r="N162" s="27"/>
      <c r="O162" s="25"/>
      <c r="P162" s="27"/>
      <c r="Q162" s="27"/>
      <c r="R162" s="18"/>
      <c r="S162" s="18"/>
    </row>
    <row r="163" spans="1:19" ht="15" thickBot="1" x14ac:dyDescent="0.4">
      <c r="A163" s="79"/>
      <c r="B163" s="84"/>
      <c r="C163" s="53"/>
      <c r="D163" s="54"/>
      <c r="E163" s="54"/>
      <c r="F163" s="55"/>
      <c r="G163" s="46"/>
      <c r="H163" s="41"/>
      <c r="I163" s="41"/>
      <c r="J163" s="60"/>
      <c r="K163" s="26"/>
      <c r="L163" s="26"/>
      <c r="M163" s="26"/>
      <c r="N163" s="27"/>
      <c r="O163" s="25"/>
      <c r="P163" s="27"/>
      <c r="Q163" s="27"/>
      <c r="R163" s="18"/>
      <c r="S163" s="18"/>
    </row>
    <row r="164" spans="1:19" ht="15" thickTop="1" x14ac:dyDescent="0.35">
      <c r="A164" s="77"/>
      <c r="B164" s="80"/>
      <c r="C164" s="47"/>
      <c r="D164" s="48"/>
      <c r="E164" s="48"/>
      <c r="F164" s="49"/>
      <c r="G164" s="46"/>
      <c r="H164" s="41"/>
      <c r="I164" s="41"/>
      <c r="J164" s="60"/>
      <c r="K164" s="26"/>
      <c r="L164" s="26"/>
      <c r="M164" s="26"/>
      <c r="N164" s="27"/>
      <c r="O164" s="25"/>
      <c r="P164" s="35"/>
      <c r="Q164" s="35"/>
      <c r="R164" s="18"/>
      <c r="S164" s="18"/>
    </row>
    <row r="165" spans="1:19" x14ac:dyDescent="0.35">
      <c r="A165" s="78"/>
      <c r="B165" s="81"/>
      <c r="C165" s="19"/>
      <c r="D165" s="20"/>
      <c r="E165" s="20"/>
      <c r="F165" s="50"/>
      <c r="G165" s="46"/>
      <c r="H165" s="41"/>
      <c r="I165" s="41"/>
      <c r="J165" s="60"/>
      <c r="K165" s="26"/>
      <c r="L165" s="26"/>
      <c r="M165" s="26"/>
      <c r="N165" s="27"/>
      <c r="O165" s="25"/>
      <c r="P165" s="35"/>
      <c r="Q165" s="35"/>
      <c r="R165" s="18"/>
      <c r="S165" s="18"/>
    </row>
    <row r="166" spans="1:19" ht="15" thickBot="1" x14ac:dyDescent="0.4">
      <c r="A166" s="78"/>
      <c r="B166" s="82"/>
      <c r="C166" s="22"/>
      <c r="D166" s="23"/>
      <c r="E166" s="23"/>
      <c r="F166" s="51"/>
      <c r="G166" s="46"/>
      <c r="H166" s="41"/>
      <c r="I166" s="41"/>
      <c r="J166" s="60"/>
      <c r="K166" s="26"/>
      <c r="L166" s="26"/>
      <c r="M166" s="26"/>
      <c r="N166" s="27"/>
      <c r="O166" s="25"/>
      <c r="P166" s="35"/>
      <c r="Q166" s="35"/>
      <c r="R166" s="18"/>
      <c r="S166" s="18"/>
    </row>
    <row r="167" spans="1:19" x14ac:dyDescent="0.35">
      <c r="A167" s="78"/>
      <c r="B167" s="83"/>
      <c r="C167" s="15"/>
      <c r="D167" s="16"/>
      <c r="E167" s="16"/>
      <c r="F167" s="52"/>
      <c r="G167" s="46"/>
      <c r="H167" s="41"/>
      <c r="I167" s="41"/>
      <c r="J167" s="60"/>
      <c r="K167" s="26"/>
      <c r="L167" s="26"/>
      <c r="M167" s="26"/>
      <c r="N167" s="27"/>
      <c r="O167" s="25"/>
      <c r="P167" s="35"/>
      <c r="Q167" s="35"/>
      <c r="R167" s="18"/>
      <c r="S167" s="18"/>
    </row>
    <row r="168" spans="1:19" x14ac:dyDescent="0.35">
      <c r="A168" s="78"/>
      <c r="B168" s="81"/>
      <c r="C168" s="19"/>
      <c r="D168" s="20"/>
      <c r="E168" s="20"/>
      <c r="F168" s="50"/>
      <c r="G168" s="46"/>
      <c r="H168" s="41"/>
      <c r="I168" s="41"/>
      <c r="J168" s="60"/>
      <c r="K168" s="26"/>
      <c r="L168" s="26"/>
      <c r="M168" s="26"/>
      <c r="N168" s="27"/>
      <c r="O168" s="25"/>
      <c r="P168" s="35"/>
      <c r="Q168" s="35"/>
      <c r="R168" s="18"/>
      <c r="S168" s="18"/>
    </row>
    <row r="169" spans="1:19" ht="15" thickBot="1" x14ac:dyDescent="0.4">
      <c r="A169" s="78"/>
      <c r="B169" s="82"/>
      <c r="C169" s="22"/>
      <c r="D169" s="23"/>
      <c r="E169" s="23"/>
      <c r="F169" s="51"/>
      <c r="G169" s="46"/>
      <c r="H169" s="41"/>
      <c r="I169" s="41"/>
      <c r="J169" s="60"/>
      <c r="K169" s="26"/>
      <c r="L169" s="26"/>
      <c r="M169" s="26"/>
      <c r="N169" s="27"/>
      <c r="O169" s="25"/>
      <c r="P169" s="35"/>
      <c r="Q169" s="35"/>
      <c r="R169" s="18"/>
      <c r="S169" s="18"/>
    </row>
    <row r="170" spans="1:19" x14ac:dyDescent="0.35">
      <c r="A170" s="78"/>
      <c r="B170" s="83"/>
      <c r="C170" s="15"/>
      <c r="D170" s="16"/>
      <c r="E170" s="16"/>
      <c r="F170" s="52"/>
      <c r="G170" s="46"/>
      <c r="H170" s="41"/>
      <c r="I170" s="41"/>
      <c r="J170" s="60"/>
      <c r="K170" s="26"/>
      <c r="L170" s="26"/>
      <c r="M170" s="26"/>
      <c r="N170" s="27"/>
      <c r="O170" s="25"/>
      <c r="P170" s="35"/>
      <c r="Q170" s="35"/>
      <c r="R170" s="18"/>
      <c r="S170" s="18"/>
    </row>
    <row r="171" spans="1:19" x14ac:dyDescent="0.35">
      <c r="A171" s="78"/>
      <c r="B171" s="81"/>
      <c r="C171" s="19"/>
      <c r="D171" s="20"/>
      <c r="E171" s="20"/>
      <c r="F171" s="50"/>
      <c r="G171" s="46"/>
      <c r="H171" s="41"/>
      <c r="I171" s="41"/>
      <c r="J171" s="60"/>
      <c r="K171" s="26"/>
      <c r="L171" s="26"/>
      <c r="M171" s="26"/>
      <c r="N171" s="27"/>
      <c r="O171" s="25"/>
      <c r="P171" s="35"/>
      <c r="Q171" s="35"/>
      <c r="R171" s="18"/>
      <c r="S171" s="18"/>
    </row>
    <row r="172" spans="1:19" ht="15" thickBot="1" x14ac:dyDescent="0.4">
      <c r="A172" s="79"/>
      <c r="B172" s="84"/>
      <c r="C172" s="53"/>
      <c r="D172" s="54"/>
      <c r="E172" s="54"/>
      <c r="F172" s="55"/>
      <c r="G172" s="46"/>
      <c r="H172" s="41"/>
      <c r="I172" s="41"/>
      <c r="J172" s="60"/>
      <c r="K172" s="26"/>
      <c r="L172" s="26"/>
      <c r="M172" s="26"/>
      <c r="N172" s="27"/>
      <c r="O172" s="25"/>
      <c r="P172" s="35"/>
      <c r="Q172" s="35"/>
      <c r="R172" s="18"/>
      <c r="S172" s="18"/>
    </row>
    <row r="173" spans="1:19" ht="15" thickTop="1" x14ac:dyDescent="0.35">
      <c r="A173" s="77"/>
      <c r="B173" s="80"/>
      <c r="C173" s="47"/>
      <c r="D173" s="48"/>
      <c r="E173" s="48"/>
      <c r="F173" s="49"/>
      <c r="G173" s="46"/>
      <c r="H173" s="41"/>
      <c r="I173" s="41"/>
      <c r="J173" s="35"/>
      <c r="K173" s="36"/>
      <c r="L173" s="36"/>
      <c r="M173" s="36"/>
      <c r="N173" s="35"/>
      <c r="O173" s="25"/>
      <c r="P173" s="35"/>
      <c r="Q173" s="35"/>
      <c r="R173" s="18"/>
      <c r="S173" s="18"/>
    </row>
    <row r="174" spans="1:19" x14ac:dyDescent="0.35">
      <c r="A174" s="78"/>
      <c r="B174" s="81"/>
      <c r="C174" s="19"/>
      <c r="D174" s="20"/>
      <c r="E174" s="20"/>
      <c r="F174" s="50"/>
      <c r="G174" s="46"/>
      <c r="H174" s="41"/>
      <c r="I174" s="41"/>
      <c r="J174" s="35"/>
      <c r="K174" s="36"/>
      <c r="L174" s="36"/>
      <c r="M174" s="36"/>
      <c r="N174" s="35"/>
      <c r="O174" s="25"/>
      <c r="P174" s="35"/>
      <c r="Q174" s="35"/>
      <c r="R174" s="18"/>
      <c r="S174" s="18"/>
    </row>
    <row r="175" spans="1:19" ht="15" thickBot="1" x14ac:dyDescent="0.4">
      <c r="A175" s="78"/>
      <c r="B175" s="82"/>
      <c r="C175" s="22"/>
      <c r="D175" s="23"/>
      <c r="E175" s="23"/>
      <c r="F175" s="51"/>
      <c r="G175" s="46"/>
      <c r="H175" s="41"/>
      <c r="I175" s="41"/>
      <c r="J175" s="35"/>
      <c r="K175" s="36"/>
      <c r="L175" s="36"/>
      <c r="M175" s="36"/>
      <c r="N175" s="35"/>
      <c r="O175" s="25"/>
      <c r="P175" s="35"/>
      <c r="Q175" s="35"/>
      <c r="R175" s="18"/>
      <c r="S175" s="18"/>
    </row>
    <row r="176" spans="1:19" x14ac:dyDescent="0.35">
      <c r="A176" s="78"/>
      <c r="B176" s="83"/>
      <c r="C176" s="15"/>
      <c r="D176" s="16"/>
      <c r="E176" s="16"/>
      <c r="F176" s="52"/>
      <c r="G176" s="46"/>
      <c r="H176" s="41"/>
      <c r="I176" s="41"/>
      <c r="J176" s="35"/>
      <c r="K176" s="36"/>
      <c r="L176" s="36"/>
      <c r="M176" s="36"/>
      <c r="N176" s="35"/>
      <c r="O176" s="25"/>
      <c r="P176" s="35"/>
      <c r="Q176" s="35"/>
    </row>
    <row r="177" spans="1:17" x14ac:dyDescent="0.35">
      <c r="A177" s="78"/>
      <c r="B177" s="81"/>
      <c r="C177" s="19"/>
      <c r="D177" s="20"/>
      <c r="E177" s="20"/>
      <c r="F177" s="50"/>
      <c r="G177" s="46"/>
      <c r="H177" s="41"/>
      <c r="I177" s="41"/>
      <c r="J177" s="35"/>
      <c r="K177" s="36"/>
      <c r="L177" s="36"/>
      <c r="M177" s="36"/>
      <c r="N177" s="35"/>
      <c r="O177" s="25"/>
      <c r="P177" s="35"/>
      <c r="Q177" s="35"/>
    </row>
    <row r="178" spans="1:17" ht="15" thickBot="1" x14ac:dyDescent="0.4">
      <c r="A178" s="78"/>
      <c r="B178" s="82"/>
      <c r="C178" s="22"/>
      <c r="D178" s="23"/>
      <c r="E178" s="23"/>
      <c r="F178" s="51"/>
      <c r="G178" s="46"/>
      <c r="H178" s="41"/>
      <c r="I178" s="41"/>
      <c r="J178" s="35"/>
      <c r="K178" s="36"/>
      <c r="L178" s="36"/>
      <c r="M178" s="36"/>
      <c r="N178" s="35"/>
      <c r="O178" s="25"/>
      <c r="P178" s="35"/>
      <c r="Q178" s="35"/>
    </row>
    <row r="179" spans="1:17" x14ac:dyDescent="0.35">
      <c r="A179" s="78"/>
      <c r="B179" s="83"/>
      <c r="C179" s="15"/>
      <c r="D179" s="16"/>
      <c r="E179" s="16"/>
      <c r="F179" s="52"/>
      <c r="G179" s="46"/>
      <c r="H179" s="41"/>
      <c r="I179" s="41"/>
      <c r="J179" s="35"/>
      <c r="K179" s="36"/>
      <c r="L179" s="36"/>
      <c r="M179" s="36"/>
      <c r="N179" s="35"/>
      <c r="O179" s="25"/>
      <c r="P179" s="35"/>
      <c r="Q179" s="35"/>
    </row>
    <row r="180" spans="1:17" x14ac:dyDescent="0.35">
      <c r="A180" s="78"/>
      <c r="B180" s="81"/>
      <c r="C180" s="19"/>
      <c r="D180" s="20"/>
      <c r="E180" s="20"/>
      <c r="F180" s="50"/>
      <c r="G180" s="46"/>
      <c r="H180" s="41"/>
      <c r="I180" s="41"/>
      <c r="J180" s="35"/>
      <c r="K180" s="36"/>
      <c r="L180" s="36"/>
      <c r="M180" s="36"/>
      <c r="N180" s="35"/>
      <c r="O180" s="25"/>
      <c r="P180" s="35"/>
      <c r="Q180" s="35"/>
    </row>
    <row r="181" spans="1:17" ht="15" thickBot="1" x14ac:dyDescent="0.4">
      <c r="A181" s="79"/>
      <c r="B181" s="84"/>
      <c r="C181" s="53"/>
      <c r="D181" s="54"/>
      <c r="E181" s="54"/>
      <c r="F181" s="55"/>
      <c r="G181" s="46"/>
      <c r="H181" s="41"/>
      <c r="I181" s="41"/>
      <c r="J181" s="35"/>
      <c r="K181" s="36"/>
      <c r="L181" s="36"/>
      <c r="M181" s="36"/>
      <c r="N181" s="35"/>
      <c r="O181" s="25"/>
      <c r="P181" s="35"/>
      <c r="Q181" s="35"/>
    </row>
    <row r="182" spans="1:17" ht="15" thickTop="1" x14ac:dyDescent="0.35">
      <c r="G182" s="44"/>
      <c r="O182" s="25"/>
    </row>
  </sheetData>
  <mergeCells count="40">
    <mergeCell ref="A2:A10"/>
    <mergeCell ref="A11:A19"/>
    <mergeCell ref="A20:A28"/>
    <mergeCell ref="B20:B22"/>
    <mergeCell ref="B2:B4"/>
    <mergeCell ref="B5:B7"/>
    <mergeCell ref="B8:B10"/>
    <mergeCell ref="B11:B13"/>
    <mergeCell ref="B14:B16"/>
    <mergeCell ref="B17:B19"/>
    <mergeCell ref="B23:B25"/>
    <mergeCell ref="B26:B28"/>
    <mergeCell ref="B44:B46"/>
    <mergeCell ref="B41:B43"/>
    <mergeCell ref="B38:B40"/>
    <mergeCell ref="A38:A46"/>
    <mergeCell ref="B32:B34"/>
    <mergeCell ref="B35:B37"/>
    <mergeCell ref="A29:A37"/>
    <mergeCell ref="B29:B31"/>
    <mergeCell ref="A47:A55"/>
    <mergeCell ref="B47:B49"/>
    <mergeCell ref="B50:B52"/>
    <mergeCell ref="B53:B55"/>
    <mergeCell ref="A56:A64"/>
    <mergeCell ref="B56:B58"/>
    <mergeCell ref="B59:B61"/>
    <mergeCell ref="B62:B64"/>
    <mergeCell ref="A83:A91"/>
    <mergeCell ref="B83:B85"/>
    <mergeCell ref="B86:B88"/>
    <mergeCell ref="B89:B91"/>
    <mergeCell ref="A65:A73"/>
    <mergeCell ref="B65:B67"/>
    <mergeCell ref="B68:B70"/>
    <mergeCell ref="B71:B73"/>
    <mergeCell ref="A74:A82"/>
    <mergeCell ref="B74:B76"/>
    <mergeCell ref="B77:B79"/>
    <mergeCell ref="B80:B8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1"/>
  <sheetViews>
    <sheetView topLeftCell="D1" zoomScaleNormal="100" workbookViewId="0">
      <selection activeCell="E22" sqref="E22"/>
    </sheetView>
  </sheetViews>
  <sheetFormatPr defaultRowHeight="14.5" x14ac:dyDescent="0.35"/>
  <cols>
    <col min="1" max="1" width="16.453125" customWidth="1"/>
    <col min="2" max="2" width="11" style="1" customWidth="1"/>
    <col min="3" max="3" width="10.54296875" style="1" customWidth="1"/>
    <col min="4" max="4" width="16.26953125" style="1" customWidth="1"/>
    <col min="5" max="5" width="11" style="1" customWidth="1"/>
    <col min="6" max="6" width="12.1796875" style="1" customWidth="1"/>
    <col min="7" max="7" width="11.54296875" style="1" customWidth="1"/>
    <col min="8" max="8" width="10.26953125" style="1" customWidth="1"/>
  </cols>
  <sheetData>
    <row r="1" spans="1:8" ht="27.75" customHeight="1" x14ac:dyDescent="0.35">
      <c r="B1" s="3" t="s">
        <v>15</v>
      </c>
      <c r="C1" s="3" t="s">
        <v>16</v>
      </c>
      <c r="E1" s="3" t="s">
        <v>12</v>
      </c>
      <c r="F1" s="3" t="s">
        <v>13</v>
      </c>
      <c r="G1" s="3"/>
      <c r="H1" s="3"/>
    </row>
    <row r="2" spans="1:8" x14ac:dyDescent="0.35">
      <c r="A2" t="s">
        <v>67</v>
      </c>
      <c r="B2" s="61">
        <v>4166666.6666666665</v>
      </c>
      <c r="C2" s="61">
        <v>505181.4855409225</v>
      </c>
      <c r="D2" t="s">
        <v>84</v>
      </c>
      <c r="E2" s="61">
        <v>237500</v>
      </c>
      <c r="F2" s="61">
        <v>233268.22008151904</v>
      </c>
    </row>
    <row r="3" spans="1:8" x14ac:dyDescent="0.35">
      <c r="A3" t="s">
        <v>68</v>
      </c>
      <c r="B3" s="61">
        <v>1125000</v>
      </c>
      <c r="C3" s="61">
        <v>726291.95231669745</v>
      </c>
      <c r="D3" t="s">
        <v>85</v>
      </c>
      <c r="E3" s="61">
        <v>89583.333333333328</v>
      </c>
      <c r="F3" s="61">
        <v>48546.584157212688</v>
      </c>
    </row>
    <row r="4" spans="1:8" x14ac:dyDescent="0.35">
      <c r="A4" t="s">
        <v>69</v>
      </c>
      <c r="B4" s="61">
        <v>6125000</v>
      </c>
      <c r="C4" s="61">
        <v>437500</v>
      </c>
      <c r="D4" t="s">
        <v>86</v>
      </c>
      <c r="E4" s="61">
        <v>116666.66666666667</v>
      </c>
      <c r="F4" s="61">
        <v>115300.78418351426</v>
      </c>
    </row>
    <row r="5" spans="1:8" x14ac:dyDescent="0.35">
      <c r="A5" t="s">
        <v>70</v>
      </c>
      <c r="B5" s="61">
        <v>5812500</v>
      </c>
      <c r="C5" s="61">
        <v>1429324.578253659</v>
      </c>
      <c r="D5" t="s">
        <v>89</v>
      </c>
      <c r="E5" s="1">
        <v>222916.66666666666</v>
      </c>
      <c r="F5" s="1">
        <v>124111.42507172065</v>
      </c>
    </row>
    <row r="7" spans="1:8" x14ac:dyDescent="0.35">
      <c r="D7" s="1" t="s">
        <v>83</v>
      </c>
      <c r="E7" s="92"/>
    </row>
    <row r="12" spans="1:8" x14ac:dyDescent="0.35">
      <c r="A12" s="2"/>
    </row>
    <row r="23" spans="2:9" ht="43.5" x14ac:dyDescent="0.35">
      <c r="D23" s="4" t="s">
        <v>17</v>
      </c>
    </row>
    <row r="24" spans="2:9" x14ac:dyDescent="0.35">
      <c r="D24" s="5">
        <f t="array" ref="D24">IFERROR(INDEX($D$30:$D$192,SMALL(IF(ISNUMBER($D$30:$D$192),ROW($A$1:$A$163),""),ROW(A1))),"")</f>
        <v>213541.66666666666</v>
      </c>
    </row>
    <row r="30" spans="2:9" x14ac:dyDescent="0.35">
      <c r="B30" s="1">
        <v>264583.33333333331</v>
      </c>
      <c r="C30" s="1">
        <v>100454.69542700992</v>
      </c>
      <c r="D30" s="1">
        <v>213541.66666666666</v>
      </c>
      <c r="E30" s="1">
        <v>118100.29603791189</v>
      </c>
      <c r="F30" s="1">
        <f t="array" ref="F30">IFERROR(INDEX($D$30:$D$192,SMALL(IF(ISNUMBER($D$30:$D$192),ROW($A$1:$A$163),""),ROW(A1))),"")</f>
        <v>213541.66666666666</v>
      </c>
      <c r="G30" s="1">
        <f t="array" ref="G30">IFERROR(INDEX($E$30:$E$192,SMALL(IF(ISNUMBER($E$30:$E$192),ROW($A$1:$A$163),""),ROW(A1))),"")</f>
        <v>118100.29603791189</v>
      </c>
      <c r="H30" s="1">
        <f t="array" ref="H30">IFERROR(INDEX($B$30:$B$192,SMALL(IF(ISNUMBER($B$30:$B$192),ROW($A$1:$A$163),""),ROW(A1))),"")</f>
        <v>264583.33333333331</v>
      </c>
      <c r="I30" s="1">
        <f t="array" ref="I30">IFERROR(INDEX($C$30:$C$201,SMALL(IF(ISNUMBER($C$30:$C$201),ROW($A$1:$A$172),""),ROW(A1))),"")</f>
        <v>100454.69542700992</v>
      </c>
    </row>
    <row r="31" spans="2:9" x14ac:dyDescent="0.35">
      <c r="F31" s="1">
        <f t="array" ref="F31">IFERROR(INDEX($D$30:$D$192,SMALL(IF(ISNUMBER($D$30:$D$192),ROW($A$1:$A$163),""),ROW(A2))),"")</f>
        <v>393055.55555555556</v>
      </c>
      <c r="G31" s="1">
        <f t="array" ref="G31">IFERROR(INDEX($E$30:$E$192,SMALL(IF(ISNUMBER($E$30:$E$192),ROW($A$1:$A$163),""),ROW(A2))),"")</f>
        <v>319032.41845896753</v>
      </c>
      <c r="H31" s="1">
        <f t="array" ref="H31">IFERROR(INDEX($B$30:$B$192,SMALL(IF(ISNUMBER($B$30:$B$192),ROW($A$1:$A$163),""),ROW(A2))),"")</f>
        <v>172916.66666666666</v>
      </c>
      <c r="I31" s="1">
        <f t="array" ref="I31">IFERROR(INDEX($C$30:$C$201,SMALL(IF(ISNUMBER($C$30:$C$201),ROW($A$1:$A$172),""),ROW(A2))),"")</f>
        <v>64145.017993086069</v>
      </c>
    </row>
    <row r="32" spans="2:9" x14ac:dyDescent="0.35">
      <c r="F32" s="1">
        <f t="array" ref="F32">IFERROR(INDEX($D$30:$D$192,SMALL(IF(ISNUMBER($D$30:$D$192),ROW($A$1:$A$163),""),ROW(A3))),"")</f>
        <v>259722.22222222222</v>
      </c>
      <c r="G32" s="1">
        <f t="array" ref="G32">IFERROR(INDEX($E$30:$E$192,SMALL(IF(ISNUMBER($E$30:$E$192),ROW($A$1:$A$163),""),ROW(A3))),"")</f>
        <v>137112.77546036491</v>
      </c>
      <c r="H32" s="1">
        <f t="array" ref="H32">IFERROR(INDEX($B$30:$B$192,SMALL(IF(ISNUMBER($B$30:$B$192),ROW($A$1:$A$163),""),ROW(A3))),"")</f>
        <v>129166.66666666667</v>
      </c>
      <c r="I32" s="1">
        <f t="array" ref="I32">IFERROR(INDEX($C$30:$C$201,SMALL(IF(ISNUMBER($C$30:$C$201),ROW($A$1:$A$172),""),ROW(A3))),"")</f>
        <v>56018.040248953126</v>
      </c>
    </row>
    <row r="33" spans="2:9" x14ac:dyDescent="0.35">
      <c r="F33" s="1">
        <f t="array" ref="F33">IFERROR(INDEX($D$30:$D$192,SMALL(IF(ISNUMBER($D$30:$D$192),ROW($A$1:$A$163),""),ROW(A4))),"")</f>
        <v>221875</v>
      </c>
      <c r="G33" s="1">
        <f t="array" ref="G33">IFERROR(INDEX($E$30:$E$192,SMALL(IF(ISNUMBER($E$30:$E$192),ROW($A$1:$A$163),""),ROW(A4))),"")</f>
        <v>120545.63451241194</v>
      </c>
      <c r="H33" s="1">
        <f t="array" ref="H33">IFERROR(INDEX($B$30:$B$192,SMALL(IF(ISNUMBER($B$30:$B$192),ROW($A$1:$A$163),""),ROW(A4))),"")</f>
        <v>287500</v>
      </c>
      <c r="I33" s="1">
        <f t="array" ref="I33">IFERROR(INDEX($C$30:$C$201,SMALL(IF(ISNUMBER($C$30:$C$201),ROW($A$1:$A$172),""),ROW(A4))),"")</f>
        <v>184666.08378367696</v>
      </c>
    </row>
    <row r="34" spans="2:9" x14ac:dyDescent="0.35">
      <c r="F34" s="1">
        <f t="array" ref="F34">IFERROR(INDEX($D$30:$D$192,SMALL(IF(ISNUMBER($D$30:$D$192),ROW($A$1:$A$163),""),ROW(A5))),"")</f>
        <v>183593.75</v>
      </c>
      <c r="G34" s="1">
        <f t="array" ref="G34">IFERROR(INDEX($E$30:$E$192,SMALL(IF(ISNUMBER($E$30:$E$192),ROW($A$1:$A$163),""),ROW(A5))),"")</f>
        <v>157191.36071657555</v>
      </c>
      <c r="H34" s="1">
        <f t="array" ref="H34">IFERROR(INDEX($B$30:$B$192,SMALL(IF(ISNUMBER($B$30:$B$192),ROW($A$1:$A$163),""),ROW(A5))),"")</f>
        <v>777083.33333333337</v>
      </c>
      <c r="I34" s="1">
        <f t="array" ref="I34">IFERROR(INDEX($C$30:$C$201,SMALL(IF(ISNUMBER($C$30:$C$201),ROW($A$1:$A$172),""),ROW(A5))),"")</f>
        <v>244416.8229343745</v>
      </c>
    </row>
    <row r="35" spans="2:9" x14ac:dyDescent="0.35">
      <c r="F35" s="1">
        <f t="array" ref="F35">IFERROR(INDEX($D$30:$D$192,SMALL(IF(ISNUMBER($D$30:$D$192),ROW($A$1:$A$163),""),ROW(A6))),"")</f>
        <v>1052500</v>
      </c>
      <c r="G35" s="1">
        <f t="array" ref="G35">IFERROR(INDEX($E$30:$E$192,SMALL(IF(ISNUMBER($E$30:$E$192),ROW($A$1:$A$163),""),ROW(A6))),"")</f>
        <v>644971.53522461746</v>
      </c>
      <c r="H35" s="1">
        <f t="array" ref="H35">IFERROR(INDEX($B$30:$B$192,SMALL(IF(ISNUMBER($B$30:$B$192),ROW($A$1:$A$163),""),ROW(A6))),"")</f>
        <v>241666.66666666666</v>
      </c>
      <c r="I35" s="1">
        <f t="array" ref="I35">IFERROR(INDEX($C$30:$C$201,SMALL(IF(ISNUMBER($C$30:$C$201),ROW($A$1:$A$172),""),ROW(A6))),"")</f>
        <v>26020.82499332666</v>
      </c>
    </row>
    <row r="36" spans="2:9" x14ac:dyDescent="0.35">
      <c r="F36" s="1">
        <f t="array" ref="F36">IFERROR(INDEX($D$30:$D$192,SMALL(IF(ISNUMBER($D$30:$D$192),ROW($A$1:$A$163),""),ROW(A7))),"")</f>
        <v>50833.333333333336</v>
      </c>
      <c r="G36" s="1">
        <f t="array" ref="G36">IFERROR(INDEX($E$30:$E$192,SMALL(IF(ISNUMBER($E$30:$E$192),ROW($A$1:$A$163),""),ROW(A7))),"")</f>
        <v>18996.9844098127</v>
      </c>
      <c r="H36" s="1">
        <f t="array" ref="H36">IFERROR(INDEX($B$30:$B$192,SMALL(IF(ISNUMBER($B$30:$B$192),ROW($A$1:$A$163),""),ROW(A7))),"")</f>
        <v>160416.66666666666</v>
      </c>
      <c r="I36" s="1">
        <f t="array" ref="I36">IFERROR(INDEX($C$30:$C$201,SMALL(IF(ISNUMBER($C$30:$C$201),ROW($A$1:$A$172),""),ROW(A7))),"")</f>
        <v>99673.947615880723</v>
      </c>
    </row>
    <row r="37" spans="2:9" x14ac:dyDescent="0.35">
      <c r="F37" s="1" t="str">
        <f t="array" ref="F37">IFERROR(INDEX($D$30:$D$192,SMALL(IF(ISNUMBER($D$30:$D$192),ROW($A$1:$A$163),""),ROW(A8))),"")</f>
        <v/>
      </c>
      <c r="G37" s="1" t="str">
        <f t="array" ref="G37">IFERROR(INDEX(E37:E199,SMALL(IF(ISNUMBER(E37:E199),ROW($A$1:$A$163),""),ROW(A8))),"")</f>
        <v/>
      </c>
      <c r="H37" s="1">
        <f t="array" ref="H37">IFERROR(INDEX($B$30:$B$192,SMALL(IF(ISNUMBER($B$30:$B$192),ROW($A$1:$A$163),""),ROW(A8))),"")</f>
        <v>329166.66666666669</v>
      </c>
      <c r="I37" s="1">
        <f t="array" ref="I37">IFERROR(INDEX($C$30:$C$201,SMALL(IF(ISNUMBER($C$30:$C$201),ROW($A$1:$A$172),""),ROW(A8))),"")</f>
        <v>184807.05028037578</v>
      </c>
    </row>
    <row r="38" spans="2:9" x14ac:dyDescent="0.35">
      <c r="F38" s="1" t="str">
        <f t="array" ref="F38">IFERROR(INDEX($D$30:$D$192,SMALL(IF(ISNUMBER($D$30:$D$192),ROW($A$1:$A$163),""),ROW(A9))),"")</f>
        <v/>
      </c>
      <c r="G38" s="1" t="str">
        <f t="shared" ref="G38:G39" si="0">IFERROR(INDEX(E38:E200,SMALL(IF(ISNUMBER(E38:E200),ROW($A$1:$A$163),""),ROW(A9))),"")</f>
        <v/>
      </c>
      <c r="H38" s="1">
        <f t="array" ref="H38">IFERROR(INDEX($B$30:$B$192,SMALL(IF(ISNUMBER($B$30:$B$192),ROW($A$1:$A$163),""),ROW(A9))),"")</f>
        <v>302083.33333333331</v>
      </c>
      <c r="I38" s="1">
        <f t="array" ref="I38">IFERROR(INDEX($C$30:$C$201,SMALL(IF(ISNUMBER($C$30:$C$201),ROW($A$1:$A$172),""),ROW(A9))),"")</f>
        <v>95674.687526708585</v>
      </c>
    </row>
    <row r="39" spans="2:9" x14ac:dyDescent="0.35">
      <c r="B39" s="1">
        <v>172916.66666666666</v>
      </c>
      <c r="C39" s="1">
        <v>64145.017993086069</v>
      </c>
      <c r="F39" s="1" t="str">
        <f t="array" ref="F39">IFERROR(INDEX($D$30:$D$192,SMALL(IF(ISNUMBER($D$30:$D$192),ROW($A$1:$A$163),""),ROW(A10))),"")</f>
        <v/>
      </c>
      <c r="G39" s="1" t="str">
        <f t="shared" si="0"/>
        <v/>
      </c>
      <c r="H39" s="1">
        <f t="array" ref="H39">IFERROR(INDEX($B$30:$B$192,SMALL(IF(ISNUMBER($B$30:$B$192),ROW($A$1:$A$163),""),ROW(A10))),"")</f>
        <v>147916.66666666666</v>
      </c>
      <c r="I39" s="1">
        <f t="array" ref="I39">IFERROR(INDEX($C$30:$C$201,SMALL(IF(ISNUMBER($C$30:$C$201),ROW($A$1:$A$172),""),ROW(A10))),"")</f>
        <v>56711.07328673415</v>
      </c>
    </row>
    <row r="40" spans="2:9" x14ac:dyDescent="0.35">
      <c r="F40" s="1" t="str">
        <f t="array" ref="F40">IFERROR(INDEX($D$30:$D$192,SMALL(IF(ISNUMBER($D$30:$D$192),ROW($A$1:$A$163),""),ROW(A11))),"")</f>
        <v/>
      </c>
      <c r="H40" s="1">
        <f t="array" ref="H40">IFERROR(INDEX($B$30:$B$192,SMALL(IF(ISNUMBER($B$30:$B$192),ROW($A$1:$A$163),""),ROW(A11))),"")</f>
        <v>231250</v>
      </c>
      <c r="I40" s="1">
        <f t="array" ref="I40">IFERROR(INDEX($C$30:$C$201,SMALL(IF(ISNUMBER($C$30:$C$201),ROW($A$1:$A$172),""),ROW(A11))),"")</f>
        <v>17677.66952966369</v>
      </c>
    </row>
    <row r="41" spans="2:9" x14ac:dyDescent="0.35">
      <c r="F41" s="1" t="str">
        <f t="array" ref="F41">IFERROR(INDEX($D$30:$D$192,SMALL(IF(ISNUMBER($D$30:$D$192),ROW($A$1:$A$163),""),ROW(A12))),"")</f>
        <v/>
      </c>
      <c r="H41" s="1">
        <f t="array" ref="H41">IFERROR(INDEX($B$30:$B$192,SMALL(IF(ISNUMBER($B$30:$B$192),ROW($A$1:$A$163),""),ROW(A12))),"")</f>
        <v>275000</v>
      </c>
      <c r="I41" s="1">
        <f t="array" ref="I41">IFERROR(INDEX($C$30:$C$201,SMALL(IF(ISNUMBER($C$30:$C$201),ROW($A$1:$A$172),""),ROW(A12))),"")</f>
        <v>159589.3166850463</v>
      </c>
    </row>
    <row r="42" spans="2:9" x14ac:dyDescent="0.35">
      <c r="F42" s="1" t="str">
        <f t="array" ref="F42">IFERROR(INDEX($D$30:$D$192,SMALL(IF(ISNUMBER($D$30:$D$192),ROW($A$1:$A$163),""),ROW(A13))),"")</f>
        <v/>
      </c>
      <c r="H42" s="1">
        <f t="array" ref="H42">IFERROR(INDEX($B$30:$B$192,SMALL(IF(ISNUMBER($B$30:$B$192),ROW($A$1:$A$163),""),ROW(A13))),"")</f>
        <v>162500</v>
      </c>
      <c r="I42" s="1">
        <f t="array" ref="I42">IFERROR(INDEX($C$30:$C$201,SMALL(IF(ISNUMBER($C$30:$C$201),ROW($A$1:$A$172),""),ROW(A13))),"")</f>
        <v>125000</v>
      </c>
    </row>
    <row r="43" spans="2:9" x14ac:dyDescent="0.35">
      <c r="F43" s="1" t="str">
        <f t="array" ref="F43">IFERROR(INDEX($D$30:$D$192,SMALL(IF(ISNUMBER($D$30:$D$192),ROW($D$30:$D$192),""),ROW(A42))),"")</f>
        <v/>
      </c>
      <c r="H43" s="1">
        <f t="array" ref="H43">IFERROR(INDEX($B$30:$B$192,SMALL(IF(ISNUMBER($B$30:$B$192),ROW($A$1:$A$163),""),ROW(A14))),"")</f>
        <v>193750</v>
      </c>
      <c r="I43" s="1">
        <f t="array" ref="I43">IFERROR(INDEX($C$30:$C$201,SMALL(IF(ISNUMBER($C$30:$C$201),ROW($A$1:$A$172),""),ROW(A14))),"")</f>
        <v>147372.82653189494</v>
      </c>
    </row>
    <row r="44" spans="2:9" x14ac:dyDescent="0.35">
      <c r="F44" s="1" t="str">
        <f t="array" ref="F44">IFERROR(INDEX($D$30:$D$192,SMALL(IF(ISNUMBER($D$30:$D$192),ROW($D$30:$D$192),""),ROW(A43))),"")</f>
        <v/>
      </c>
      <c r="H44" s="1">
        <f t="array" ref="H44">IFERROR(INDEX($B$30:$B$192,SMALL(IF(ISNUMBER($B$30:$B$192),ROW($A$1:$A$163),""),ROW(A15))),"")</f>
        <v>40625</v>
      </c>
      <c r="I44" s="1">
        <f t="array" ref="I44">IFERROR(INDEX($C$30:$C$201,SMALL(IF(ISNUMBER($C$30:$C$201),ROW($A$1:$A$172),""),ROW(A15))),"")</f>
        <v>39774.756441743295</v>
      </c>
    </row>
    <row r="45" spans="2:9" x14ac:dyDescent="0.35">
      <c r="F45" s="1" t="str">
        <f t="array" ref="F45">IFERROR(INDEX($D$30:$D$192,SMALL(IF(ISNUMBER($D$30:$D$192),ROW($D$30:$D$192),""),ROW(A44))),"")</f>
        <v/>
      </c>
      <c r="H45" s="1">
        <f t="array" ref="H45">IFERROR(INDEX($B$30:$B$192,SMALL(IF(ISNUMBER($B$30:$B$192),ROW($A$1:$A$163),""),ROW(A16))),"")</f>
        <v>268750</v>
      </c>
      <c r="I45" s="1">
        <f t="array" ref="I45">IFERROR(INDEX($C$30:$C$201,SMALL(IF(ISNUMBER($C$30:$C$201),ROW($A$1:$A$172),""),ROW(A16))),"")</f>
        <v>180277.56377319945</v>
      </c>
    </row>
    <row r="46" spans="2:9" x14ac:dyDescent="0.35">
      <c r="F46" s="1" t="str">
        <f t="array" ref="F46">IFERROR(INDEX($D$30:$D$192,SMALL(IF(ISNUMBER($D$30:$D$192),ROW($D$30:$D$192),""),ROW(A45))),"")</f>
        <v/>
      </c>
      <c r="H46" s="1">
        <f t="array" ref="H46">IFERROR(INDEX($B$30:$B$192,SMALL(IF(ISNUMBER($B$30:$B$192),ROW($A$1:$A$163),""),ROW(A17))),"")</f>
        <v>629166.66666666663</v>
      </c>
      <c r="I46" s="1">
        <f t="array" ref="I46">IFERROR(INDEX($C$30:$C$201,SMALL(IF(ISNUMBER($C$30:$C$201),ROW($A$1:$A$172),""),ROW(A17))),"")</f>
        <v>312145.63241111248</v>
      </c>
    </row>
    <row r="47" spans="2:9" x14ac:dyDescent="0.35">
      <c r="F47" s="1" t="str">
        <f t="array" ref="F47">IFERROR(INDEX($D$30:$D$192,SMALL(IF(ISNUMBER($D$30:$D$192),ROW($D$30:$D$192),""),ROW(A46))),"")</f>
        <v/>
      </c>
      <c r="H47" s="1">
        <f t="array" ref="H47">IFERROR(INDEX($B$30:$B$192,SMALL(IF(ISNUMBER($B$30:$B$192),ROW($A$1:$A$163),""),ROW(A18))),"")</f>
        <v>1687500</v>
      </c>
      <c r="I47" s="1">
        <f t="array" ref="I47">IFERROR(INDEX($C$30:$C$201,SMALL(IF(ISNUMBER($C$30:$C$201),ROW($A$1:$A$172),""),ROW(A18))),"")</f>
        <v>353553.39059327374</v>
      </c>
    </row>
    <row r="48" spans="2:9" x14ac:dyDescent="0.35">
      <c r="B48" s="1">
        <v>129166.66666666667</v>
      </c>
      <c r="C48" s="1">
        <v>56018.040248953126</v>
      </c>
      <c r="F48" s="1" t="str">
        <f t="array" ref="F48">IFERROR(INDEX($D$30:$D$192,SMALL(IF(ISNUMBER($D$30:$D$192),ROW($D$30:$D$192),""),ROW(A47))),"")</f>
        <v/>
      </c>
      <c r="H48" s="1">
        <f t="array" ref="H48">IFERROR(INDEX($B$30:$B$192,SMALL(IF(ISNUMBER($B$30:$B$192),ROW($A$1:$A$163),""),ROW(A19))),"")</f>
        <v>57708.333333333336</v>
      </c>
      <c r="I48" s="1">
        <f t="array" ref="I48">IFERROR(INDEX($C$30:$C$201,SMALL(IF(ISNUMBER($C$30:$C$201),ROW($A$1:$A$172),""),ROW(A19))),"")</f>
        <v>18300.159379998116</v>
      </c>
    </row>
    <row r="49" spans="2:9" x14ac:dyDescent="0.35">
      <c r="F49" s="1" t="str">
        <f t="array" ref="F49">IFERROR(INDEX($D$30:$D$192,SMALL(IF(ISNUMBER($D$30:$D$192),ROW($D$30:$D$192),""),ROW(A48))),"")</f>
        <v/>
      </c>
      <c r="H49" s="1">
        <f t="array" ref="H49">IFERROR(INDEX($B$30:$B$201,SMALL(IF(ISNUMBER($B$30:$B$201),ROW($A$1:$A$172),""),ROW(A20))),"")</f>
        <v>43958.333333333336</v>
      </c>
      <c r="I49" s="1">
        <f t="array" ref="I49">IFERROR(INDEX($C$30:$C$201,SMALL(IF(ISNUMBER($C$30:$C$201),ROW($A$1:$A$172),""),ROW(A20))),"")</f>
        <v>20628.156324144275</v>
      </c>
    </row>
    <row r="50" spans="2:9" x14ac:dyDescent="0.35">
      <c r="F50" s="1" t="str">
        <f t="array" ref="F50">IFERROR(INDEX($D$30:$D$192,SMALL(IF(ISNUMBER($D$30:$D$192),ROW($D$30:$D$192),""),ROW(A49))),"")</f>
        <v/>
      </c>
      <c r="H50" s="1" t="str">
        <f t="array" ref="H50">IFERROR(INDEX($B$30:$B$192,SMALL(IF(ISNUMBER($B$30:$B$192),ROW($A$1:$A$163),""),ROW(A21))),"")</f>
        <v/>
      </c>
    </row>
    <row r="51" spans="2:9" x14ac:dyDescent="0.35">
      <c r="F51" s="1" t="str">
        <f t="array" ref="F51">IFERROR(INDEX($D$30:$D$192,SMALL(IF(ISNUMBER($D$30:$D$192),ROW($D$30:$D$192),""),ROW(A50))),"")</f>
        <v/>
      </c>
      <c r="H51" s="1" t="str">
        <f t="array" ref="H51">IFERROR(INDEX($B$30:$B$192,SMALL(IF(ISNUMBER($B$30:$B$192),ROW($A$1:$A$163),""),ROW(A22))),"")</f>
        <v/>
      </c>
    </row>
    <row r="52" spans="2:9" x14ac:dyDescent="0.35">
      <c r="F52" s="1" t="str">
        <f t="array" ref="F52">IFERROR(INDEX($D$30:$D$192,SMALL(IF(ISNUMBER($D$30:$D$192),ROW($D$30:$D$192),""),ROW(A51))),"")</f>
        <v/>
      </c>
      <c r="H52" s="1" t="str">
        <f t="array" ref="H52">IFERROR(INDEX($B$30:$B$192,SMALL(IF(ISNUMBER($B$30:$B$192),ROW($A$1:$A$163),""),ROW(A23))),"")</f>
        <v/>
      </c>
    </row>
    <row r="53" spans="2:9" x14ac:dyDescent="0.35">
      <c r="F53" s="1" t="str">
        <f t="array" ref="F53">IFERROR(INDEX($D$30:$D$192,SMALL(IF(ISNUMBER($D$30:$D$192),ROW($D$30:$D$192),""),ROW(A52))),"")</f>
        <v/>
      </c>
      <c r="H53" s="1" t="str">
        <f t="array" ref="H53">IFERROR(INDEX($B$30:$B$192,SMALL(IF(ISNUMBER($B$30:$B$192),ROW($A$1:$A$163),""),ROW(A24))),"")</f>
        <v/>
      </c>
    </row>
    <row r="54" spans="2:9" x14ac:dyDescent="0.35">
      <c r="F54" s="1" t="str">
        <f t="array" ref="F54">IFERROR(INDEX($D$30:$D$192,SMALL(IF(ISNUMBER($D$30:$D$192),ROW($D$30:$D$192),""),ROW(A53))),"")</f>
        <v/>
      </c>
    </row>
    <row r="55" spans="2:9" x14ac:dyDescent="0.35">
      <c r="F55" s="1" t="str">
        <f t="array" ref="F55">IFERROR(INDEX($D$30:$D$192,SMALL(IF(ISNUMBER($D$30:$D$192),ROW($D$30:$D$192),""),ROW(A54))),"")</f>
        <v/>
      </c>
    </row>
    <row r="56" spans="2:9" x14ac:dyDescent="0.35">
      <c r="F56" s="1" t="str">
        <f t="array" ref="F56">IFERROR(INDEX($D$30:$D$192,SMALL(IF(ISNUMBER($D$30:$D$192),ROW($D$30:$D$192),""),ROW(A55))),"")</f>
        <v/>
      </c>
    </row>
    <row r="57" spans="2:9" x14ac:dyDescent="0.35">
      <c r="B57" s="1">
        <v>287500</v>
      </c>
      <c r="C57" s="1">
        <v>184666.08378367696</v>
      </c>
      <c r="F57" s="1" t="str">
        <f t="array" ref="F57">IFERROR(INDEX($D$30:$D$192,SMALL(IF(ISNUMBER($D$30:$D$192),ROW($D$30:$D$192),""),ROW(A56))),"")</f>
        <v/>
      </c>
    </row>
    <row r="58" spans="2:9" x14ac:dyDescent="0.35">
      <c r="F58" s="1" t="str">
        <f t="array" ref="F58">IFERROR(INDEX($D$30:$D$192,SMALL(IF(ISNUMBER($D$30:$D$192),ROW($D$30:$D$192),""),ROW(A57))),"")</f>
        <v/>
      </c>
    </row>
    <row r="59" spans="2:9" x14ac:dyDescent="0.35">
      <c r="F59" s="1" t="str">
        <f t="array" ref="F59">IFERROR(INDEX($D$30:$D$192,SMALL(IF(ISNUMBER($D$30:$D$192),ROW($D$30:$D$192),""),ROW(A58))),"")</f>
        <v/>
      </c>
    </row>
    <row r="60" spans="2:9" x14ac:dyDescent="0.35">
      <c r="F60" s="1" t="str">
        <f t="array" ref="F60">IFERROR(INDEX($D$30:$D$192,SMALL(IF(ISNUMBER($D$30:$D$192),ROW($D$30:$D$192),""),ROW(A59))),"")</f>
        <v/>
      </c>
    </row>
    <row r="61" spans="2:9" x14ac:dyDescent="0.35">
      <c r="F61" s="1" t="str">
        <f t="array" ref="F61">IFERROR(INDEX($D$30:$D$192,SMALL(IF(ISNUMBER($D$30:$D$192),ROW($D$30:$D$192),""),ROW(A60))),"")</f>
        <v/>
      </c>
    </row>
    <row r="62" spans="2:9" x14ac:dyDescent="0.35">
      <c r="F62" s="1" t="str">
        <f t="array" ref="F62">IFERROR(INDEX($D$30:$D$192,SMALL(IF(ISNUMBER($D$30:$D$192),ROW($D$30:$D$192),""),ROW(A61))),"")</f>
        <v/>
      </c>
    </row>
    <row r="63" spans="2:9" x14ac:dyDescent="0.35">
      <c r="F63" s="1" t="str">
        <f t="array" ref="F63">IFERROR(INDEX($D$30:$D$192,SMALL(IF(ISNUMBER($D$30:$D$192),ROW($D$30:$D$192),""),ROW(A62))),"")</f>
        <v/>
      </c>
    </row>
    <row r="64" spans="2:9" x14ac:dyDescent="0.35">
      <c r="F64" s="1" t="str">
        <f t="array" ref="F64">IFERROR(INDEX($D$30:$D$192,SMALL(IF(ISNUMBER($D$30:$D$192),ROW($D$30:$D$192),""),ROW(A63))),"")</f>
        <v/>
      </c>
    </row>
    <row r="65" spans="2:6" x14ac:dyDescent="0.35">
      <c r="F65" s="1" t="str">
        <f t="array" ref="F65">IFERROR(INDEX($D$30:$D$192,SMALL(IF(ISNUMBER($D$30:$D$192),ROW($D$30:$D$192),""),ROW(A64))),"")</f>
        <v/>
      </c>
    </row>
    <row r="66" spans="2:6" x14ac:dyDescent="0.35">
      <c r="B66" s="1">
        <v>777083.33333333337</v>
      </c>
      <c r="C66" s="1">
        <v>244416.8229343745</v>
      </c>
      <c r="D66" s="1">
        <v>393055.55555555556</v>
      </c>
      <c r="E66" s="1">
        <v>319032.41845896753</v>
      </c>
      <c r="F66" s="1" t="str">
        <f t="array" ref="F66">IFERROR(INDEX($D$30:$D$192,SMALL(IF(ISNUMBER($D$30:$D$192),ROW($D$30:$D$192),""),ROW(A65))),"")</f>
        <v/>
      </c>
    </row>
    <row r="67" spans="2:6" x14ac:dyDescent="0.35">
      <c r="F67" s="1" t="str">
        <f t="array" ref="F67">IFERROR(INDEX($D$30:$D$192,SMALL(IF(ISNUMBER($D$30:$D$192),ROW($D$30:$D$192),""),ROW(A66))),"")</f>
        <v/>
      </c>
    </row>
    <row r="75" spans="2:6" x14ac:dyDescent="0.35">
      <c r="B75" s="1">
        <v>241666.66666666666</v>
      </c>
      <c r="C75" s="1">
        <v>26020.82499332666</v>
      </c>
    </row>
    <row r="84" spans="2:5" x14ac:dyDescent="0.35">
      <c r="B84" s="1">
        <v>160416.66666666666</v>
      </c>
      <c r="C84" s="1">
        <v>99673.947615880723</v>
      </c>
    </row>
    <row r="93" spans="2:5" x14ac:dyDescent="0.35">
      <c r="B93" s="1">
        <v>329166.66666666669</v>
      </c>
      <c r="C93" s="1">
        <v>184807.05028037578</v>
      </c>
      <c r="D93" s="1">
        <v>259722.22222222222</v>
      </c>
      <c r="E93" s="1">
        <v>137112.77546036491</v>
      </c>
    </row>
    <row r="102" spans="2:3" x14ac:dyDescent="0.35">
      <c r="B102" s="1">
        <v>302083.33333333331</v>
      </c>
      <c r="C102" s="1">
        <v>95674.687526708585</v>
      </c>
    </row>
    <row r="111" spans="2:3" x14ac:dyDescent="0.35">
      <c r="B111" s="1">
        <v>147916.66666666666</v>
      </c>
      <c r="C111" s="1">
        <v>56711.07328673415</v>
      </c>
    </row>
    <row r="120" spans="2:6" x14ac:dyDescent="0.35">
      <c r="B120" s="1">
        <v>231250</v>
      </c>
      <c r="C120" s="1">
        <v>17677.66952966369</v>
      </c>
      <c r="D120" s="1">
        <v>221875</v>
      </c>
      <c r="E120" s="1">
        <v>120545.63451241194</v>
      </c>
    </row>
    <row r="126" spans="2:6" x14ac:dyDescent="0.35">
      <c r="F126" s="1" t="str">
        <f t="shared" ref="F126:F135" si="1">IFERROR(INDEX(D126:D288,SMALL(IF(ISTEXT(D126:D288),ROW(D126:D288),""),ROW(F126))),"")</f>
        <v/>
      </c>
    </row>
    <row r="127" spans="2:6" x14ac:dyDescent="0.35">
      <c r="F127" s="1" t="str">
        <f t="shared" si="1"/>
        <v/>
      </c>
    </row>
    <row r="128" spans="2:6" x14ac:dyDescent="0.35">
      <c r="F128" s="1" t="str">
        <f t="shared" si="1"/>
        <v/>
      </c>
    </row>
    <row r="129" spans="2:6" x14ac:dyDescent="0.35">
      <c r="B129" s="1">
        <v>275000</v>
      </c>
      <c r="C129" s="1">
        <v>159589.3166850463</v>
      </c>
      <c r="F129" s="1" t="str">
        <f t="shared" si="1"/>
        <v/>
      </c>
    </row>
    <row r="130" spans="2:6" x14ac:dyDescent="0.35">
      <c r="F130" s="1" t="str">
        <f t="shared" si="1"/>
        <v/>
      </c>
    </row>
    <row r="131" spans="2:6" x14ac:dyDescent="0.35">
      <c r="F131" s="1" t="str">
        <f t="shared" si="1"/>
        <v/>
      </c>
    </row>
    <row r="132" spans="2:6" x14ac:dyDescent="0.35">
      <c r="F132" s="1" t="str">
        <f t="shared" si="1"/>
        <v/>
      </c>
    </row>
    <row r="133" spans="2:6" x14ac:dyDescent="0.35">
      <c r="F133" s="1" t="str">
        <f t="shared" si="1"/>
        <v/>
      </c>
    </row>
    <row r="134" spans="2:6" x14ac:dyDescent="0.35">
      <c r="F134" s="1" t="str">
        <f t="shared" si="1"/>
        <v/>
      </c>
    </row>
    <row r="135" spans="2:6" x14ac:dyDescent="0.35">
      <c r="F135" s="1" t="str">
        <f t="shared" si="1"/>
        <v/>
      </c>
    </row>
    <row r="138" spans="2:6" x14ac:dyDescent="0.35">
      <c r="B138" s="1">
        <v>162500</v>
      </c>
      <c r="C138" s="1">
        <v>125000</v>
      </c>
    </row>
    <row r="147" spans="2:5" x14ac:dyDescent="0.35">
      <c r="B147" s="1">
        <v>193750</v>
      </c>
      <c r="C147" s="1">
        <v>147372.82653189494</v>
      </c>
      <c r="D147" s="1">
        <v>183593.75</v>
      </c>
      <c r="E147" s="1">
        <v>157191.36071657555</v>
      </c>
    </row>
    <row r="156" spans="2:5" x14ac:dyDescent="0.35">
      <c r="B156" s="1">
        <v>40625</v>
      </c>
      <c r="C156" s="1">
        <v>39774.756441743295</v>
      </c>
    </row>
    <row r="165" spans="2:5" x14ac:dyDescent="0.35">
      <c r="B165" s="1">
        <v>268750</v>
      </c>
      <c r="C165" s="1">
        <v>180277.56377319945</v>
      </c>
    </row>
    <row r="174" spans="2:5" x14ac:dyDescent="0.35">
      <c r="B174" s="1">
        <v>629166.66666666663</v>
      </c>
      <c r="C174" s="1">
        <v>312145.63241111248</v>
      </c>
      <c r="D174" s="1">
        <v>1052500</v>
      </c>
      <c r="E174" s="1">
        <v>644971.53522461746</v>
      </c>
    </row>
    <row r="183" spans="2:5" x14ac:dyDescent="0.35">
      <c r="B183" s="1">
        <v>1687500</v>
      </c>
      <c r="C183" s="1">
        <v>353553.39059327374</v>
      </c>
    </row>
    <row r="192" spans="2:5" x14ac:dyDescent="0.35">
      <c r="B192" s="1">
        <v>57708.333333333336</v>
      </c>
      <c r="C192" s="1">
        <v>18300.159379998116</v>
      </c>
      <c r="D192" s="1">
        <v>50833.333333333336</v>
      </c>
      <c r="E192" s="1">
        <v>18996.9844098127</v>
      </c>
    </row>
    <row r="201" spans="2:3" x14ac:dyDescent="0.35">
      <c r="B201" s="1">
        <v>43958.333333333336</v>
      </c>
      <c r="C201" s="1">
        <v>20628.156324144275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4CEC-D493-4354-9B86-08A727F8C2D3}">
  <dimension ref="A1:I181"/>
  <sheetViews>
    <sheetView workbookViewId="0">
      <selection activeCell="J15" sqref="J15"/>
    </sheetView>
  </sheetViews>
  <sheetFormatPr defaultRowHeight="14.5" x14ac:dyDescent="0.35"/>
  <cols>
    <col min="1" max="1" width="14.1796875" customWidth="1"/>
    <col min="2" max="2" width="16.1796875" customWidth="1"/>
    <col min="4" max="4" width="23.26953125" customWidth="1"/>
    <col min="5" max="5" width="22.54296875" customWidth="1"/>
    <col min="7" max="7" width="12" customWidth="1"/>
    <col min="8" max="8" width="14.81640625" customWidth="1"/>
    <col min="9" max="9" width="11.7265625" customWidth="1"/>
  </cols>
  <sheetData>
    <row r="1" spans="1:9" ht="32.25" customHeight="1" thickBot="1" x14ac:dyDescent="0.4">
      <c r="A1" s="6" t="s">
        <v>0</v>
      </c>
      <c r="B1" s="7" t="s">
        <v>10</v>
      </c>
      <c r="C1" s="8" t="s">
        <v>1</v>
      </c>
      <c r="D1" s="8" t="s">
        <v>8</v>
      </c>
      <c r="E1" s="8" t="s">
        <v>9</v>
      </c>
      <c r="F1" s="9" t="s">
        <v>11</v>
      </c>
      <c r="G1" s="10" t="s">
        <v>1</v>
      </c>
      <c r="H1" s="11" t="s">
        <v>2</v>
      </c>
      <c r="I1" s="12" t="s">
        <v>3</v>
      </c>
    </row>
    <row r="2" spans="1:9" ht="15.75" customHeight="1" thickTop="1" x14ac:dyDescent="0.35">
      <c r="A2" s="104" t="s">
        <v>67</v>
      </c>
      <c r="B2" s="110">
        <v>1</v>
      </c>
      <c r="C2" s="15" t="s">
        <v>6</v>
      </c>
      <c r="D2" s="85" t="s">
        <v>7</v>
      </c>
      <c r="E2" s="85" t="s">
        <v>7</v>
      </c>
      <c r="F2" s="17"/>
      <c r="G2" s="126" t="s">
        <v>6</v>
      </c>
      <c r="H2" s="117"/>
      <c r="I2" s="117"/>
    </row>
    <row r="3" spans="1:9" x14ac:dyDescent="0.35">
      <c r="A3" s="105"/>
      <c r="B3" s="108"/>
      <c r="C3" s="19" t="s">
        <v>4</v>
      </c>
      <c r="D3" s="20">
        <v>24</v>
      </c>
      <c r="E3" s="20">
        <v>44</v>
      </c>
      <c r="F3" s="21">
        <f>(AVERAGEIF(D3:E3,"&gt;0",D3:E3))*10^4*100/8</f>
        <v>4250000</v>
      </c>
      <c r="G3" s="127"/>
      <c r="H3" s="118"/>
      <c r="I3" s="118"/>
    </row>
    <row r="4" spans="1:9" ht="15" thickBot="1" x14ac:dyDescent="0.4">
      <c r="A4" s="105"/>
      <c r="B4" s="109"/>
      <c r="C4" s="22" t="s">
        <v>5</v>
      </c>
      <c r="D4" s="23">
        <v>2</v>
      </c>
      <c r="E4" s="23">
        <v>5</v>
      </c>
      <c r="F4" s="24">
        <f>(AVERAGEIF(D4:E4,"&gt;0",D4:E4))*10^5*100/8</f>
        <v>4375000</v>
      </c>
      <c r="G4" s="128"/>
      <c r="H4" s="119"/>
      <c r="I4" s="119"/>
    </row>
    <row r="5" spans="1:9" x14ac:dyDescent="0.35">
      <c r="A5" s="105"/>
      <c r="B5" s="110">
        <v>2</v>
      </c>
      <c r="C5" s="15" t="s">
        <v>6</v>
      </c>
      <c r="D5" s="86" t="s">
        <v>7</v>
      </c>
      <c r="E5" s="86" t="s">
        <v>7</v>
      </c>
      <c r="F5" s="17"/>
      <c r="G5" s="120" t="s">
        <v>4</v>
      </c>
      <c r="H5" s="117">
        <f>AVERAGE($F3,$F6,$F9)</f>
        <v>4166666.6666666665</v>
      </c>
      <c r="I5" s="117">
        <f>STDEV($F3,$F6,$F9)</f>
        <v>505181.4855409225</v>
      </c>
    </row>
    <row r="6" spans="1:9" x14ac:dyDescent="0.35">
      <c r="A6" s="105"/>
      <c r="B6" s="108"/>
      <c r="C6" s="19" t="s">
        <v>4</v>
      </c>
      <c r="D6" s="20">
        <v>43</v>
      </c>
      <c r="E6" s="20">
        <v>31</v>
      </c>
      <c r="F6" s="21">
        <f t="shared" ref="F6" si="0">(AVERAGEIF(D6:E6,"&gt;0",D6:E6))*10^4*100/8</f>
        <v>4625000</v>
      </c>
      <c r="G6" s="121"/>
      <c r="H6" s="118"/>
      <c r="I6" s="118"/>
    </row>
    <row r="7" spans="1:9" ht="15" thickBot="1" x14ac:dyDescent="0.4">
      <c r="A7" s="105"/>
      <c r="B7" s="109"/>
      <c r="C7" s="22" t="s">
        <v>5</v>
      </c>
      <c r="D7" s="23">
        <v>2</v>
      </c>
      <c r="E7" s="23">
        <v>2</v>
      </c>
      <c r="F7" s="24">
        <f t="shared" ref="F7" si="1">(AVERAGEIF(D7:E7,"&gt;0",D7:E7))*10^5*100/8</f>
        <v>2500000</v>
      </c>
      <c r="G7" s="122"/>
      <c r="H7" s="119"/>
      <c r="I7" s="119"/>
    </row>
    <row r="8" spans="1:9" x14ac:dyDescent="0.35">
      <c r="A8" s="105"/>
      <c r="B8" s="110">
        <v>3</v>
      </c>
      <c r="C8" s="15" t="s">
        <v>6</v>
      </c>
      <c r="D8" s="86" t="s">
        <v>7</v>
      </c>
      <c r="E8" s="86" t="s">
        <v>7</v>
      </c>
      <c r="F8" s="17"/>
      <c r="G8" s="120" t="s">
        <v>5</v>
      </c>
      <c r="H8" s="117">
        <f>AVERAGE($F4,$F7,$F10)</f>
        <v>3541666.6666666665</v>
      </c>
      <c r="I8" s="117">
        <f>STDEV($F4,$F7,$F10)</f>
        <v>954703.269782466</v>
      </c>
    </row>
    <row r="9" spans="1:9" x14ac:dyDescent="0.35">
      <c r="A9" s="105"/>
      <c r="B9" s="108"/>
      <c r="C9" s="19" t="s">
        <v>4</v>
      </c>
      <c r="D9" s="20">
        <v>28</v>
      </c>
      <c r="E9" s="20">
        <v>30</v>
      </c>
      <c r="F9" s="21">
        <f t="shared" ref="F9" si="2">(AVERAGEIF(D9:E9,"&gt;0",D9:E9))*10^4*100/8</f>
        <v>3625000</v>
      </c>
      <c r="G9" s="121"/>
      <c r="H9" s="118"/>
      <c r="I9" s="118"/>
    </row>
    <row r="10" spans="1:9" ht="15" thickBot="1" x14ac:dyDescent="0.4">
      <c r="A10" s="106"/>
      <c r="B10" s="109"/>
      <c r="C10" s="22" t="s">
        <v>5</v>
      </c>
      <c r="D10" s="54">
        <v>3</v>
      </c>
      <c r="E10" s="54">
        <v>0</v>
      </c>
      <c r="F10" s="24">
        <f t="shared" ref="F10" si="3">(AVERAGEIF(D10:E10,"&gt;0",D10:E10))*10^5*100/8</f>
        <v>3750000</v>
      </c>
      <c r="G10" s="122"/>
      <c r="H10" s="119"/>
      <c r="I10" s="119"/>
    </row>
    <row r="11" spans="1:9" ht="15.75" customHeight="1" thickTop="1" x14ac:dyDescent="0.35">
      <c r="A11" s="104" t="s">
        <v>68</v>
      </c>
      <c r="B11" s="110">
        <v>1</v>
      </c>
      <c r="C11" s="15" t="s">
        <v>6</v>
      </c>
      <c r="D11" s="48">
        <v>29</v>
      </c>
      <c r="E11" s="48">
        <v>39</v>
      </c>
      <c r="F11" s="17">
        <f t="shared" ref="F11" si="4">(AVERAGEIF(D11:E11,"&gt;0",D11:E11))*10^3*100/8</f>
        <v>425000</v>
      </c>
      <c r="G11" s="126" t="s">
        <v>6</v>
      </c>
      <c r="H11" s="117">
        <f t="shared" ref="H11" si="5">AVERAGE($F11,$F14,$F17)</f>
        <v>960416.66666666663</v>
      </c>
      <c r="I11" s="117">
        <f>STDEV($F11,$F14,$F17)</f>
        <v>488313.95723789552</v>
      </c>
    </row>
    <row r="12" spans="1:9" x14ac:dyDescent="0.35">
      <c r="A12" s="105"/>
      <c r="B12" s="108"/>
      <c r="C12" s="19" t="s">
        <v>4</v>
      </c>
      <c r="D12" s="20">
        <v>6</v>
      </c>
      <c r="E12" s="20">
        <v>6</v>
      </c>
      <c r="F12" s="21">
        <f t="shared" ref="F12" si="6">(AVERAGEIF(D12:E12,"&gt;0",D12:E12))*10^4*100/8</f>
        <v>750000</v>
      </c>
      <c r="G12" s="127"/>
      <c r="H12" s="118"/>
      <c r="I12" s="118"/>
    </row>
    <row r="13" spans="1:9" ht="15" thickBot="1" x14ac:dyDescent="0.4">
      <c r="A13" s="105"/>
      <c r="B13" s="109"/>
      <c r="C13" s="22" t="s">
        <v>5</v>
      </c>
      <c r="D13" s="23">
        <v>0</v>
      </c>
      <c r="E13" s="23">
        <v>0</v>
      </c>
      <c r="F13" s="24"/>
      <c r="G13" s="128"/>
      <c r="H13" s="119"/>
      <c r="I13" s="119"/>
    </row>
    <row r="14" spans="1:9" x14ac:dyDescent="0.35">
      <c r="A14" s="105"/>
      <c r="B14" s="110">
        <v>2</v>
      </c>
      <c r="C14" s="15" t="s">
        <v>6</v>
      </c>
      <c r="D14" s="34">
        <v>101</v>
      </c>
      <c r="E14" s="16">
        <v>120</v>
      </c>
      <c r="F14" s="17">
        <f t="shared" ref="F14" si="7">(AVERAGEIF(D14:E14,"&gt;0",D14:E14))*10^3*100/8</f>
        <v>1381250</v>
      </c>
      <c r="G14" s="120" t="s">
        <v>4</v>
      </c>
      <c r="H14" s="117">
        <f t="shared" ref="H14" si="8">AVERAGE($F12,$F15,$F18)</f>
        <v>1229166.6666666667</v>
      </c>
      <c r="I14" s="117">
        <f>STDEV($F12,$F15,$F18)</f>
        <v>580723.32769859827</v>
      </c>
    </row>
    <row r="15" spans="1:9" x14ac:dyDescent="0.35">
      <c r="A15" s="105"/>
      <c r="B15" s="108"/>
      <c r="C15" s="19" t="s">
        <v>4</v>
      </c>
      <c r="D15" s="20">
        <v>16</v>
      </c>
      <c r="E15" s="20">
        <v>14</v>
      </c>
      <c r="F15" s="21">
        <f t="shared" ref="F15" si="9">(AVERAGEIF(D15:E15,"&gt;0",D15:E15))*10^4*100/8</f>
        <v>1875000</v>
      </c>
      <c r="G15" s="121"/>
      <c r="H15" s="118"/>
      <c r="I15" s="118"/>
    </row>
    <row r="16" spans="1:9" ht="15" thickBot="1" x14ac:dyDescent="0.4">
      <c r="A16" s="105"/>
      <c r="B16" s="109"/>
      <c r="C16" s="22" t="s">
        <v>5</v>
      </c>
      <c r="D16" s="23">
        <v>3</v>
      </c>
      <c r="E16" s="23">
        <v>1</v>
      </c>
      <c r="F16" s="24">
        <f t="shared" ref="F16" si="10">(AVERAGEIF(D16:E16,"&gt;0",D16:E16))*10^5*100/8</f>
        <v>2500000</v>
      </c>
      <c r="G16" s="122"/>
      <c r="H16" s="119"/>
      <c r="I16" s="119"/>
    </row>
    <row r="17" spans="1:9" x14ac:dyDescent="0.35">
      <c r="A17" s="105"/>
      <c r="B17" s="110">
        <v>3</v>
      </c>
      <c r="C17" s="15" t="s">
        <v>6</v>
      </c>
      <c r="D17" s="16">
        <v>89</v>
      </c>
      <c r="E17" s="16">
        <v>83</v>
      </c>
      <c r="F17" s="17">
        <f t="shared" ref="F17" si="11">(AVERAGEIF(D17:E17,"&gt;0",D17:E17))*10^3*100/8</f>
        <v>1075000</v>
      </c>
      <c r="G17" s="120" t="s">
        <v>5</v>
      </c>
      <c r="H17" s="117">
        <f t="shared" ref="H17" si="12">AVERAGE($F13,$F16,$F19)</f>
        <v>1875000</v>
      </c>
      <c r="I17" s="117">
        <f>STDEV($F13,$F16,$F19)</f>
        <v>883883.47648318438</v>
      </c>
    </row>
    <row r="18" spans="1:9" x14ac:dyDescent="0.35">
      <c r="A18" s="105"/>
      <c r="B18" s="108"/>
      <c r="C18" s="19" t="s">
        <v>4</v>
      </c>
      <c r="D18" s="20">
        <v>9</v>
      </c>
      <c r="E18" s="20">
        <v>8</v>
      </c>
      <c r="F18" s="21">
        <f t="shared" ref="F18" si="13">(AVERAGEIF(D18:E18,"&gt;0",D18:E18))*10^4*100/8</f>
        <v>1062500</v>
      </c>
      <c r="G18" s="121"/>
      <c r="H18" s="118"/>
      <c r="I18" s="118"/>
    </row>
    <row r="19" spans="1:9" ht="15" thickBot="1" x14ac:dyDescent="0.4">
      <c r="A19" s="106"/>
      <c r="B19" s="109"/>
      <c r="C19" s="22" t="s">
        <v>5</v>
      </c>
      <c r="D19" s="54">
        <v>1</v>
      </c>
      <c r="E19" s="54">
        <v>0</v>
      </c>
      <c r="F19" s="24">
        <f t="shared" ref="F19" si="14">(AVERAGEIF(D19:E19,"&gt;0",D19:E19))*10^5*100/8</f>
        <v>1250000</v>
      </c>
      <c r="G19" s="122"/>
      <c r="H19" s="119"/>
      <c r="I19" s="119"/>
    </row>
    <row r="20" spans="1:9" ht="15.75" customHeight="1" thickTop="1" x14ac:dyDescent="0.35">
      <c r="A20" s="104" t="s">
        <v>69</v>
      </c>
      <c r="B20" s="110">
        <v>1</v>
      </c>
      <c r="C20" s="15" t="s">
        <v>6</v>
      </c>
      <c r="D20" s="85" t="s">
        <v>7</v>
      </c>
      <c r="E20" s="85" t="s">
        <v>7</v>
      </c>
      <c r="F20" s="17"/>
      <c r="G20" s="126" t="s">
        <v>6</v>
      </c>
      <c r="H20" s="117"/>
      <c r="I20" s="117"/>
    </row>
    <row r="21" spans="1:9" x14ac:dyDescent="0.35">
      <c r="A21" s="105"/>
      <c r="B21" s="108"/>
      <c r="C21" s="19" t="s">
        <v>4</v>
      </c>
      <c r="D21" s="20">
        <v>51</v>
      </c>
      <c r="E21" s="20">
        <v>42</v>
      </c>
      <c r="F21" s="21">
        <f t="shared" ref="F21" si="15">(AVERAGEIF(D21:E21,"&gt;0",D21:E21))*10^4*100/8</f>
        <v>5812500</v>
      </c>
      <c r="G21" s="127"/>
      <c r="H21" s="118"/>
      <c r="I21" s="118"/>
    </row>
    <row r="22" spans="1:9" ht="15" thickBot="1" x14ac:dyDescent="0.4">
      <c r="A22" s="105"/>
      <c r="B22" s="109"/>
      <c r="C22" s="22" t="s">
        <v>5</v>
      </c>
      <c r="D22" s="23">
        <v>5</v>
      </c>
      <c r="E22" s="23">
        <v>2</v>
      </c>
      <c r="F22" s="24">
        <f t="shared" ref="F22" si="16">(AVERAGEIF(D22:E22,"&gt;0",D22:E22))*10^5*100/8</f>
        <v>4375000</v>
      </c>
      <c r="G22" s="128"/>
      <c r="H22" s="119"/>
      <c r="I22" s="119"/>
    </row>
    <row r="23" spans="1:9" x14ac:dyDescent="0.35">
      <c r="A23" s="105"/>
      <c r="B23" s="110">
        <v>2</v>
      </c>
      <c r="C23" s="15" t="s">
        <v>6</v>
      </c>
      <c r="D23" s="86" t="s">
        <v>7</v>
      </c>
      <c r="E23" s="86" t="s">
        <v>7</v>
      </c>
      <c r="F23" s="17"/>
      <c r="G23" s="120" t="s">
        <v>4</v>
      </c>
      <c r="H23" s="117">
        <f t="shared" ref="H23" si="17">AVERAGE($F21,$F24,$F27)</f>
        <v>6125000</v>
      </c>
      <c r="I23" s="117">
        <f>STDEV($F21,$F24,$F27)</f>
        <v>437500</v>
      </c>
    </row>
    <row r="24" spans="1:9" x14ac:dyDescent="0.35">
      <c r="A24" s="105"/>
      <c r="B24" s="108"/>
      <c r="C24" s="19" t="s">
        <v>4</v>
      </c>
      <c r="D24" s="20">
        <v>52</v>
      </c>
      <c r="E24" s="20">
        <v>43</v>
      </c>
      <c r="F24" s="21">
        <f t="shared" ref="F24" si="18">(AVERAGEIF(D24:E24,"&gt;0",D24:E24))*10^4*100/8</f>
        <v>5937500</v>
      </c>
      <c r="G24" s="121"/>
      <c r="H24" s="118"/>
      <c r="I24" s="118"/>
    </row>
    <row r="25" spans="1:9" ht="15" thickBot="1" x14ac:dyDescent="0.4">
      <c r="A25" s="105"/>
      <c r="B25" s="109"/>
      <c r="C25" s="22" t="s">
        <v>5</v>
      </c>
      <c r="D25" s="23">
        <v>5</v>
      </c>
      <c r="E25" s="23">
        <v>8</v>
      </c>
      <c r="F25" s="24">
        <f t="shared" ref="F25" si="19">(AVERAGEIF(D25:E25,"&gt;0",D25:E25))*10^5*100/8</f>
        <v>8125000</v>
      </c>
      <c r="G25" s="122"/>
      <c r="H25" s="119"/>
      <c r="I25" s="119"/>
    </row>
    <row r="26" spans="1:9" x14ac:dyDescent="0.35">
      <c r="A26" s="105"/>
      <c r="B26" s="110">
        <v>3</v>
      </c>
      <c r="C26" s="15" t="s">
        <v>6</v>
      </c>
      <c r="D26" s="86" t="s">
        <v>7</v>
      </c>
      <c r="E26" s="86" t="s">
        <v>7</v>
      </c>
      <c r="F26" s="17"/>
      <c r="G26" s="120" t="s">
        <v>5</v>
      </c>
      <c r="H26" s="117">
        <f t="shared" ref="H26" si="20">AVERAGE($F22,$F25,$F28)</f>
        <v>6250000</v>
      </c>
      <c r="I26" s="117">
        <f>STDEV($F22,$F25,$F28)</f>
        <v>1875000</v>
      </c>
    </row>
    <row r="27" spans="1:9" x14ac:dyDescent="0.35">
      <c r="A27" s="105"/>
      <c r="B27" s="108"/>
      <c r="C27" s="19" t="s">
        <v>4</v>
      </c>
      <c r="D27" s="20">
        <v>53</v>
      </c>
      <c r="E27" s="20">
        <v>53</v>
      </c>
      <c r="F27" s="21">
        <f t="shared" ref="F27" si="21">(AVERAGEIF(D27:E27,"&gt;0",D27:E27))*10^4*100/8</f>
        <v>6625000</v>
      </c>
      <c r="G27" s="121"/>
      <c r="H27" s="118"/>
      <c r="I27" s="118"/>
    </row>
    <row r="28" spans="1:9" ht="15" thickBot="1" x14ac:dyDescent="0.4">
      <c r="A28" s="106"/>
      <c r="B28" s="109"/>
      <c r="C28" s="22" t="s">
        <v>5</v>
      </c>
      <c r="D28" s="54">
        <v>7</v>
      </c>
      <c r="E28" s="54">
        <v>3</v>
      </c>
      <c r="F28" s="24">
        <f t="shared" ref="F28" si="22">(AVERAGEIF(D28:E28,"&gt;0",D28:E28))*10^5*100/8</f>
        <v>6250000</v>
      </c>
      <c r="G28" s="122"/>
      <c r="H28" s="119"/>
      <c r="I28" s="119"/>
    </row>
    <row r="29" spans="1:9" ht="15.75" customHeight="1" thickTop="1" x14ac:dyDescent="0.35">
      <c r="A29" s="104" t="s">
        <v>70</v>
      </c>
      <c r="B29" s="110">
        <v>1</v>
      </c>
      <c r="C29" s="15" t="s">
        <v>6</v>
      </c>
      <c r="D29" s="85" t="s">
        <v>7</v>
      </c>
      <c r="E29" s="85" t="s">
        <v>7</v>
      </c>
      <c r="F29" s="17"/>
      <c r="G29" s="126" t="s">
        <v>6</v>
      </c>
      <c r="H29" s="117"/>
      <c r="I29" s="117"/>
    </row>
    <row r="30" spans="1:9" x14ac:dyDescent="0.35">
      <c r="A30" s="105"/>
      <c r="B30" s="108"/>
      <c r="C30" s="19" t="s">
        <v>4</v>
      </c>
      <c r="D30" s="20">
        <v>30</v>
      </c>
      <c r="E30" s="20">
        <v>37</v>
      </c>
      <c r="F30" s="21">
        <f t="shared" ref="F30" si="23">(AVERAGEIF(D30:E30,"&gt;0",D30:E30))*10^4*100/8</f>
        <v>4187500</v>
      </c>
      <c r="G30" s="127"/>
      <c r="H30" s="118"/>
      <c r="I30" s="118"/>
    </row>
    <row r="31" spans="1:9" ht="15" thickBot="1" x14ac:dyDescent="0.4">
      <c r="A31" s="105"/>
      <c r="B31" s="109"/>
      <c r="C31" s="22" t="s">
        <v>5</v>
      </c>
      <c r="D31" s="23">
        <v>4</v>
      </c>
      <c r="E31" s="23">
        <v>3</v>
      </c>
      <c r="F31" s="24">
        <f t="shared" ref="F31" si="24">(AVERAGEIF(D31:E31,"&gt;0",D31:E31))*10^5*100/8</f>
        <v>4375000</v>
      </c>
      <c r="G31" s="128"/>
      <c r="H31" s="119"/>
      <c r="I31" s="119"/>
    </row>
    <row r="32" spans="1:9" x14ac:dyDescent="0.35">
      <c r="A32" s="105"/>
      <c r="B32" s="110">
        <v>2</v>
      </c>
      <c r="C32" s="15" t="s">
        <v>6</v>
      </c>
      <c r="D32" s="86" t="s">
        <v>7</v>
      </c>
      <c r="E32" s="86" t="s">
        <v>7</v>
      </c>
      <c r="F32" s="17"/>
      <c r="G32" s="120" t="s">
        <v>4</v>
      </c>
      <c r="H32" s="117">
        <f t="shared" ref="H32" si="25">AVERAGE($F30,$F33,$F36)</f>
        <v>5812500</v>
      </c>
      <c r="I32" s="117">
        <f>STDEV($F30,$F33,$F36)</f>
        <v>1429324.578253659</v>
      </c>
    </row>
    <row r="33" spans="1:9" x14ac:dyDescent="0.35">
      <c r="A33" s="105"/>
      <c r="B33" s="108"/>
      <c r="C33" s="19" t="s">
        <v>4</v>
      </c>
      <c r="D33" s="20">
        <v>52</v>
      </c>
      <c r="E33" s="20">
        <v>50</v>
      </c>
      <c r="F33" s="21">
        <f t="shared" ref="F33" si="26">(AVERAGEIF(D33:E33,"&gt;0",D33:E33))*10^4*100/8</f>
        <v>6375000</v>
      </c>
      <c r="G33" s="121"/>
      <c r="H33" s="118"/>
      <c r="I33" s="118"/>
    </row>
    <row r="34" spans="1:9" ht="15" thickBot="1" x14ac:dyDescent="0.4">
      <c r="A34" s="105"/>
      <c r="B34" s="109"/>
      <c r="C34" s="22" t="s">
        <v>5</v>
      </c>
      <c r="D34" s="23">
        <v>1</v>
      </c>
      <c r="E34" s="23">
        <v>7</v>
      </c>
      <c r="F34" s="24">
        <f t="shared" ref="F34" si="27">(AVERAGEIF(D34:E34,"&gt;0",D34:E34))*10^5*100/8</f>
        <v>5000000</v>
      </c>
      <c r="G34" s="122"/>
      <c r="H34" s="119"/>
      <c r="I34" s="119"/>
    </row>
    <row r="35" spans="1:9" x14ac:dyDescent="0.35">
      <c r="A35" s="105"/>
      <c r="B35" s="110">
        <v>3</v>
      </c>
      <c r="C35" s="15" t="s">
        <v>6</v>
      </c>
      <c r="D35" s="86" t="s">
        <v>7</v>
      </c>
      <c r="E35" s="86" t="s">
        <v>7</v>
      </c>
      <c r="F35" s="17"/>
      <c r="G35" s="120" t="s">
        <v>5</v>
      </c>
      <c r="H35" s="117">
        <f t="shared" ref="H35" si="28">AVERAGE($F31,$F34,$F37)</f>
        <v>6875000</v>
      </c>
      <c r="I35" s="117">
        <f>STDEV($F31,$F34,$F37)</f>
        <v>3801726.5814363873</v>
      </c>
    </row>
    <row r="36" spans="1:9" x14ac:dyDescent="0.35">
      <c r="A36" s="105"/>
      <c r="B36" s="108"/>
      <c r="C36" s="19" t="s">
        <v>4</v>
      </c>
      <c r="D36" s="20">
        <v>63</v>
      </c>
      <c r="E36" s="20">
        <v>47</v>
      </c>
      <c r="F36" s="21">
        <f t="shared" ref="F36" si="29">(AVERAGEIF(D36:E36,"&gt;0",D36:E36))*10^4*100/8</f>
        <v>6875000</v>
      </c>
      <c r="G36" s="121"/>
      <c r="H36" s="118"/>
      <c r="I36" s="118"/>
    </row>
    <row r="37" spans="1:9" ht="15" thickBot="1" x14ac:dyDescent="0.4">
      <c r="A37" s="106"/>
      <c r="B37" s="109"/>
      <c r="C37" s="22" t="s">
        <v>5</v>
      </c>
      <c r="D37" s="54">
        <v>9</v>
      </c>
      <c r="E37" s="54">
        <v>9</v>
      </c>
      <c r="F37" s="24">
        <f t="shared" ref="F37" si="30">(AVERAGEIF(D37:E37,"&gt;0",D37:E37))*10^5*100/8</f>
        <v>11250000</v>
      </c>
      <c r="G37" s="122"/>
      <c r="H37" s="119"/>
      <c r="I37" s="119"/>
    </row>
    <row r="38" spans="1:9" ht="15" thickTop="1" x14ac:dyDescent="0.35">
      <c r="A38" s="123"/>
      <c r="B38" s="110"/>
      <c r="C38" s="15"/>
      <c r="D38" s="16"/>
      <c r="E38" s="16"/>
      <c r="F38" s="17"/>
      <c r="G38" s="126"/>
      <c r="H38" s="117"/>
      <c r="I38" s="117"/>
    </row>
    <row r="39" spans="1:9" x14ac:dyDescent="0.35">
      <c r="A39" s="124"/>
      <c r="B39" s="108"/>
      <c r="C39" s="19"/>
      <c r="D39" s="20"/>
      <c r="E39" s="20"/>
      <c r="F39" s="21"/>
      <c r="G39" s="127"/>
      <c r="H39" s="118"/>
      <c r="I39" s="118"/>
    </row>
    <row r="40" spans="1:9" ht="15" thickBot="1" x14ac:dyDescent="0.4">
      <c r="A40" s="124"/>
      <c r="B40" s="109"/>
      <c r="C40" s="22"/>
      <c r="D40" s="23"/>
      <c r="E40" s="23"/>
      <c r="F40" s="24"/>
      <c r="G40" s="128"/>
      <c r="H40" s="119"/>
      <c r="I40" s="119"/>
    </row>
    <row r="41" spans="1:9" x14ac:dyDescent="0.35">
      <c r="A41" s="124"/>
      <c r="B41" s="110"/>
      <c r="C41" s="15"/>
      <c r="D41" s="16"/>
      <c r="E41" s="16"/>
      <c r="F41" s="17"/>
      <c r="G41" s="120"/>
      <c r="H41" s="117"/>
      <c r="I41" s="117"/>
    </row>
    <row r="42" spans="1:9" x14ac:dyDescent="0.35">
      <c r="A42" s="124"/>
      <c r="B42" s="108"/>
      <c r="C42" s="19"/>
      <c r="D42" s="20"/>
      <c r="E42" s="20"/>
      <c r="F42" s="21"/>
      <c r="G42" s="121"/>
      <c r="H42" s="118"/>
      <c r="I42" s="118"/>
    </row>
    <row r="43" spans="1:9" ht="15" thickBot="1" x14ac:dyDescent="0.4">
      <c r="A43" s="124"/>
      <c r="B43" s="109"/>
      <c r="C43" s="22"/>
      <c r="D43" s="23"/>
      <c r="E43" s="23"/>
      <c r="F43" s="24"/>
      <c r="G43" s="122"/>
      <c r="H43" s="119"/>
      <c r="I43" s="119"/>
    </row>
    <row r="44" spans="1:9" x14ac:dyDescent="0.35">
      <c r="A44" s="124"/>
      <c r="B44" s="110"/>
      <c r="C44" s="15"/>
      <c r="D44" s="16"/>
      <c r="E44" s="16"/>
      <c r="F44" s="17"/>
      <c r="G44" s="120"/>
      <c r="H44" s="117"/>
      <c r="I44" s="117"/>
    </row>
    <row r="45" spans="1:9" x14ac:dyDescent="0.35">
      <c r="A45" s="124"/>
      <c r="B45" s="108"/>
      <c r="C45" s="19"/>
      <c r="D45" s="20"/>
      <c r="E45" s="20"/>
      <c r="F45" s="21"/>
      <c r="G45" s="121"/>
      <c r="H45" s="118"/>
      <c r="I45" s="118"/>
    </row>
    <row r="46" spans="1:9" ht="15" thickBot="1" x14ac:dyDescent="0.4">
      <c r="A46" s="125"/>
      <c r="B46" s="109"/>
      <c r="C46" s="22"/>
      <c r="D46" s="23"/>
      <c r="E46" s="23"/>
      <c r="F46" s="24"/>
      <c r="G46" s="122"/>
      <c r="H46" s="119"/>
      <c r="I46" s="119"/>
    </row>
    <row r="47" spans="1:9" x14ac:dyDescent="0.35">
      <c r="A47" s="123"/>
      <c r="B47" s="110"/>
      <c r="C47" s="15"/>
      <c r="D47" s="16"/>
      <c r="E47" s="16"/>
      <c r="F47" s="17"/>
      <c r="G47" s="126"/>
      <c r="H47" s="117"/>
      <c r="I47" s="117"/>
    </row>
    <row r="48" spans="1:9" x14ac:dyDescent="0.35">
      <c r="A48" s="124"/>
      <c r="B48" s="108"/>
      <c r="C48" s="19"/>
      <c r="D48" s="20"/>
      <c r="E48" s="20"/>
      <c r="F48" s="21"/>
      <c r="G48" s="127"/>
      <c r="H48" s="118"/>
      <c r="I48" s="118"/>
    </row>
    <row r="49" spans="1:9" ht="15" thickBot="1" x14ac:dyDescent="0.4">
      <c r="A49" s="124"/>
      <c r="B49" s="109"/>
      <c r="C49" s="22"/>
      <c r="D49" s="23"/>
      <c r="E49" s="23"/>
      <c r="F49" s="24"/>
      <c r="G49" s="128"/>
      <c r="H49" s="119"/>
      <c r="I49" s="119"/>
    </row>
    <row r="50" spans="1:9" x14ac:dyDescent="0.35">
      <c r="A50" s="124"/>
      <c r="B50" s="110"/>
      <c r="C50" s="15"/>
      <c r="D50" s="16"/>
      <c r="E50" s="16"/>
      <c r="F50" s="17"/>
      <c r="G50" s="120"/>
      <c r="H50" s="117"/>
      <c r="I50" s="117"/>
    </row>
    <row r="51" spans="1:9" x14ac:dyDescent="0.35">
      <c r="A51" s="124"/>
      <c r="B51" s="108"/>
      <c r="C51" s="19"/>
      <c r="D51" s="20"/>
      <c r="E51" s="20"/>
      <c r="F51" s="21"/>
      <c r="G51" s="121"/>
      <c r="H51" s="118"/>
      <c r="I51" s="118"/>
    </row>
    <row r="52" spans="1:9" ht="15" thickBot="1" x14ac:dyDescent="0.4">
      <c r="A52" s="124"/>
      <c r="B52" s="109"/>
      <c r="C52" s="22"/>
      <c r="D52" s="23"/>
      <c r="E52" s="23"/>
      <c r="F52" s="24"/>
      <c r="G52" s="122"/>
      <c r="H52" s="119"/>
      <c r="I52" s="119"/>
    </row>
    <row r="53" spans="1:9" x14ac:dyDescent="0.35">
      <c r="A53" s="124"/>
      <c r="B53" s="110"/>
      <c r="C53" s="15"/>
      <c r="D53" s="16"/>
      <c r="E53" s="16"/>
      <c r="F53" s="17"/>
      <c r="G53" s="120"/>
      <c r="H53" s="117"/>
      <c r="I53" s="117"/>
    </row>
    <row r="54" spans="1:9" x14ac:dyDescent="0.35">
      <c r="A54" s="124"/>
      <c r="B54" s="108"/>
      <c r="C54" s="19"/>
      <c r="D54" s="20"/>
      <c r="E54" s="20"/>
      <c r="F54" s="21"/>
      <c r="G54" s="121"/>
      <c r="H54" s="118"/>
      <c r="I54" s="118"/>
    </row>
    <row r="55" spans="1:9" ht="15" thickBot="1" x14ac:dyDescent="0.4">
      <c r="A55" s="125"/>
      <c r="B55" s="109"/>
      <c r="C55" s="22"/>
      <c r="D55" s="23"/>
      <c r="E55" s="23"/>
      <c r="F55" s="24"/>
      <c r="G55" s="122"/>
      <c r="H55" s="119"/>
      <c r="I55" s="119"/>
    </row>
    <row r="56" spans="1:9" x14ac:dyDescent="0.35">
      <c r="A56" s="123"/>
      <c r="B56" s="110"/>
      <c r="C56" s="15"/>
      <c r="D56" s="16"/>
      <c r="E56" s="16"/>
      <c r="F56" s="17"/>
      <c r="G56" s="126"/>
      <c r="H56" s="117"/>
      <c r="I56" s="117"/>
    </row>
    <row r="57" spans="1:9" x14ac:dyDescent="0.35">
      <c r="A57" s="124"/>
      <c r="B57" s="108"/>
      <c r="C57" s="19"/>
      <c r="D57" s="20"/>
      <c r="E57" s="20"/>
      <c r="F57" s="21"/>
      <c r="G57" s="127"/>
      <c r="H57" s="118"/>
      <c r="I57" s="118"/>
    </row>
    <row r="58" spans="1:9" ht="15" thickBot="1" x14ac:dyDescent="0.4">
      <c r="A58" s="124"/>
      <c r="B58" s="109"/>
      <c r="C58" s="22"/>
      <c r="D58" s="23"/>
      <c r="E58" s="23"/>
      <c r="F58" s="24"/>
      <c r="G58" s="128"/>
      <c r="H58" s="119"/>
      <c r="I58" s="119"/>
    </row>
    <row r="59" spans="1:9" x14ac:dyDescent="0.35">
      <c r="A59" s="124"/>
      <c r="B59" s="110"/>
      <c r="C59" s="15"/>
      <c r="D59" s="16"/>
      <c r="E59" s="16"/>
      <c r="F59" s="17"/>
      <c r="G59" s="120"/>
      <c r="H59" s="117"/>
      <c r="I59" s="117"/>
    </row>
    <row r="60" spans="1:9" x14ac:dyDescent="0.35">
      <c r="A60" s="124"/>
      <c r="B60" s="108"/>
      <c r="C60" s="19"/>
      <c r="D60" s="20"/>
      <c r="E60" s="20"/>
      <c r="F60" s="21"/>
      <c r="G60" s="121"/>
      <c r="H60" s="118"/>
      <c r="I60" s="118"/>
    </row>
    <row r="61" spans="1:9" ht="15" thickBot="1" x14ac:dyDescent="0.4">
      <c r="A61" s="124"/>
      <c r="B61" s="109"/>
      <c r="C61" s="22"/>
      <c r="D61" s="23"/>
      <c r="E61" s="23"/>
      <c r="F61" s="24"/>
      <c r="G61" s="122"/>
      <c r="H61" s="119"/>
      <c r="I61" s="119"/>
    </row>
    <row r="62" spans="1:9" x14ac:dyDescent="0.35">
      <c r="A62" s="124"/>
      <c r="B62" s="110"/>
      <c r="C62" s="15"/>
      <c r="D62" s="16"/>
      <c r="E62" s="16"/>
      <c r="F62" s="17"/>
      <c r="G62" s="120"/>
      <c r="H62" s="117"/>
      <c r="I62" s="117"/>
    </row>
    <row r="63" spans="1:9" x14ac:dyDescent="0.35">
      <c r="A63" s="124"/>
      <c r="B63" s="108"/>
      <c r="C63" s="19"/>
      <c r="D63" s="20"/>
      <c r="E63" s="20"/>
      <c r="F63" s="21"/>
      <c r="G63" s="121"/>
      <c r="H63" s="118"/>
      <c r="I63" s="118"/>
    </row>
    <row r="64" spans="1:9" ht="15" thickBot="1" x14ac:dyDescent="0.4">
      <c r="A64" s="125"/>
      <c r="B64" s="109"/>
      <c r="C64" s="22"/>
      <c r="D64" s="23"/>
      <c r="E64" s="23"/>
      <c r="F64" s="24"/>
      <c r="G64" s="122"/>
      <c r="H64" s="119"/>
      <c r="I64" s="119"/>
    </row>
    <row r="65" spans="1:9" x14ac:dyDescent="0.35">
      <c r="A65" s="123"/>
      <c r="B65" s="110"/>
      <c r="C65" s="15"/>
      <c r="D65" s="16"/>
      <c r="E65" s="16"/>
      <c r="F65" s="17"/>
      <c r="G65" s="126"/>
      <c r="H65" s="117"/>
      <c r="I65" s="117"/>
    </row>
    <row r="66" spans="1:9" x14ac:dyDescent="0.35">
      <c r="A66" s="124"/>
      <c r="B66" s="108"/>
      <c r="C66" s="19"/>
      <c r="D66" s="20"/>
      <c r="E66" s="20"/>
      <c r="F66" s="21"/>
      <c r="G66" s="127"/>
      <c r="H66" s="118"/>
      <c r="I66" s="118"/>
    </row>
    <row r="67" spans="1:9" ht="15" thickBot="1" x14ac:dyDescent="0.4">
      <c r="A67" s="124"/>
      <c r="B67" s="109"/>
      <c r="C67" s="22"/>
      <c r="D67" s="23"/>
      <c r="E67" s="23"/>
      <c r="F67" s="24"/>
      <c r="G67" s="128"/>
      <c r="H67" s="119"/>
      <c r="I67" s="119"/>
    </row>
    <row r="68" spans="1:9" x14ac:dyDescent="0.35">
      <c r="A68" s="124"/>
      <c r="B68" s="110"/>
      <c r="C68" s="15"/>
      <c r="D68" s="16"/>
      <c r="E68" s="16"/>
      <c r="F68" s="17"/>
      <c r="G68" s="120"/>
      <c r="H68" s="117"/>
      <c r="I68" s="117"/>
    </row>
    <row r="69" spans="1:9" x14ac:dyDescent="0.35">
      <c r="A69" s="124"/>
      <c r="B69" s="108"/>
      <c r="C69" s="19"/>
      <c r="D69" s="20"/>
      <c r="E69" s="20"/>
      <c r="F69" s="21"/>
      <c r="G69" s="121"/>
      <c r="H69" s="118"/>
      <c r="I69" s="118"/>
    </row>
    <row r="70" spans="1:9" ht="15" thickBot="1" x14ac:dyDescent="0.4">
      <c r="A70" s="124"/>
      <c r="B70" s="109"/>
      <c r="C70" s="22"/>
      <c r="D70" s="23"/>
      <c r="E70" s="23"/>
      <c r="F70" s="24"/>
      <c r="G70" s="122"/>
      <c r="H70" s="119"/>
      <c r="I70" s="119"/>
    </row>
    <row r="71" spans="1:9" x14ac:dyDescent="0.35">
      <c r="A71" s="124"/>
      <c r="B71" s="110"/>
      <c r="C71" s="15"/>
      <c r="D71" s="16"/>
      <c r="E71" s="16"/>
      <c r="F71" s="17"/>
      <c r="G71" s="120"/>
      <c r="H71" s="117"/>
      <c r="I71" s="117"/>
    </row>
    <row r="72" spans="1:9" x14ac:dyDescent="0.35">
      <c r="A72" s="124"/>
      <c r="B72" s="108"/>
      <c r="C72" s="19"/>
      <c r="D72" s="20"/>
      <c r="E72" s="20"/>
      <c r="F72" s="21"/>
      <c r="G72" s="121"/>
      <c r="H72" s="118"/>
      <c r="I72" s="118"/>
    </row>
    <row r="73" spans="1:9" ht="15" thickBot="1" x14ac:dyDescent="0.4">
      <c r="A73" s="125"/>
      <c r="B73" s="109"/>
      <c r="C73" s="22"/>
      <c r="D73" s="23"/>
      <c r="E73" s="23"/>
      <c r="F73" s="24"/>
      <c r="G73" s="122"/>
      <c r="H73" s="119"/>
      <c r="I73" s="119"/>
    </row>
    <row r="74" spans="1:9" x14ac:dyDescent="0.35">
      <c r="A74" s="123"/>
      <c r="B74" s="110"/>
      <c r="C74" s="15"/>
      <c r="D74" s="16"/>
      <c r="E74" s="16"/>
      <c r="F74" s="17"/>
      <c r="G74" s="126"/>
      <c r="H74" s="117"/>
      <c r="I74" s="117"/>
    </row>
    <row r="75" spans="1:9" x14ac:dyDescent="0.35">
      <c r="A75" s="124"/>
      <c r="B75" s="108"/>
      <c r="C75" s="19"/>
      <c r="D75" s="20"/>
      <c r="E75" s="20"/>
      <c r="F75" s="21"/>
      <c r="G75" s="127"/>
      <c r="H75" s="118"/>
      <c r="I75" s="118"/>
    </row>
    <row r="76" spans="1:9" ht="15" thickBot="1" x14ac:dyDescent="0.4">
      <c r="A76" s="124"/>
      <c r="B76" s="109"/>
      <c r="C76" s="22"/>
      <c r="D76" s="23"/>
      <c r="E76" s="23"/>
      <c r="F76" s="24"/>
      <c r="G76" s="128"/>
      <c r="H76" s="119"/>
      <c r="I76" s="119"/>
    </row>
    <row r="77" spans="1:9" x14ac:dyDescent="0.35">
      <c r="A77" s="124"/>
      <c r="B77" s="110"/>
      <c r="C77" s="15"/>
      <c r="D77" s="16"/>
      <c r="E77" s="16"/>
      <c r="F77" s="17"/>
      <c r="G77" s="120"/>
      <c r="H77" s="117"/>
      <c r="I77" s="117"/>
    </row>
    <row r="78" spans="1:9" x14ac:dyDescent="0.35">
      <c r="A78" s="124"/>
      <c r="B78" s="108"/>
      <c r="C78" s="19"/>
      <c r="D78" s="20"/>
      <c r="E78" s="20"/>
      <c r="F78" s="21"/>
      <c r="G78" s="121"/>
      <c r="H78" s="118"/>
      <c r="I78" s="118"/>
    </row>
    <row r="79" spans="1:9" ht="15" thickBot="1" x14ac:dyDescent="0.4">
      <c r="A79" s="124"/>
      <c r="B79" s="109"/>
      <c r="C79" s="22"/>
      <c r="D79" s="23"/>
      <c r="E79" s="23"/>
      <c r="F79" s="24"/>
      <c r="G79" s="122"/>
      <c r="H79" s="119"/>
      <c r="I79" s="119"/>
    </row>
    <row r="80" spans="1:9" x14ac:dyDescent="0.35">
      <c r="A80" s="124"/>
      <c r="B80" s="110"/>
      <c r="C80" s="15"/>
      <c r="D80" s="16"/>
      <c r="E80" s="16"/>
      <c r="F80" s="17"/>
      <c r="G80" s="120"/>
      <c r="H80" s="117"/>
      <c r="I80" s="117"/>
    </row>
    <row r="81" spans="1:9" x14ac:dyDescent="0.35">
      <c r="A81" s="124"/>
      <c r="B81" s="108"/>
      <c r="C81" s="19"/>
      <c r="D81" s="20"/>
      <c r="E81" s="20"/>
      <c r="F81" s="21"/>
      <c r="G81" s="121"/>
      <c r="H81" s="118"/>
      <c r="I81" s="118"/>
    </row>
    <row r="82" spans="1:9" ht="15" thickBot="1" x14ac:dyDescent="0.4">
      <c r="A82" s="125"/>
      <c r="B82" s="109"/>
      <c r="C82" s="22"/>
      <c r="D82" s="23"/>
      <c r="E82" s="23"/>
      <c r="F82" s="24"/>
      <c r="G82" s="122"/>
      <c r="H82" s="119"/>
      <c r="I82" s="119"/>
    </row>
    <row r="83" spans="1:9" x14ac:dyDescent="0.35">
      <c r="A83" s="123"/>
      <c r="B83" s="110"/>
      <c r="C83" s="15"/>
      <c r="D83" s="16"/>
      <c r="E83" s="16"/>
      <c r="F83" s="17"/>
      <c r="G83" s="126"/>
      <c r="H83" s="117"/>
      <c r="I83" s="117"/>
    </row>
    <row r="84" spans="1:9" x14ac:dyDescent="0.35">
      <c r="A84" s="124"/>
      <c r="B84" s="108"/>
      <c r="C84" s="19"/>
      <c r="D84" s="20"/>
      <c r="E84" s="20"/>
      <c r="F84" s="21"/>
      <c r="G84" s="127"/>
      <c r="H84" s="118"/>
      <c r="I84" s="118"/>
    </row>
    <row r="85" spans="1:9" ht="15" thickBot="1" x14ac:dyDescent="0.4">
      <c r="A85" s="124"/>
      <c r="B85" s="109"/>
      <c r="C85" s="22"/>
      <c r="D85" s="23"/>
      <c r="E85" s="23"/>
      <c r="F85" s="24"/>
      <c r="G85" s="128"/>
      <c r="H85" s="119"/>
      <c r="I85" s="119"/>
    </row>
    <row r="86" spans="1:9" x14ac:dyDescent="0.35">
      <c r="A86" s="124"/>
      <c r="B86" s="110"/>
      <c r="C86" s="15"/>
      <c r="D86" s="16"/>
      <c r="E86" s="16"/>
      <c r="F86" s="17"/>
      <c r="G86" s="120"/>
      <c r="H86" s="117"/>
      <c r="I86" s="117"/>
    </row>
    <row r="87" spans="1:9" x14ac:dyDescent="0.35">
      <c r="A87" s="124"/>
      <c r="B87" s="108"/>
      <c r="C87" s="19"/>
      <c r="D87" s="20"/>
      <c r="E87" s="20"/>
      <c r="F87" s="21"/>
      <c r="G87" s="121"/>
      <c r="H87" s="118"/>
      <c r="I87" s="118"/>
    </row>
    <row r="88" spans="1:9" ht="15" thickBot="1" x14ac:dyDescent="0.4">
      <c r="A88" s="124"/>
      <c r="B88" s="109"/>
      <c r="C88" s="22"/>
      <c r="D88" s="23"/>
      <c r="E88" s="23"/>
      <c r="F88" s="24"/>
      <c r="G88" s="122"/>
      <c r="H88" s="119"/>
      <c r="I88" s="119"/>
    </row>
    <row r="89" spans="1:9" x14ac:dyDescent="0.35">
      <c r="A89" s="124"/>
      <c r="B89" s="110"/>
      <c r="C89" s="15"/>
      <c r="D89" s="16"/>
      <c r="E89" s="16"/>
      <c r="F89" s="17"/>
      <c r="G89" s="120"/>
      <c r="H89" s="117"/>
      <c r="I89" s="117"/>
    </row>
    <row r="90" spans="1:9" x14ac:dyDescent="0.35">
      <c r="A90" s="124"/>
      <c r="B90" s="108"/>
      <c r="C90" s="19"/>
      <c r="D90" s="20"/>
      <c r="E90" s="20"/>
      <c r="F90" s="21"/>
      <c r="G90" s="121"/>
      <c r="H90" s="118"/>
      <c r="I90" s="118"/>
    </row>
    <row r="91" spans="1:9" ht="15" thickBot="1" x14ac:dyDescent="0.4">
      <c r="A91" s="125"/>
      <c r="B91" s="109"/>
      <c r="C91" s="22"/>
      <c r="D91" s="23"/>
      <c r="E91" s="23"/>
      <c r="F91" s="24"/>
      <c r="G91" s="122"/>
      <c r="H91" s="119"/>
      <c r="I91" s="119"/>
    </row>
    <row r="92" spans="1:9" x14ac:dyDescent="0.35">
      <c r="A92" s="123"/>
      <c r="B92" s="110"/>
      <c r="C92" s="15"/>
      <c r="D92" s="16"/>
      <c r="E92" s="16"/>
      <c r="F92" s="17"/>
      <c r="G92" s="126"/>
      <c r="H92" s="117"/>
      <c r="I92" s="117"/>
    </row>
    <row r="93" spans="1:9" x14ac:dyDescent="0.35">
      <c r="A93" s="124"/>
      <c r="B93" s="108"/>
      <c r="C93" s="19"/>
      <c r="D93" s="20"/>
      <c r="E93" s="20"/>
      <c r="F93" s="21"/>
      <c r="G93" s="127"/>
      <c r="H93" s="118"/>
      <c r="I93" s="118"/>
    </row>
    <row r="94" spans="1:9" ht="15" thickBot="1" x14ac:dyDescent="0.4">
      <c r="A94" s="124"/>
      <c r="B94" s="109"/>
      <c r="C94" s="22"/>
      <c r="D94" s="23"/>
      <c r="E94" s="23"/>
      <c r="F94" s="24"/>
      <c r="G94" s="128"/>
      <c r="H94" s="119"/>
      <c r="I94" s="119"/>
    </row>
    <row r="95" spans="1:9" x14ac:dyDescent="0.35">
      <c r="A95" s="124"/>
      <c r="B95" s="110"/>
      <c r="C95" s="15"/>
      <c r="D95" s="31"/>
      <c r="E95" s="31"/>
      <c r="F95" s="17"/>
      <c r="G95" s="120"/>
      <c r="H95" s="117"/>
      <c r="I95" s="117"/>
    </row>
    <row r="96" spans="1:9" x14ac:dyDescent="0.35">
      <c r="A96" s="124"/>
      <c r="B96" s="108"/>
      <c r="C96" s="19"/>
      <c r="D96" s="32"/>
      <c r="E96" s="32"/>
      <c r="F96" s="21"/>
      <c r="G96" s="121"/>
      <c r="H96" s="118"/>
      <c r="I96" s="118"/>
    </row>
    <row r="97" spans="1:9" ht="15" thickBot="1" x14ac:dyDescent="0.4">
      <c r="A97" s="124"/>
      <c r="B97" s="109"/>
      <c r="C97" s="22"/>
      <c r="D97" s="33"/>
      <c r="E97" s="33"/>
      <c r="F97" s="24"/>
      <c r="G97" s="122"/>
      <c r="H97" s="119"/>
      <c r="I97" s="119"/>
    </row>
    <row r="98" spans="1:9" x14ac:dyDescent="0.35">
      <c r="A98" s="124"/>
      <c r="B98" s="110"/>
      <c r="C98" s="15"/>
      <c r="D98" s="16"/>
      <c r="E98" s="16"/>
      <c r="F98" s="17"/>
      <c r="G98" s="120"/>
      <c r="H98" s="117"/>
      <c r="I98" s="117"/>
    </row>
    <row r="99" spans="1:9" x14ac:dyDescent="0.35">
      <c r="A99" s="124"/>
      <c r="B99" s="108"/>
      <c r="C99" s="19"/>
      <c r="D99" s="20"/>
      <c r="E99" s="20"/>
      <c r="F99" s="21"/>
      <c r="G99" s="121"/>
      <c r="H99" s="118"/>
      <c r="I99" s="118"/>
    </row>
    <row r="100" spans="1:9" ht="15" thickBot="1" x14ac:dyDescent="0.4">
      <c r="A100" s="125"/>
      <c r="B100" s="109"/>
      <c r="C100" s="22"/>
      <c r="D100" s="23"/>
      <c r="E100" s="23"/>
      <c r="F100" s="24"/>
      <c r="G100" s="122"/>
      <c r="H100" s="119"/>
      <c r="I100" s="119"/>
    </row>
    <row r="101" spans="1:9" x14ac:dyDescent="0.35">
      <c r="A101" s="123"/>
      <c r="B101" s="110"/>
      <c r="C101" s="15"/>
      <c r="D101" s="16"/>
      <c r="E101" s="16"/>
      <c r="F101" s="17"/>
      <c r="G101" s="126"/>
      <c r="H101" s="117"/>
      <c r="I101" s="117"/>
    </row>
    <row r="102" spans="1:9" x14ac:dyDescent="0.35">
      <c r="A102" s="124"/>
      <c r="B102" s="108"/>
      <c r="C102" s="19"/>
      <c r="D102" s="20"/>
      <c r="E102" s="20"/>
      <c r="F102" s="21"/>
      <c r="G102" s="127"/>
      <c r="H102" s="118"/>
      <c r="I102" s="118"/>
    </row>
    <row r="103" spans="1:9" ht="15" thickBot="1" x14ac:dyDescent="0.4">
      <c r="A103" s="124"/>
      <c r="B103" s="109"/>
      <c r="C103" s="22"/>
      <c r="D103" s="23"/>
      <c r="E103" s="23"/>
      <c r="F103" s="24"/>
      <c r="G103" s="128"/>
      <c r="H103" s="119"/>
      <c r="I103" s="119"/>
    </row>
    <row r="104" spans="1:9" x14ac:dyDescent="0.35">
      <c r="A104" s="124"/>
      <c r="B104" s="110"/>
      <c r="C104" s="15"/>
      <c r="D104" s="16"/>
      <c r="E104" s="16"/>
      <c r="F104" s="17"/>
      <c r="G104" s="120"/>
      <c r="H104" s="117"/>
      <c r="I104" s="117"/>
    </row>
    <row r="105" spans="1:9" x14ac:dyDescent="0.35">
      <c r="A105" s="124"/>
      <c r="B105" s="108"/>
      <c r="C105" s="19"/>
      <c r="D105" s="20"/>
      <c r="E105" s="20"/>
      <c r="F105" s="21"/>
      <c r="G105" s="121"/>
      <c r="H105" s="118"/>
      <c r="I105" s="118"/>
    </row>
    <row r="106" spans="1:9" ht="15" thickBot="1" x14ac:dyDescent="0.4">
      <c r="A106" s="124"/>
      <c r="B106" s="109"/>
      <c r="C106" s="22"/>
      <c r="D106" s="23"/>
      <c r="E106" s="23"/>
      <c r="F106" s="24"/>
      <c r="G106" s="122"/>
      <c r="H106" s="119"/>
      <c r="I106" s="119"/>
    </row>
    <row r="107" spans="1:9" x14ac:dyDescent="0.35">
      <c r="A107" s="124"/>
      <c r="B107" s="110"/>
      <c r="C107" s="15"/>
      <c r="D107" s="16"/>
      <c r="E107" s="16"/>
      <c r="F107" s="17"/>
      <c r="G107" s="120"/>
      <c r="H107" s="117"/>
      <c r="I107" s="117"/>
    </row>
    <row r="108" spans="1:9" x14ac:dyDescent="0.35">
      <c r="A108" s="124"/>
      <c r="B108" s="108"/>
      <c r="C108" s="19"/>
      <c r="D108" s="20"/>
      <c r="E108" s="20"/>
      <c r="F108" s="21"/>
      <c r="G108" s="121"/>
      <c r="H108" s="118"/>
      <c r="I108" s="118"/>
    </row>
    <row r="109" spans="1:9" ht="15" thickBot="1" x14ac:dyDescent="0.4">
      <c r="A109" s="125"/>
      <c r="B109" s="109"/>
      <c r="C109" s="22"/>
      <c r="D109" s="23"/>
      <c r="E109" s="23"/>
      <c r="F109" s="24"/>
      <c r="G109" s="122"/>
      <c r="H109" s="119"/>
      <c r="I109" s="119"/>
    </row>
    <row r="110" spans="1:9" x14ac:dyDescent="0.35">
      <c r="A110" s="123"/>
      <c r="B110" s="110"/>
      <c r="C110" s="15"/>
      <c r="D110" s="16"/>
      <c r="E110" s="16"/>
      <c r="F110" s="17"/>
      <c r="G110" s="126"/>
      <c r="H110" s="117"/>
      <c r="I110" s="117"/>
    </row>
    <row r="111" spans="1:9" x14ac:dyDescent="0.35">
      <c r="A111" s="124"/>
      <c r="B111" s="108"/>
      <c r="C111" s="19"/>
      <c r="D111" s="20"/>
      <c r="E111" s="20"/>
      <c r="F111" s="21"/>
      <c r="G111" s="127"/>
      <c r="H111" s="118"/>
      <c r="I111" s="118"/>
    </row>
    <row r="112" spans="1:9" ht="15" thickBot="1" x14ac:dyDescent="0.4">
      <c r="A112" s="124"/>
      <c r="B112" s="109"/>
      <c r="C112" s="22"/>
      <c r="D112" s="23"/>
      <c r="E112" s="23"/>
      <c r="F112" s="24"/>
      <c r="G112" s="128"/>
      <c r="H112" s="119"/>
      <c r="I112" s="119"/>
    </row>
    <row r="113" spans="1:9" x14ac:dyDescent="0.35">
      <c r="A113" s="124"/>
      <c r="B113" s="110"/>
      <c r="C113" s="15"/>
      <c r="D113" s="16"/>
      <c r="E113" s="16"/>
      <c r="F113" s="17"/>
      <c r="G113" s="120"/>
      <c r="H113" s="117"/>
      <c r="I113" s="117"/>
    </row>
    <row r="114" spans="1:9" x14ac:dyDescent="0.35">
      <c r="A114" s="124"/>
      <c r="B114" s="108"/>
      <c r="C114" s="19"/>
      <c r="D114" s="20"/>
      <c r="E114" s="20"/>
      <c r="F114" s="21"/>
      <c r="G114" s="121"/>
      <c r="H114" s="118"/>
      <c r="I114" s="118"/>
    </row>
    <row r="115" spans="1:9" ht="15" thickBot="1" x14ac:dyDescent="0.4">
      <c r="A115" s="124"/>
      <c r="B115" s="109"/>
      <c r="C115" s="22"/>
      <c r="D115" s="23"/>
      <c r="E115" s="23"/>
      <c r="F115" s="24"/>
      <c r="G115" s="122"/>
      <c r="H115" s="119"/>
      <c r="I115" s="119"/>
    </row>
    <row r="116" spans="1:9" x14ac:dyDescent="0.35">
      <c r="A116" s="124"/>
      <c r="B116" s="110"/>
      <c r="C116" s="15"/>
      <c r="D116" s="16"/>
      <c r="E116" s="16"/>
      <c r="F116" s="17"/>
      <c r="G116" s="120"/>
      <c r="H116" s="117"/>
      <c r="I116" s="117"/>
    </row>
    <row r="117" spans="1:9" x14ac:dyDescent="0.35">
      <c r="A117" s="124"/>
      <c r="B117" s="108"/>
      <c r="C117" s="19"/>
      <c r="D117" s="20"/>
      <c r="E117" s="20"/>
      <c r="F117" s="21"/>
      <c r="G117" s="121"/>
      <c r="H117" s="118"/>
      <c r="I117" s="118"/>
    </row>
    <row r="118" spans="1:9" ht="15" thickBot="1" x14ac:dyDescent="0.4">
      <c r="A118" s="125"/>
      <c r="B118" s="109"/>
      <c r="C118" s="22"/>
      <c r="D118" s="23"/>
      <c r="E118" s="23"/>
      <c r="F118" s="24"/>
      <c r="G118" s="122"/>
      <c r="H118" s="119"/>
      <c r="I118" s="119"/>
    </row>
    <row r="119" spans="1:9" x14ac:dyDescent="0.35">
      <c r="A119" s="123"/>
      <c r="B119" s="110"/>
      <c r="C119" s="15"/>
      <c r="D119" s="16"/>
      <c r="E119" s="16"/>
      <c r="F119" s="17"/>
      <c r="G119" s="126"/>
      <c r="H119" s="117"/>
      <c r="I119" s="117"/>
    </row>
    <row r="120" spans="1:9" x14ac:dyDescent="0.35">
      <c r="A120" s="124"/>
      <c r="B120" s="108"/>
      <c r="C120" s="19"/>
      <c r="D120" s="20"/>
      <c r="E120" s="20"/>
      <c r="F120" s="21"/>
      <c r="G120" s="127"/>
      <c r="H120" s="118"/>
      <c r="I120" s="118"/>
    </row>
    <row r="121" spans="1:9" ht="15" thickBot="1" x14ac:dyDescent="0.4">
      <c r="A121" s="124"/>
      <c r="B121" s="109"/>
      <c r="C121" s="22"/>
      <c r="D121" s="23"/>
      <c r="E121" s="23"/>
      <c r="F121" s="24"/>
      <c r="G121" s="128"/>
      <c r="H121" s="119"/>
      <c r="I121" s="119"/>
    </row>
    <row r="122" spans="1:9" x14ac:dyDescent="0.35">
      <c r="A122" s="124"/>
      <c r="B122" s="110"/>
      <c r="C122" s="15"/>
      <c r="D122" s="16"/>
      <c r="E122" s="16"/>
      <c r="F122" s="17"/>
      <c r="G122" s="120"/>
      <c r="H122" s="117"/>
      <c r="I122" s="117"/>
    </row>
    <row r="123" spans="1:9" x14ac:dyDescent="0.35">
      <c r="A123" s="124"/>
      <c r="B123" s="108"/>
      <c r="C123" s="19"/>
      <c r="D123" s="20"/>
      <c r="E123" s="20"/>
      <c r="F123" s="21"/>
      <c r="G123" s="121"/>
      <c r="H123" s="118"/>
      <c r="I123" s="118"/>
    </row>
    <row r="124" spans="1:9" ht="15" thickBot="1" x14ac:dyDescent="0.4">
      <c r="A124" s="124"/>
      <c r="B124" s="109"/>
      <c r="C124" s="22"/>
      <c r="D124" s="23"/>
      <c r="E124" s="23"/>
      <c r="F124" s="24"/>
      <c r="G124" s="122"/>
      <c r="H124" s="119"/>
      <c r="I124" s="119"/>
    </row>
    <row r="125" spans="1:9" x14ac:dyDescent="0.35">
      <c r="A125" s="124"/>
      <c r="B125" s="110"/>
      <c r="C125" s="15"/>
      <c r="D125" s="16"/>
      <c r="E125" s="16"/>
      <c r="F125" s="17"/>
      <c r="G125" s="120"/>
      <c r="H125" s="117"/>
      <c r="I125" s="117"/>
    </row>
    <row r="126" spans="1:9" x14ac:dyDescent="0.35">
      <c r="A126" s="124"/>
      <c r="B126" s="108"/>
      <c r="C126" s="19"/>
      <c r="D126" s="20"/>
      <c r="E126" s="20"/>
      <c r="F126" s="21"/>
      <c r="G126" s="121"/>
      <c r="H126" s="118"/>
      <c r="I126" s="118"/>
    </row>
    <row r="127" spans="1:9" ht="15" thickBot="1" x14ac:dyDescent="0.4">
      <c r="A127" s="125"/>
      <c r="B127" s="109"/>
      <c r="C127" s="22"/>
      <c r="D127" s="23"/>
      <c r="E127" s="23"/>
      <c r="F127" s="24"/>
      <c r="G127" s="122"/>
      <c r="H127" s="119"/>
      <c r="I127" s="119"/>
    </row>
    <row r="128" spans="1:9" x14ac:dyDescent="0.35">
      <c r="A128" s="123"/>
      <c r="B128" s="110"/>
      <c r="C128" s="15"/>
      <c r="D128" s="16"/>
      <c r="E128" s="16"/>
      <c r="F128" s="17"/>
      <c r="G128" s="126"/>
      <c r="H128" s="117"/>
      <c r="I128" s="117"/>
    </row>
    <row r="129" spans="1:9" x14ac:dyDescent="0.35">
      <c r="A129" s="124"/>
      <c r="B129" s="108"/>
      <c r="C129" s="19"/>
      <c r="D129" s="20"/>
      <c r="E129" s="20"/>
      <c r="F129" s="21"/>
      <c r="G129" s="127"/>
      <c r="H129" s="118"/>
      <c r="I129" s="118"/>
    </row>
    <row r="130" spans="1:9" ht="15" thickBot="1" x14ac:dyDescent="0.4">
      <c r="A130" s="124"/>
      <c r="B130" s="109"/>
      <c r="C130" s="22"/>
      <c r="D130" s="23"/>
      <c r="E130" s="23"/>
      <c r="F130" s="24"/>
      <c r="G130" s="128"/>
      <c r="H130" s="119"/>
      <c r="I130" s="119"/>
    </row>
    <row r="131" spans="1:9" x14ac:dyDescent="0.35">
      <c r="A131" s="124"/>
      <c r="B131" s="110"/>
      <c r="C131" s="15"/>
      <c r="D131" s="34"/>
      <c r="E131" s="34"/>
      <c r="F131" s="17"/>
      <c r="G131" s="120"/>
      <c r="H131" s="117"/>
      <c r="I131" s="117"/>
    </row>
    <row r="132" spans="1:9" x14ac:dyDescent="0.35">
      <c r="A132" s="124"/>
      <c r="B132" s="108"/>
      <c r="C132" s="19"/>
      <c r="D132" s="20"/>
      <c r="E132" s="20"/>
      <c r="F132" s="21"/>
      <c r="G132" s="121"/>
      <c r="H132" s="118"/>
      <c r="I132" s="118"/>
    </row>
    <row r="133" spans="1:9" ht="15" thickBot="1" x14ac:dyDescent="0.4">
      <c r="A133" s="124"/>
      <c r="B133" s="109"/>
      <c r="C133" s="22"/>
      <c r="D133" s="23"/>
      <c r="E133" s="23"/>
      <c r="F133" s="24"/>
      <c r="G133" s="122"/>
      <c r="H133" s="119"/>
      <c r="I133" s="119"/>
    </row>
    <row r="134" spans="1:9" x14ac:dyDescent="0.35">
      <c r="A134" s="124"/>
      <c r="B134" s="110"/>
      <c r="C134" s="15"/>
      <c r="D134" s="16"/>
      <c r="E134" s="16"/>
      <c r="F134" s="17"/>
      <c r="G134" s="120"/>
      <c r="H134" s="117"/>
      <c r="I134" s="117"/>
    </row>
    <row r="135" spans="1:9" x14ac:dyDescent="0.35">
      <c r="A135" s="124"/>
      <c r="B135" s="108"/>
      <c r="C135" s="19"/>
      <c r="D135" s="20"/>
      <c r="E135" s="20"/>
      <c r="F135" s="21"/>
      <c r="G135" s="121"/>
      <c r="H135" s="118"/>
      <c r="I135" s="118"/>
    </row>
    <row r="136" spans="1:9" ht="15" thickBot="1" x14ac:dyDescent="0.4">
      <c r="A136" s="125"/>
      <c r="B136" s="109"/>
      <c r="C136" s="22"/>
      <c r="D136" s="23"/>
      <c r="E136" s="23"/>
      <c r="F136" s="24"/>
      <c r="G136" s="122"/>
      <c r="H136" s="119"/>
      <c r="I136" s="119"/>
    </row>
    <row r="137" spans="1:9" x14ac:dyDescent="0.35">
      <c r="A137" s="123"/>
      <c r="B137" s="110"/>
      <c r="C137" s="15"/>
      <c r="D137" s="16"/>
      <c r="E137" s="16"/>
      <c r="F137" s="17"/>
      <c r="G137" s="126"/>
      <c r="H137" s="117"/>
      <c r="I137" s="117"/>
    </row>
    <row r="138" spans="1:9" x14ac:dyDescent="0.35">
      <c r="A138" s="124"/>
      <c r="B138" s="108"/>
      <c r="C138" s="19"/>
      <c r="D138" s="20"/>
      <c r="E138" s="20"/>
      <c r="F138" s="21"/>
      <c r="G138" s="127"/>
      <c r="H138" s="118"/>
      <c r="I138" s="118"/>
    </row>
    <row r="139" spans="1:9" ht="15" thickBot="1" x14ac:dyDescent="0.4">
      <c r="A139" s="124"/>
      <c r="B139" s="109"/>
      <c r="C139" s="22"/>
      <c r="D139" s="23"/>
      <c r="E139" s="23"/>
      <c r="F139" s="24"/>
      <c r="G139" s="128"/>
      <c r="H139" s="119"/>
      <c r="I139" s="119"/>
    </row>
    <row r="140" spans="1:9" x14ac:dyDescent="0.35">
      <c r="A140" s="124"/>
      <c r="B140" s="110"/>
      <c r="C140" s="15"/>
      <c r="D140" s="16"/>
      <c r="E140" s="16"/>
      <c r="F140" s="17"/>
      <c r="G140" s="120"/>
      <c r="H140" s="117"/>
      <c r="I140" s="117"/>
    </row>
    <row r="141" spans="1:9" x14ac:dyDescent="0.35">
      <c r="A141" s="124"/>
      <c r="B141" s="108"/>
      <c r="C141" s="19"/>
      <c r="D141" s="20"/>
      <c r="E141" s="20"/>
      <c r="F141" s="21"/>
      <c r="G141" s="121"/>
      <c r="H141" s="118"/>
      <c r="I141" s="118"/>
    </row>
    <row r="142" spans="1:9" ht="15" thickBot="1" x14ac:dyDescent="0.4">
      <c r="A142" s="124"/>
      <c r="B142" s="109"/>
      <c r="C142" s="22"/>
      <c r="D142" s="23"/>
      <c r="E142" s="23"/>
      <c r="F142" s="24"/>
      <c r="G142" s="122"/>
      <c r="H142" s="119"/>
      <c r="I142" s="119"/>
    </row>
    <row r="143" spans="1:9" x14ac:dyDescent="0.35">
      <c r="A143" s="124"/>
      <c r="B143" s="110"/>
      <c r="C143" s="15"/>
      <c r="D143" s="16"/>
      <c r="E143" s="16"/>
      <c r="F143" s="17"/>
      <c r="G143" s="120"/>
      <c r="H143" s="117"/>
      <c r="I143" s="117"/>
    </row>
    <row r="144" spans="1:9" x14ac:dyDescent="0.35">
      <c r="A144" s="124"/>
      <c r="B144" s="108"/>
      <c r="C144" s="19"/>
      <c r="D144" s="20"/>
      <c r="E144" s="20"/>
      <c r="F144" s="21"/>
      <c r="G144" s="121"/>
      <c r="H144" s="118"/>
      <c r="I144" s="118"/>
    </row>
    <row r="145" spans="1:9" ht="15" thickBot="1" x14ac:dyDescent="0.4">
      <c r="A145" s="125"/>
      <c r="B145" s="109"/>
      <c r="C145" s="22"/>
      <c r="D145" s="23"/>
      <c r="E145" s="23"/>
      <c r="F145" s="24"/>
      <c r="G145" s="122"/>
      <c r="H145" s="119"/>
      <c r="I145" s="119"/>
    </row>
    <row r="146" spans="1:9" x14ac:dyDescent="0.35">
      <c r="A146" s="123"/>
      <c r="B146" s="110"/>
      <c r="C146" s="15"/>
      <c r="D146" s="16"/>
      <c r="E146" s="16"/>
      <c r="F146" s="17"/>
      <c r="G146" s="126"/>
      <c r="H146" s="117"/>
      <c r="I146" s="117"/>
    </row>
    <row r="147" spans="1:9" x14ac:dyDescent="0.35">
      <c r="A147" s="124"/>
      <c r="B147" s="108"/>
      <c r="C147" s="19"/>
      <c r="D147" s="20"/>
      <c r="E147" s="20"/>
      <c r="F147" s="21"/>
      <c r="G147" s="127"/>
      <c r="H147" s="118"/>
      <c r="I147" s="118"/>
    </row>
    <row r="148" spans="1:9" ht="15" thickBot="1" x14ac:dyDescent="0.4">
      <c r="A148" s="124"/>
      <c r="B148" s="109"/>
      <c r="C148" s="22"/>
      <c r="D148" s="23"/>
      <c r="E148" s="23"/>
      <c r="F148" s="24"/>
      <c r="G148" s="128"/>
      <c r="H148" s="119"/>
      <c r="I148" s="119"/>
    </row>
    <row r="149" spans="1:9" x14ac:dyDescent="0.35">
      <c r="A149" s="124"/>
      <c r="B149" s="110"/>
      <c r="C149" s="15"/>
      <c r="D149" s="16"/>
      <c r="E149" s="16"/>
      <c r="F149" s="17"/>
      <c r="G149" s="120"/>
      <c r="H149" s="117"/>
      <c r="I149" s="117"/>
    </row>
    <row r="150" spans="1:9" x14ac:dyDescent="0.35">
      <c r="A150" s="124"/>
      <c r="B150" s="108"/>
      <c r="C150" s="19"/>
      <c r="D150" s="20"/>
      <c r="E150" s="20"/>
      <c r="F150" s="21"/>
      <c r="G150" s="121"/>
      <c r="H150" s="118"/>
      <c r="I150" s="118"/>
    </row>
    <row r="151" spans="1:9" ht="15" thickBot="1" x14ac:dyDescent="0.4">
      <c r="A151" s="124"/>
      <c r="B151" s="109"/>
      <c r="C151" s="22"/>
      <c r="D151" s="23"/>
      <c r="E151" s="23"/>
      <c r="F151" s="24"/>
      <c r="G151" s="122"/>
      <c r="H151" s="119"/>
      <c r="I151" s="119"/>
    </row>
    <row r="152" spans="1:9" x14ac:dyDescent="0.35">
      <c r="A152" s="124"/>
      <c r="B152" s="110"/>
      <c r="C152" s="15"/>
      <c r="D152" s="16"/>
      <c r="E152" s="16"/>
      <c r="F152" s="17"/>
      <c r="G152" s="120"/>
      <c r="H152" s="117"/>
      <c r="I152" s="117"/>
    </row>
    <row r="153" spans="1:9" x14ac:dyDescent="0.35">
      <c r="A153" s="124"/>
      <c r="B153" s="108"/>
      <c r="C153" s="19"/>
      <c r="D153" s="20"/>
      <c r="E153" s="20"/>
      <c r="F153" s="21"/>
      <c r="G153" s="121"/>
      <c r="H153" s="118"/>
      <c r="I153" s="118"/>
    </row>
    <row r="154" spans="1:9" ht="15" thickBot="1" x14ac:dyDescent="0.4">
      <c r="A154" s="125"/>
      <c r="B154" s="109"/>
      <c r="C154" s="22"/>
      <c r="D154" s="23"/>
      <c r="E154" s="23"/>
      <c r="F154" s="24"/>
      <c r="G154" s="122"/>
      <c r="H154" s="119"/>
      <c r="I154" s="119"/>
    </row>
    <row r="155" spans="1:9" x14ac:dyDescent="0.35">
      <c r="A155" s="123"/>
      <c r="B155" s="110"/>
      <c r="C155" s="15"/>
      <c r="D155" s="34"/>
      <c r="E155" s="34"/>
      <c r="F155" s="17"/>
      <c r="G155" s="126"/>
      <c r="H155" s="117"/>
      <c r="I155" s="117"/>
    </row>
    <row r="156" spans="1:9" x14ac:dyDescent="0.35">
      <c r="A156" s="124"/>
      <c r="B156" s="108"/>
      <c r="C156" s="19"/>
      <c r="D156" s="20"/>
      <c r="E156" s="20"/>
      <c r="F156" s="21"/>
      <c r="G156" s="127"/>
      <c r="H156" s="118"/>
      <c r="I156" s="118"/>
    </row>
    <row r="157" spans="1:9" ht="15" thickBot="1" x14ac:dyDescent="0.4">
      <c r="A157" s="124"/>
      <c r="B157" s="109"/>
      <c r="C157" s="22"/>
      <c r="D157" s="23"/>
      <c r="E157" s="23"/>
      <c r="F157" s="24"/>
      <c r="G157" s="128"/>
      <c r="H157" s="119"/>
      <c r="I157" s="119"/>
    </row>
    <row r="158" spans="1:9" x14ac:dyDescent="0.35">
      <c r="A158" s="124"/>
      <c r="B158" s="110"/>
      <c r="C158" s="15"/>
      <c r="D158" s="34"/>
      <c r="E158" s="34"/>
      <c r="F158" s="17"/>
      <c r="G158" s="120"/>
      <c r="H158" s="117"/>
      <c r="I158" s="117"/>
    </row>
    <row r="159" spans="1:9" x14ac:dyDescent="0.35">
      <c r="A159" s="124"/>
      <c r="B159" s="108"/>
      <c r="C159" s="19"/>
      <c r="D159" s="20"/>
      <c r="E159" s="20"/>
      <c r="F159" s="21"/>
      <c r="G159" s="121"/>
      <c r="H159" s="118"/>
      <c r="I159" s="118"/>
    </row>
    <row r="160" spans="1:9" ht="15" thickBot="1" x14ac:dyDescent="0.4">
      <c r="A160" s="124"/>
      <c r="B160" s="109"/>
      <c r="C160" s="22"/>
      <c r="D160" s="23"/>
      <c r="E160" s="23"/>
      <c r="F160" s="24"/>
      <c r="G160" s="122"/>
      <c r="H160" s="119"/>
      <c r="I160" s="119"/>
    </row>
    <row r="161" spans="1:9" x14ac:dyDescent="0.35">
      <c r="A161" s="124"/>
      <c r="B161" s="110"/>
      <c r="C161" s="15"/>
      <c r="D161" s="16"/>
      <c r="E161" s="16"/>
      <c r="F161" s="17"/>
      <c r="G161" s="120"/>
      <c r="H161" s="117"/>
      <c r="I161" s="117"/>
    </row>
    <row r="162" spans="1:9" x14ac:dyDescent="0.35">
      <c r="A162" s="124"/>
      <c r="B162" s="108"/>
      <c r="C162" s="19"/>
      <c r="D162" s="20"/>
      <c r="E162" s="20"/>
      <c r="F162" s="21"/>
      <c r="G162" s="121"/>
      <c r="H162" s="118"/>
      <c r="I162" s="118"/>
    </row>
    <row r="163" spans="1:9" ht="15" thickBot="1" x14ac:dyDescent="0.4">
      <c r="A163" s="125"/>
      <c r="B163" s="109"/>
      <c r="C163" s="22"/>
      <c r="D163" s="23"/>
      <c r="E163" s="23"/>
      <c r="F163" s="24"/>
      <c r="G163" s="122"/>
      <c r="H163" s="119"/>
      <c r="I163" s="119"/>
    </row>
    <row r="164" spans="1:9" x14ac:dyDescent="0.35">
      <c r="A164" s="123"/>
      <c r="B164" s="110"/>
      <c r="C164" s="15"/>
      <c r="D164" s="16"/>
      <c r="E164" s="16"/>
      <c r="F164" s="17"/>
      <c r="G164" s="126"/>
      <c r="H164" s="117"/>
      <c r="I164" s="117"/>
    </row>
    <row r="165" spans="1:9" x14ac:dyDescent="0.35">
      <c r="A165" s="124"/>
      <c r="B165" s="108"/>
      <c r="C165" s="19"/>
      <c r="D165" s="20"/>
      <c r="E165" s="20"/>
      <c r="F165" s="21"/>
      <c r="G165" s="127"/>
      <c r="H165" s="118"/>
      <c r="I165" s="118"/>
    </row>
    <row r="166" spans="1:9" ht="15" thickBot="1" x14ac:dyDescent="0.4">
      <c r="A166" s="124"/>
      <c r="B166" s="109"/>
      <c r="C166" s="22"/>
      <c r="D166" s="23"/>
      <c r="E166" s="23"/>
      <c r="F166" s="24"/>
      <c r="G166" s="128"/>
      <c r="H166" s="119"/>
      <c r="I166" s="119"/>
    </row>
    <row r="167" spans="1:9" x14ac:dyDescent="0.35">
      <c r="A167" s="124"/>
      <c r="B167" s="110"/>
      <c r="C167" s="15"/>
      <c r="D167" s="16"/>
      <c r="E167" s="16"/>
      <c r="F167" s="17"/>
      <c r="G167" s="120"/>
      <c r="H167" s="117"/>
      <c r="I167" s="117"/>
    </row>
    <row r="168" spans="1:9" x14ac:dyDescent="0.35">
      <c r="A168" s="124"/>
      <c r="B168" s="108"/>
      <c r="C168" s="19"/>
      <c r="D168" s="20"/>
      <c r="E168" s="20"/>
      <c r="F168" s="21"/>
      <c r="G168" s="121"/>
      <c r="H168" s="118"/>
      <c r="I168" s="118"/>
    </row>
    <row r="169" spans="1:9" ht="15" thickBot="1" x14ac:dyDescent="0.4">
      <c r="A169" s="124"/>
      <c r="B169" s="109"/>
      <c r="C169" s="22"/>
      <c r="D169" s="23"/>
      <c r="E169" s="23"/>
      <c r="F169" s="24"/>
      <c r="G169" s="122"/>
      <c r="H169" s="119"/>
      <c r="I169" s="119"/>
    </row>
    <row r="170" spans="1:9" x14ac:dyDescent="0.35">
      <c r="A170" s="124"/>
      <c r="B170" s="110"/>
      <c r="C170" s="15"/>
      <c r="D170" s="16"/>
      <c r="E170" s="16"/>
      <c r="F170" s="17"/>
      <c r="G170" s="120"/>
      <c r="H170" s="117"/>
      <c r="I170" s="117"/>
    </row>
    <row r="171" spans="1:9" x14ac:dyDescent="0.35">
      <c r="A171" s="124"/>
      <c r="B171" s="108"/>
      <c r="C171" s="19"/>
      <c r="D171" s="20"/>
      <c r="E171" s="20"/>
      <c r="F171" s="21"/>
      <c r="G171" s="121"/>
      <c r="H171" s="118"/>
      <c r="I171" s="118"/>
    </row>
    <row r="172" spans="1:9" ht="15" thickBot="1" x14ac:dyDescent="0.4">
      <c r="A172" s="125"/>
      <c r="B172" s="109"/>
      <c r="C172" s="22"/>
      <c r="D172" s="23"/>
      <c r="E172" s="23"/>
      <c r="F172" s="24"/>
      <c r="G172" s="122"/>
      <c r="H172" s="119"/>
      <c r="I172" s="119"/>
    </row>
    <row r="173" spans="1:9" x14ac:dyDescent="0.35">
      <c r="A173" s="123"/>
      <c r="B173" s="110"/>
      <c r="C173" s="15"/>
      <c r="D173" s="16"/>
      <c r="E173" s="16"/>
      <c r="F173" s="17"/>
      <c r="G173" s="126"/>
      <c r="H173" s="117"/>
      <c r="I173" s="117"/>
    </row>
    <row r="174" spans="1:9" x14ac:dyDescent="0.35">
      <c r="A174" s="124"/>
      <c r="B174" s="108"/>
      <c r="C174" s="19"/>
      <c r="D174" s="20"/>
      <c r="E174" s="20"/>
      <c r="F174" s="21"/>
      <c r="G174" s="127"/>
      <c r="H174" s="118"/>
      <c r="I174" s="118"/>
    </row>
    <row r="175" spans="1:9" ht="15" thickBot="1" x14ac:dyDescent="0.4">
      <c r="A175" s="124"/>
      <c r="B175" s="109"/>
      <c r="C175" s="22"/>
      <c r="D175" s="23"/>
      <c r="E175" s="23"/>
      <c r="F175" s="24"/>
      <c r="G175" s="128"/>
      <c r="H175" s="119"/>
      <c r="I175" s="119"/>
    </row>
    <row r="176" spans="1:9" x14ac:dyDescent="0.35">
      <c r="A176" s="124"/>
      <c r="B176" s="110"/>
      <c r="C176" s="15"/>
      <c r="D176" s="16"/>
      <c r="E176" s="16"/>
      <c r="F176" s="17"/>
      <c r="G176" s="120"/>
      <c r="H176" s="117"/>
      <c r="I176" s="117"/>
    </row>
    <row r="177" spans="1:9" x14ac:dyDescent="0.35">
      <c r="A177" s="124"/>
      <c r="B177" s="108"/>
      <c r="C177" s="19"/>
      <c r="D177" s="20"/>
      <c r="E177" s="20"/>
      <c r="F177" s="21"/>
      <c r="G177" s="121"/>
      <c r="H177" s="118"/>
      <c r="I177" s="118"/>
    </row>
    <row r="178" spans="1:9" ht="15" thickBot="1" x14ac:dyDescent="0.4">
      <c r="A178" s="124"/>
      <c r="B178" s="109"/>
      <c r="C178" s="22"/>
      <c r="D178" s="23"/>
      <c r="E178" s="23"/>
      <c r="F178" s="24"/>
      <c r="G178" s="122"/>
      <c r="H178" s="119"/>
      <c r="I178" s="119"/>
    </row>
    <row r="179" spans="1:9" x14ac:dyDescent="0.35">
      <c r="A179" s="124"/>
      <c r="B179" s="110"/>
      <c r="C179" s="15"/>
      <c r="D179" s="16"/>
      <c r="E179" s="16"/>
      <c r="F179" s="17"/>
      <c r="G179" s="120"/>
      <c r="H179" s="117"/>
      <c r="I179" s="117"/>
    </row>
    <row r="180" spans="1:9" x14ac:dyDescent="0.35">
      <c r="A180" s="124"/>
      <c r="B180" s="108"/>
      <c r="C180" s="19"/>
      <c r="D180" s="20"/>
      <c r="E180" s="20"/>
      <c r="F180" s="21"/>
      <c r="G180" s="121"/>
      <c r="H180" s="118"/>
      <c r="I180" s="118"/>
    </row>
    <row r="181" spans="1:9" ht="15" thickBot="1" x14ac:dyDescent="0.4">
      <c r="A181" s="125"/>
      <c r="B181" s="109"/>
      <c r="C181" s="22"/>
      <c r="D181" s="23"/>
      <c r="E181" s="23"/>
      <c r="F181" s="24"/>
      <c r="G181" s="122"/>
      <c r="H181" s="119"/>
      <c r="I181" s="119"/>
    </row>
  </sheetData>
  <mergeCells count="260">
    <mergeCell ref="A11:A19"/>
    <mergeCell ref="B11:B13"/>
    <mergeCell ref="G11:G13"/>
    <mergeCell ref="H11:H13"/>
    <mergeCell ref="I11:I13"/>
    <mergeCell ref="B14:B16"/>
    <mergeCell ref="G14:G16"/>
    <mergeCell ref="A2:A10"/>
    <mergeCell ref="B2:B4"/>
    <mergeCell ref="G2:G4"/>
    <mergeCell ref="H2:H4"/>
    <mergeCell ref="I2:I4"/>
    <mergeCell ref="B5:B7"/>
    <mergeCell ref="G5:G7"/>
    <mergeCell ref="H5:H7"/>
    <mergeCell ref="I5:I7"/>
    <mergeCell ref="B8:B10"/>
    <mergeCell ref="H14:H16"/>
    <mergeCell ref="I14:I16"/>
    <mergeCell ref="B17:B19"/>
    <mergeCell ref="G17:G19"/>
    <mergeCell ref="H17:H19"/>
    <mergeCell ref="I17:I19"/>
    <mergeCell ref="G8:G10"/>
    <mergeCell ref="H8:H10"/>
    <mergeCell ref="I8:I10"/>
    <mergeCell ref="A29:A37"/>
    <mergeCell ref="B29:B31"/>
    <mergeCell ref="G29:G31"/>
    <mergeCell ref="H29:H31"/>
    <mergeCell ref="I29:I31"/>
    <mergeCell ref="B32:B34"/>
    <mergeCell ref="G32:G34"/>
    <mergeCell ref="A20:A28"/>
    <mergeCell ref="B20:B22"/>
    <mergeCell ref="G20:G22"/>
    <mergeCell ref="H20:H22"/>
    <mergeCell ref="I20:I22"/>
    <mergeCell ref="B23:B25"/>
    <mergeCell ref="G23:G25"/>
    <mergeCell ref="H23:H25"/>
    <mergeCell ref="I23:I25"/>
    <mergeCell ref="B26:B28"/>
    <mergeCell ref="H32:H34"/>
    <mergeCell ref="I32:I34"/>
    <mergeCell ref="B35:B37"/>
    <mergeCell ref="G35:G37"/>
    <mergeCell ref="H35:H37"/>
    <mergeCell ref="I35:I37"/>
    <mergeCell ref="G26:G28"/>
    <mergeCell ref="H26:H28"/>
    <mergeCell ref="I26:I28"/>
    <mergeCell ref="A47:A55"/>
    <mergeCell ref="B47:B49"/>
    <mergeCell ref="G47:G49"/>
    <mergeCell ref="H47:H49"/>
    <mergeCell ref="I47:I49"/>
    <mergeCell ref="B50:B52"/>
    <mergeCell ref="G50:G52"/>
    <mergeCell ref="A38:A46"/>
    <mergeCell ref="B38:B40"/>
    <mergeCell ref="G38:G40"/>
    <mergeCell ref="H38:H40"/>
    <mergeCell ref="I38:I40"/>
    <mergeCell ref="B41:B43"/>
    <mergeCell ref="G41:G43"/>
    <mergeCell ref="H41:H43"/>
    <mergeCell ref="I41:I43"/>
    <mergeCell ref="B44:B46"/>
    <mergeCell ref="H50:H52"/>
    <mergeCell ref="I50:I52"/>
    <mergeCell ref="B53:B55"/>
    <mergeCell ref="G53:G55"/>
    <mergeCell ref="H53:H55"/>
    <mergeCell ref="I53:I55"/>
    <mergeCell ref="G44:G46"/>
    <mergeCell ref="H44:H46"/>
    <mergeCell ref="I44:I46"/>
    <mergeCell ref="A65:A73"/>
    <mergeCell ref="B65:B67"/>
    <mergeCell ref="G65:G67"/>
    <mergeCell ref="H65:H67"/>
    <mergeCell ref="I65:I67"/>
    <mergeCell ref="B68:B70"/>
    <mergeCell ref="G68:G70"/>
    <mergeCell ref="A56:A64"/>
    <mergeCell ref="B56:B58"/>
    <mergeCell ref="G56:G58"/>
    <mergeCell ref="H56:H58"/>
    <mergeCell ref="I56:I58"/>
    <mergeCell ref="B59:B61"/>
    <mergeCell ref="G59:G61"/>
    <mergeCell ref="H59:H61"/>
    <mergeCell ref="I59:I61"/>
    <mergeCell ref="B62:B64"/>
    <mergeCell ref="H68:H70"/>
    <mergeCell ref="I68:I70"/>
    <mergeCell ref="B71:B73"/>
    <mergeCell ref="G71:G73"/>
    <mergeCell ref="H71:H73"/>
    <mergeCell ref="I71:I73"/>
    <mergeCell ref="G62:G64"/>
    <mergeCell ref="H62:H64"/>
    <mergeCell ref="I62:I64"/>
    <mergeCell ref="A83:A91"/>
    <mergeCell ref="B83:B85"/>
    <mergeCell ref="G83:G85"/>
    <mergeCell ref="H83:H85"/>
    <mergeCell ref="I83:I85"/>
    <mergeCell ref="B86:B88"/>
    <mergeCell ref="G86:G88"/>
    <mergeCell ref="A74:A82"/>
    <mergeCell ref="B74:B76"/>
    <mergeCell ref="G74:G76"/>
    <mergeCell ref="H74:H76"/>
    <mergeCell ref="I74:I76"/>
    <mergeCell ref="B77:B79"/>
    <mergeCell ref="G77:G79"/>
    <mergeCell ref="H77:H79"/>
    <mergeCell ref="I77:I79"/>
    <mergeCell ref="B80:B82"/>
    <mergeCell ref="H86:H88"/>
    <mergeCell ref="I86:I88"/>
    <mergeCell ref="B89:B91"/>
    <mergeCell ref="G89:G91"/>
    <mergeCell ref="H89:H91"/>
    <mergeCell ref="I89:I91"/>
    <mergeCell ref="G80:G82"/>
    <mergeCell ref="H80:H82"/>
    <mergeCell ref="I80:I82"/>
    <mergeCell ref="A101:A109"/>
    <mergeCell ref="B101:B103"/>
    <mergeCell ref="G101:G103"/>
    <mergeCell ref="H101:H103"/>
    <mergeCell ref="I101:I103"/>
    <mergeCell ref="B104:B106"/>
    <mergeCell ref="G104:G106"/>
    <mergeCell ref="A92:A100"/>
    <mergeCell ref="B92:B94"/>
    <mergeCell ref="G92:G94"/>
    <mergeCell ref="H92:H94"/>
    <mergeCell ref="I92:I94"/>
    <mergeCell ref="B95:B97"/>
    <mergeCell ref="G95:G97"/>
    <mergeCell ref="H95:H97"/>
    <mergeCell ref="I95:I97"/>
    <mergeCell ref="B98:B100"/>
    <mergeCell ref="H104:H106"/>
    <mergeCell ref="I104:I106"/>
    <mergeCell ref="B107:B109"/>
    <mergeCell ref="G107:G109"/>
    <mergeCell ref="H107:H109"/>
    <mergeCell ref="I107:I109"/>
    <mergeCell ref="G98:G100"/>
    <mergeCell ref="H98:H100"/>
    <mergeCell ref="I98:I100"/>
    <mergeCell ref="A119:A127"/>
    <mergeCell ref="B119:B121"/>
    <mergeCell ref="G119:G121"/>
    <mergeCell ref="H119:H121"/>
    <mergeCell ref="I119:I121"/>
    <mergeCell ref="B122:B124"/>
    <mergeCell ref="G122:G124"/>
    <mergeCell ref="A110:A118"/>
    <mergeCell ref="B110:B112"/>
    <mergeCell ref="G110:G112"/>
    <mergeCell ref="H110:H112"/>
    <mergeCell ref="I110:I112"/>
    <mergeCell ref="B113:B115"/>
    <mergeCell ref="G113:G115"/>
    <mergeCell ref="H113:H115"/>
    <mergeCell ref="I113:I115"/>
    <mergeCell ref="B116:B118"/>
    <mergeCell ref="H122:H124"/>
    <mergeCell ref="I122:I124"/>
    <mergeCell ref="B125:B127"/>
    <mergeCell ref="G125:G127"/>
    <mergeCell ref="H125:H127"/>
    <mergeCell ref="I125:I127"/>
    <mergeCell ref="G116:G118"/>
    <mergeCell ref="H116:H118"/>
    <mergeCell ref="I116:I118"/>
    <mergeCell ref="A137:A145"/>
    <mergeCell ref="B137:B139"/>
    <mergeCell ref="G137:G139"/>
    <mergeCell ref="H137:H139"/>
    <mergeCell ref="I137:I139"/>
    <mergeCell ref="B140:B142"/>
    <mergeCell ref="G140:G142"/>
    <mergeCell ref="A128:A136"/>
    <mergeCell ref="B128:B130"/>
    <mergeCell ref="G128:G130"/>
    <mergeCell ref="H128:H130"/>
    <mergeCell ref="I128:I130"/>
    <mergeCell ref="B131:B133"/>
    <mergeCell ref="G131:G133"/>
    <mergeCell ref="H131:H133"/>
    <mergeCell ref="I131:I133"/>
    <mergeCell ref="B134:B136"/>
    <mergeCell ref="H140:H142"/>
    <mergeCell ref="I140:I142"/>
    <mergeCell ref="B143:B145"/>
    <mergeCell ref="G143:G145"/>
    <mergeCell ref="H143:H145"/>
    <mergeCell ref="I143:I145"/>
    <mergeCell ref="G134:G136"/>
    <mergeCell ref="H134:H136"/>
    <mergeCell ref="I134:I136"/>
    <mergeCell ref="A155:A163"/>
    <mergeCell ref="B155:B157"/>
    <mergeCell ref="G155:G157"/>
    <mergeCell ref="H155:H157"/>
    <mergeCell ref="I155:I157"/>
    <mergeCell ref="B158:B160"/>
    <mergeCell ref="G158:G160"/>
    <mergeCell ref="A146:A154"/>
    <mergeCell ref="B146:B148"/>
    <mergeCell ref="G146:G148"/>
    <mergeCell ref="H146:H148"/>
    <mergeCell ref="I146:I148"/>
    <mergeCell ref="B149:B151"/>
    <mergeCell ref="G149:G151"/>
    <mergeCell ref="H149:H151"/>
    <mergeCell ref="I149:I151"/>
    <mergeCell ref="B152:B154"/>
    <mergeCell ref="H158:H160"/>
    <mergeCell ref="I158:I160"/>
    <mergeCell ref="B161:B163"/>
    <mergeCell ref="G161:G163"/>
    <mergeCell ref="H161:H163"/>
    <mergeCell ref="I161:I163"/>
    <mergeCell ref="G152:G154"/>
    <mergeCell ref="H152:H154"/>
    <mergeCell ref="I152:I154"/>
    <mergeCell ref="A173:A181"/>
    <mergeCell ref="B173:B175"/>
    <mergeCell ref="G173:G175"/>
    <mergeCell ref="H173:H175"/>
    <mergeCell ref="I173:I175"/>
    <mergeCell ref="B176:B178"/>
    <mergeCell ref="G176:G178"/>
    <mergeCell ref="A164:A172"/>
    <mergeCell ref="B164:B166"/>
    <mergeCell ref="G164:G166"/>
    <mergeCell ref="H164:H166"/>
    <mergeCell ref="I164:I166"/>
    <mergeCell ref="B167:B169"/>
    <mergeCell ref="G167:G169"/>
    <mergeCell ref="H167:H169"/>
    <mergeCell ref="I167:I169"/>
    <mergeCell ref="B170:B172"/>
    <mergeCell ref="H176:H178"/>
    <mergeCell ref="I176:I178"/>
    <mergeCell ref="B179:B181"/>
    <mergeCell ref="G179:G181"/>
    <mergeCell ref="H179:H181"/>
    <mergeCell ref="I179:I181"/>
    <mergeCell ref="G170:G172"/>
    <mergeCell ref="H170:H172"/>
    <mergeCell ref="I170:I1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2018-12-20T20:36:48Z</dcterms:modified>
</cp:coreProperties>
</file>