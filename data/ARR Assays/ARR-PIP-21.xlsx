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filterPrivacy="1"/>
  <xr:revisionPtr revIDLastSave="1459" documentId="8_{33C050F6-D3FF-49EB-BC15-0EF7E4F265BF}" xr6:coauthVersionLast="47" xr6:coauthVersionMax="47" xr10:uidLastSave="{76BC1A0E-7A14-45D2-BE94-ECDA155202D5}"/>
  <bookViews>
    <workbookView xWindow="-108" yWindow="-108" windowWidth="23256" windowHeight="12456" firstSheet="2" activeTab="7" xr2:uid="{00000000-000D-0000-FFFF-FFFF00000000}"/>
  </bookViews>
  <sheets>
    <sheet name="ARR-PIP-21-1" sheetId="1" r:id="rId1"/>
    <sheet name="ARR-PIP-21-2" sheetId="2" r:id="rId2"/>
    <sheet name="ARR-PIP-21-3" sheetId="3" r:id="rId3"/>
    <sheet name="ARR-PIP-21-4" sheetId="5" r:id="rId4"/>
    <sheet name="ARR-PIP-21-5" sheetId="7" r:id="rId5"/>
    <sheet name="ARR-PIP-22-1" sheetId="8" r:id="rId6"/>
    <sheet name="summary" sheetId="9" r:id="rId7"/>
    <sheet name="Sheet1" sheetId="10" r:id="rId8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8" l="1" a="1"/>
  <c r="N4" i="8" s="1"/>
  <c r="N11" i="8" a="1"/>
  <c r="N11" i="8" s="1"/>
  <c r="F19" i="9"/>
  <c r="G19" i="9"/>
  <c r="F18" i="9"/>
  <c r="G18" i="9"/>
  <c r="I19" i="9" l="1"/>
  <c r="C19" i="9"/>
  <c r="D19" i="9"/>
  <c r="E19" i="9"/>
  <c r="H19" i="9"/>
  <c r="C18" i="9"/>
  <c r="D18" i="9"/>
  <c r="E18" i="9"/>
  <c r="H18" i="9"/>
  <c r="I18" i="9"/>
  <c r="B19" i="9"/>
  <c r="B18" i="9"/>
  <c r="S29" i="8"/>
  <c r="Q29" i="8"/>
  <c r="F13" i="8"/>
  <c r="F11" i="8"/>
  <c r="F12" i="8"/>
  <c r="F14" i="8"/>
  <c r="F15" i="8"/>
  <c r="F16" i="8"/>
  <c r="F17" i="8"/>
  <c r="F18" i="8"/>
  <c r="F19" i="8"/>
  <c r="H81" i="8" a="1"/>
  <c r="H81" i="8" s="1"/>
  <c r="H80" i="8" a="1"/>
  <c r="H80" i="8" s="1"/>
  <c r="H79" i="8" a="1"/>
  <c r="H79" i="8" s="1"/>
  <c r="H77" i="8" a="1"/>
  <c r="H77" i="8" s="1"/>
  <c r="H76" i="8" a="1"/>
  <c r="H76" i="8" s="1"/>
  <c r="H75" i="8" a="1"/>
  <c r="H75" i="8" s="1"/>
  <c r="H73" i="8" a="1"/>
  <c r="H73" i="8" s="1"/>
  <c r="H72" i="8" a="1"/>
  <c r="H72" i="8" s="1"/>
  <c r="H71" i="8" a="1"/>
  <c r="H71" i="8" s="1"/>
  <c r="H69" i="8" a="1"/>
  <c r="H69" i="8" s="1"/>
  <c r="H68" i="8" a="1"/>
  <c r="H68" i="8" s="1"/>
  <c r="H67" i="8" a="1"/>
  <c r="H67" i="8" s="1"/>
  <c r="H65" i="8" a="1"/>
  <c r="H65" i="8" s="1"/>
  <c r="H64" i="8" a="1"/>
  <c r="H64" i="8" s="1"/>
  <c r="H63" i="8" a="1"/>
  <c r="H63" i="8" s="1"/>
  <c r="H61" i="8" a="1"/>
  <c r="H61" i="8" s="1"/>
  <c r="H60" i="8" a="1"/>
  <c r="H60" i="8" s="1"/>
  <c r="H59" i="8" a="1"/>
  <c r="H59" i="8" s="1"/>
  <c r="H57" i="8" a="1"/>
  <c r="H57" i="8" s="1"/>
  <c r="H56" i="8" a="1"/>
  <c r="H56" i="8" s="1"/>
  <c r="H55" i="8" a="1"/>
  <c r="H55" i="8" s="1"/>
  <c r="F55" i="8"/>
  <c r="F54" i="8"/>
  <c r="H53" i="8" a="1"/>
  <c r="H53" i="8" s="1"/>
  <c r="F53" i="8"/>
  <c r="H52" i="8" a="1"/>
  <c r="H52" i="8" s="1"/>
  <c r="F52" i="8"/>
  <c r="H51" i="8" a="1"/>
  <c r="H51" i="8" s="1"/>
  <c r="F51" i="8"/>
  <c r="H24" i="8" s="1" a="1"/>
  <c r="H24" i="8" s="1"/>
  <c r="F50" i="8"/>
  <c r="H49" i="8" a="1"/>
  <c r="H49" i="8" s="1"/>
  <c r="F49" i="8"/>
  <c r="H48" i="8" a="1"/>
  <c r="H48" i="8" s="1"/>
  <c r="F48" i="8"/>
  <c r="H23" i="8" s="1" a="1"/>
  <c r="H23" i="8" s="1"/>
  <c r="H47" i="8" a="1"/>
  <c r="H47" i="8" s="1"/>
  <c r="F47" i="8"/>
  <c r="F46" i="8"/>
  <c r="H45" i="8" a="1"/>
  <c r="H45" i="8" s="1"/>
  <c r="F45" i="8"/>
  <c r="H44" i="8" a="1"/>
  <c r="H44" i="8" s="1"/>
  <c r="F44" i="8"/>
  <c r="H43" i="8" a="1"/>
  <c r="H43" i="8" s="1"/>
  <c r="F43" i="8"/>
  <c r="H16" i="8" s="1" a="1"/>
  <c r="H16" i="8" s="1"/>
  <c r="F42" i="8"/>
  <c r="H41" i="8" a="1"/>
  <c r="H41" i="8" s="1"/>
  <c r="F41" i="8"/>
  <c r="H40" i="8" a="1"/>
  <c r="H40" i="8" s="1"/>
  <c r="F40" i="8"/>
  <c r="H39" i="8" a="1"/>
  <c r="H39" i="8" s="1"/>
  <c r="F39" i="8"/>
  <c r="F38" i="8"/>
  <c r="H37" i="8" a="1"/>
  <c r="H37" i="8" s="1"/>
  <c r="F37" i="8"/>
  <c r="H36" i="8" a="1"/>
  <c r="H36" i="8" s="1"/>
  <c r="F36" i="8"/>
  <c r="H35" i="8" a="1"/>
  <c r="H35" i="8" s="1"/>
  <c r="F35" i="8"/>
  <c r="F34" i="8"/>
  <c r="H33" i="8" a="1"/>
  <c r="H33" i="8" s="1"/>
  <c r="F33" i="8"/>
  <c r="H32" i="8" a="1"/>
  <c r="H32" i="8" s="1"/>
  <c r="F32" i="8"/>
  <c r="H31" i="8" a="1"/>
  <c r="H31" i="8" s="1"/>
  <c r="F31" i="8"/>
  <c r="F30" i="8"/>
  <c r="H29" i="8" a="1"/>
  <c r="H29" i="8" s="1"/>
  <c r="F29" i="8"/>
  <c r="H28" i="8" a="1"/>
  <c r="H28" i="8" s="1"/>
  <c r="F28" i="8"/>
  <c r="H27" i="8" a="1"/>
  <c r="H27" i="8" s="1"/>
  <c r="F27" i="8"/>
  <c r="F26" i="8"/>
  <c r="H25" i="8" a="1"/>
  <c r="H25" i="8" s="1"/>
  <c r="F25" i="8"/>
  <c r="F24" i="8"/>
  <c r="F23" i="8"/>
  <c r="F22" i="8"/>
  <c r="U21" i="8" a="1"/>
  <c r="U21" i="8" s="1"/>
  <c r="T21" i="8" a="1"/>
  <c r="T21" i="8" s="1"/>
  <c r="S21" i="8" a="1"/>
  <c r="S21" i="8" s="1"/>
  <c r="R21" i="8" a="1"/>
  <c r="R21" i="8" s="1"/>
  <c r="Q21" i="8" a="1"/>
  <c r="Q21" i="8" s="1"/>
  <c r="P21" i="8" a="1"/>
  <c r="P21" i="8" s="1"/>
  <c r="O21" i="8" a="1"/>
  <c r="O21" i="8" s="1"/>
  <c r="N21" i="8" a="1"/>
  <c r="N21" i="8" s="1"/>
  <c r="H21" i="8" a="1"/>
  <c r="H21" i="8" s="1"/>
  <c r="F21" i="8"/>
  <c r="U20" i="8" a="1"/>
  <c r="U20" i="8" s="1"/>
  <c r="T20" i="8" a="1"/>
  <c r="T20" i="8" s="1"/>
  <c r="S20" i="8" a="1"/>
  <c r="S20" i="8" s="1"/>
  <c r="R20" i="8" a="1"/>
  <c r="R20" i="8" s="1"/>
  <c r="Q20" i="8" a="1"/>
  <c r="Q20" i="8" s="1"/>
  <c r="P20" i="8" a="1"/>
  <c r="P20" i="8" s="1"/>
  <c r="O20" i="8" a="1"/>
  <c r="O20" i="8" s="1"/>
  <c r="N20" i="8" a="1"/>
  <c r="N20" i="8" s="1"/>
  <c r="H20" i="8" a="1"/>
  <c r="H20" i="8" s="1"/>
  <c r="F20" i="8"/>
  <c r="U19" i="8" a="1"/>
  <c r="U19" i="8" s="1"/>
  <c r="T19" i="8" a="1"/>
  <c r="T19" i="8" s="1"/>
  <c r="S19" i="8" a="1"/>
  <c r="S19" i="8" s="1"/>
  <c r="R19" i="8" a="1"/>
  <c r="R19" i="8" s="1"/>
  <c r="Q19" i="8" a="1"/>
  <c r="Q19" i="8" s="1"/>
  <c r="P19" i="8" a="1"/>
  <c r="P19" i="8" s="1"/>
  <c r="O19" i="8" a="1"/>
  <c r="O19" i="8" s="1"/>
  <c r="N19" i="8" a="1"/>
  <c r="N19" i="8" s="1"/>
  <c r="H19" i="8" a="1"/>
  <c r="H19" i="8" s="1"/>
  <c r="U18" i="8" a="1"/>
  <c r="U18" i="8" s="1"/>
  <c r="T18" i="8" a="1"/>
  <c r="T18" i="8" s="1"/>
  <c r="S18" i="8" a="1"/>
  <c r="S18" i="8" s="1"/>
  <c r="R18" i="8" a="1"/>
  <c r="R18" i="8" s="1"/>
  <c r="Q18" i="8" a="1"/>
  <c r="Q18" i="8" s="1"/>
  <c r="P18" i="8" a="1"/>
  <c r="P18" i="8" s="1"/>
  <c r="O18" i="8" a="1"/>
  <c r="O18" i="8" s="1"/>
  <c r="N18" i="8" a="1"/>
  <c r="N18" i="8" s="1"/>
  <c r="U17" i="8" a="1"/>
  <c r="U17" i="8" s="1"/>
  <c r="T17" i="8" a="1"/>
  <c r="T17" i="8" s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H17" i="8" a="1"/>
  <c r="H17" i="8" s="1"/>
  <c r="U16" i="8" a="1"/>
  <c r="U16" i="8" s="1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H15" i="8" a="1"/>
  <c r="H15" i="8" s="1"/>
  <c r="U14" i="8" a="1"/>
  <c r="U14" i="8" s="1"/>
  <c r="T14" i="8" a="1"/>
  <c r="T14" i="8" s="1"/>
  <c r="S14" i="8" a="1"/>
  <c r="S14" i="8" s="1"/>
  <c r="R14" i="8" a="1"/>
  <c r="R14" i="8" s="1"/>
  <c r="Q14" i="8" a="1"/>
  <c r="Q14" i="8" s="1"/>
  <c r="P14" i="8" a="1"/>
  <c r="P14" i="8" s="1"/>
  <c r="O14" i="8" a="1"/>
  <c r="O14" i="8" s="1"/>
  <c r="N14" i="8" a="1"/>
  <c r="N14" i="8" s="1"/>
  <c r="U13" i="8" a="1"/>
  <c r="U13" i="8" s="1"/>
  <c r="T13" i="8" a="1"/>
  <c r="T13" i="8" s="1"/>
  <c r="S13" i="8" a="1"/>
  <c r="S13" i="8" s="1"/>
  <c r="R13" i="8" a="1"/>
  <c r="R13" i="8" s="1"/>
  <c r="Q13" i="8" a="1"/>
  <c r="Q13" i="8" s="1"/>
  <c r="P13" i="8" a="1"/>
  <c r="P13" i="8" s="1"/>
  <c r="O13" i="8" a="1"/>
  <c r="O13" i="8" s="1"/>
  <c r="N13" i="8" a="1"/>
  <c r="N13" i="8" s="1"/>
  <c r="H13" i="8" a="1"/>
  <c r="H13" i="8" s="1"/>
  <c r="U12" i="8" a="1"/>
  <c r="U12" i="8" s="1"/>
  <c r="T12" i="8" a="1"/>
  <c r="T12" i="8" s="1"/>
  <c r="S12" i="8" a="1"/>
  <c r="S12" i="8" s="1"/>
  <c r="R12" i="8" a="1"/>
  <c r="R12" i="8" s="1"/>
  <c r="Q12" i="8" a="1"/>
  <c r="Q12" i="8" s="1"/>
  <c r="P12" i="8" a="1"/>
  <c r="P12" i="8" s="1"/>
  <c r="O12" i="8" a="1"/>
  <c r="O12" i="8" s="1"/>
  <c r="N12" i="8" a="1"/>
  <c r="N12" i="8" s="1"/>
  <c r="H12" i="8" a="1"/>
  <c r="H12" i="8" s="1"/>
  <c r="H11" i="8" a="1"/>
  <c r="H11" i="8" s="1"/>
  <c r="U11" i="8" a="1"/>
  <c r="U11" i="8" s="1"/>
  <c r="T11" i="8" a="1"/>
  <c r="T11" i="8" s="1"/>
  <c r="S11" i="8" a="1"/>
  <c r="S11" i="8" s="1"/>
  <c r="R11" i="8" a="1"/>
  <c r="R11" i="8" s="1"/>
  <c r="Q11" i="8" a="1"/>
  <c r="Q11" i="8" s="1"/>
  <c r="P11" i="8" a="1"/>
  <c r="P11" i="8" s="1"/>
  <c r="O11" i="8" a="1"/>
  <c r="O11" i="8" s="1"/>
  <c r="U10" i="8" a="1"/>
  <c r="U10" i="8" s="1"/>
  <c r="T10" i="8" a="1"/>
  <c r="T10" i="8" s="1"/>
  <c r="S10" i="8" a="1"/>
  <c r="S10" i="8" s="1"/>
  <c r="R10" i="8" a="1"/>
  <c r="R10" i="8" s="1"/>
  <c r="Q10" i="8" a="1"/>
  <c r="Q10" i="8" s="1"/>
  <c r="P10" i="8" a="1"/>
  <c r="P10" i="8" s="1"/>
  <c r="O10" i="8" a="1"/>
  <c r="O10" i="8" s="1"/>
  <c r="N10" i="8" a="1"/>
  <c r="N10" i="8" s="1"/>
  <c r="F10" i="8"/>
  <c r="N6" i="8" s="1" a="1"/>
  <c r="N6" i="8" s="1"/>
  <c r="U9" i="8" a="1"/>
  <c r="U9" i="8" s="1"/>
  <c r="T9" i="8" a="1"/>
  <c r="T9" i="8" s="1"/>
  <c r="S9" i="8" a="1"/>
  <c r="S9" i="8" s="1"/>
  <c r="R9" i="8" a="1"/>
  <c r="R9" i="8" s="1"/>
  <c r="Q9" i="8" a="1"/>
  <c r="Q9" i="8" s="1"/>
  <c r="P9" i="8" a="1"/>
  <c r="P9" i="8" s="1"/>
  <c r="O9" i="8" a="1"/>
  <c r="O9" i="8" s="1"/>
  <c r="N9" i="8" a="1"/>
  <c r="N9" i="8" s="1"/>
  <c r="H9" i="8" a="1"/>
  <c r="H9" i="8" s="1"/>
  <c r="F9" i="8"/>
  <c r="U8" i="8" a="1"/>
  <c r="U8" i="8" s="1"/>
  <c r="T8" i="8" a="1"/>
  <c r="T8" i="8" s="1"/>
  <c r="S8" i="8" a="1"/>
  <c r="S8" i="8" s="1"/>
  <c r="R8" i="8" a="1"/>
  <c r="R8" i="8" s="1"/>
  <c r="Q8" i="8" a="1"/>
  <c r="Q8" i="8" s="1"/>
  <c r="P8" i="8" a="1"/>
  <c r="P8" i="8" s="1"/>
  <c r="O8" i="8" a="1"/>
  <c r="O8" i="8" s="1"/>
  <c r="N8" i="8" a="1"/>
  <c r="N8" i="8" s="1"/>
  <c r="H8" i="8" a="1"/>
  <c r="H8" i="8" s="1"/>
  <c r="F8" i="8"/>
  <c r="U7" i="8" a="1"/>
  <c r="U7" i="8" s="1"/>
  <c r="T7" i="8" a="1"/>
  <c r="T7" i="8" s="1"/>
  <c r="S7" i="8" a="1"/>
  <c r="S7" i="8" s="1"/>
  <c r="R7" i="8" a="1"/>
  <c r="R7" i="8" s="1"/>
  <c r="Q7" i="8" a="1"/>
  <c r="Q7" i="8" s="1"/>
  <c r="P7" i="8" a="1"/>
  <c r="P7" i="8" s="1"/>
  <c r="O7" i="8" a="1"/>
  <c r="O7" i="8" s="1"/>
  <c r="N7" i="8" a="1"/>
  <c r="N7" i="8" s="1"/>
  <c r="H7" i="8" a="1"/>
  <c r="H7" i="8" s="1"/>
  <c r="F7" i="8"/>
  <c r="U6" i="8" a="1"/>
  <c r="U6" i="8" s="1"/>
  <c r="T6" i="8" a="1"/>
  <c r="T6" i="8" s="1"/>
  <c r="S6" i="8" a="1"/>
  <c r="S6" i="8" s="1"/>
  <c r="R6" i="8" a="1"/>
  <c r="R6" i="8" s="1"/>
  <c r="Q6" i="8" a="1"/>
  <c r="Q6" i="8" s="1"/>
  <c r="P6" i="8" a="1"/>
  <c r="P6" i="8" s="1"/>
  <c r="O6" i="8" a="1"/>
  <c r="O6" i="8" s="1"/>
  <c r="F6" i="8"/>
  <c r="N5" i="8" s="1" a="1"/>
  <c r="N5" i="8" s="1"/>
  <c r="U5" i="8" a="1"/>
  <c r="U5" i="8" s="1"/>
  <c r="T5" i="8" a="1"/>
  <c r="T5" i="8" s="1"/>
  <c r="S5" i="8" a="1"/>
  <c r="S5" i="8" s="1"/>
  <c r="R5" i="8" a="1"/>
  <c r="R5" i="8" s="1"/>
  <c r="Q5" i="8" a="1"/>
  <c r="Q5" i="8" s="1"/>
  <c r="P5" i="8" a="1"/>
  <c r="P5" i="8" s="1"/>
  <c r="O5" i="8" a="1"/>
  <c r="O5" i="8" s="1"/>
  <c r="H5" i="8" a="1"/>
  <c r="H5" i="8" s="1"/>
  <c r="F5" i="8"/>
  <c r="U4" i="8" a="1"/>
  <c r="U4" i="8" s="1"/>
  <c r="T4" i="8" a="1"/>
  <c r="T4" i="8" s="1"/>
  <c r="S4" i="8" a="1"/>
  <c r="S4" i="8" s="1"/>
  <c r="R4" i="8" a="1"/>
  <c r="R4" i="8" s="1"/>
  <c r="Q4" i="8" a="1"/>
  <c r="Q4" i="8" s="1"/>
  <c r="P4" i="8" a="1"/>
  <c r="P4" i="8" s="1"/>
  <c r="O4" i="8" a="1"/>
  <c r="O4" i="8" s="1"/>
  <c r="H4" i="8" a="1"/>
  <c r="H4" i="8" s="1"/>
  <c r="F4" i="8"/>
  <c r="F3" i="8"/>
  <c r="F2" i="8"/>
  <c r="H81" i="7" a="1"/>
  <c r="H81" i="7" s="1"/>
  <c r="H80" i="7" a="1"/>
  <c r="H80" i="7" s="1"/>
  <c r="H79" i="7" a="1"/>
  <c r="H79" i="7" s="1"/>
  <c r="H77" i="7" a="1"/>
  <c r="H77" i="7" s="1"/>
  <c r="H76" i="7" a="1"/>
  <c r="H76" i="7" s="1"/>
  <c r="H75" i="7" a="1"/>
  <c r="H75" i="7" s="1"/>
  <c r="H73" i="7" a="1"/>
  <c r="H73" i="7" s="1"/>
  <c r="H72" i="7" a="1"/>
  <c r="H72" i="7" s="1"/>
  <c r="H71" i="7" a="1"/>
  <c r="H71" i="7" s="1"/>
  <c r="H69" i="7" a="1"/>
  <c r="H69" i="7" s="1"/>
  <c r="H68" i="7" a="1"/>
  <c r="H68" i="7" s="1"/>
  <c r="H67" i="7" a="1"/>
  <c r="H67" i="7" s="1"/>
  <c r="H65" i="7" a="1"/>
  <c r="H65" i="7" s="1"/>
  <c r="H64" i="7" a="1"/>
  <c r="H64" i="7" s="1"/>
  <c r="H63" i="7" a="1"/>
  <c r="H63" i="7" s="1"/>
  <c r="H61" i="7" a="1"/>
  <c r="H61" i="7" s="1"/>
  <c r="H60" i="7" a="1"/>
  <c r="H60" i="7" s="1"/>
  <c r="H59" i="7" a="1"/>
  <c r="H59" i="7" s="1"/>
  <c r="H57" i="7" a="1"/>
  <c r="H57" i="7" s="1"/>
  <c r="H56" i="7" a="1"/>
  <c r="H56" i="7" s="1"/>
  <c r="H55" i="7" a="1"/>
  <c r="H55" i="7" s="1"/>
  <c r="F55" i="7"/>
  <c r="F54" i="7"/>
  <c r="H53" i="7" a="1"/>
  <c r="H53" i="7" s="1"/>
  <c r="F53" i="7"/>
  <c r="H52" i="7" a="1"/>
  <c r="H52" i="7" s="1"/>
  <c r="F52" i="7"/>
  <c r="H51" i="7" a="1"/>
  <c r="H51" i="7" s="1"/>
  <c r="F51" i="7"/>
  <c r="F50" i="7"/>
  <c r="H49" i="7" a="1"/>
  <c r="H49" i="7" s="1"/>
  <c r="F49" i="7"/>
  <c r="H48" i="7" a="1"/>
  <c r="H48" i="7" s="1"/>
  <c r="F48" i="7"/>
  <c r="H23" i="7" s="1" a="1"/>
  <c r="H23" i="7" s="1"/>
  <c r="H47" i="7" a="1"/>
  <c r="H47" i="7" s="1"/>
  <c r="F47" i="7"/>
  <c r="F46" i="7"/>
  <c r="H45" i="7" a="1"/>
  <c r="H45" i="7" s="1"/>
  <c r="F45" i="7"/>
  <c r="H44" i="7" a="1"/>
  <c r="H44" i="7" s="1"/>
  <c r="F44" i="7"/>
  <c r="H43" i="7" a="1"/>
  <c r="H43" i="7" s="1"/>
  <c r="F43" i="7"/>
  <c r="F42" i="7"/>
  <c r="H16" i="7" s="1" a="1"/>
  <c r="H16" i="7" s="1"/>
  <c r="H41" i="7" a="1"/>
  <c r="H41" i="7" s="1"/>
  <c r="F41" i="7"/>
  <c r="H40" i="7" a="1"/>
  <c r="H40" i="7" s="1"/>
  <c r="F40" i="7"/>
  <c r="H39" i="7" a="1"/>
  <c r="H39" i="7" s="1"/>
  <c r="F39" i="7"/>
  <c r="F38" i="7"/>
  <c r="H37" i="7" a="1"/>
  <c r="H37" i="7" s="1"/>
  <c r="F37" i="7"/>
  <c r="H36" i="7" a="1"/>
  <c r="H36" i="7" s="1"/>
  <c r="F36" i="7"/>
  <c r="H35" i="7" a="1"/>
  <c r="H35" i="7" s="1"/>
  <c r="F35" i="7"/>
  <c r="F34" i="7"/>
  <c r="H33" i="7" a="1"/>
  <c r="H33" i="7" s="1"/>
  <c r="F33" i="7"/>
  <c r="H32" i="7" a="1"/>
  <c r="H32" i="7" s="1"/>
  <c r="F32" i="7"/>
  <c r="H31" i="7" a="1"/>
  <c r="H31" i="7" s="1"/>
  <c r="F31" i="7"/>
  <c r="F30" i="7"/>
  <c r="H29" i="7" a="1"/>
  <c r="H29" i="7" s="1"/>
  <c r="F29" i="7"/>
  <c r="H28" i="7" a="1"/>
  <c r="H28" i="7" s="1"/>
  <c r="F28" i="7"/>
  <c r="H27" i="7" a="1"/>
  <c r="H27" i="7" s="1"/>
  <c r="F27" i="7"/>
  <c r="H21" i="7" s="1" a="1"/>
  <c r="H21" i="7" s="1"/>
  <c r="F26" i="7"/>
  <c r="H25" i="7" a="1"/>
  <c r="H25" i="7" s="1"/>
  <c r="F25" i="7"/>
  <c r="H24" i="7" a="1"/>
  <c r="H24" i="7" s="1"/>
  <c r="F24" i="7"/>
  <c r="F23" i="7"/>
  <c r="F22" i="7"/>
  <c r="U21" i="7" a="1"/>
  <c r="U21" i="7" s="1"/>
  <c r="T21" i="7" a="1"/>
  <c r="T21" i="7" s="1"/>
  <c r="S21" i="7" a="1"/>
  <c r="S21" i="7" s="1"/>
  <c r="R21" i="7" a="1"/>
  <c r="R21" i="7" s="1"/>
  <c r="Q21" i="7" a="1"/>
  <c r="Q21" i="7" s="1"/>
  <c r="P21" i="7" a="1"/>
  <c r="P21" i="7" s="1"/>
  <c r="O21" i="7" a="1"/>
  <c r="O21" i="7" s="1"/>
  <c r="N21" i="7" a="1"/>
  <c r="N21" i="7" s="1"/>
  <c r="F21" i="7"/>
  <c r="U20" i="7" a="1"/>
  <c r="U20" i="7" s="1"/>
  <c r="T20" i="7" a="1"/>
  <c r="T20" i="7" s="1"/>
  <c r="S20" i="7" a="1"/>
  <c r="S20" i="7" s="1"/>
  <c r="R20" i="7" a="1"/>
  <c r="R20" i="7" s="1"/>
  <c r="Q20" i="7" a="1"/>
  <c r="Q20" i="7" s="1"/>
  <c r="P20" i="7" a="1"/>
  <c r="P20" i="7" s="1"/>
  <c r="O20" i="7" a="1"/>
  <c r="O20" i="7" s="1"/>
  <c r="N20" i="7" a="1"/>
  <c r="N20" i="7" s="1"/>
  <c r="H20" i="7" a="1"/>
  <c r="H20" i="7" s="1"/>
  <c r="F20" i="7"/>
  <c r="U19" i="7" a="1"/>
  <c r="U19" i="7" s="1"/>
  <c r="T19" i="7" a="1"/>
  <c r="T19" i="7" s="1"/>
  <c r="S19" i="7" a="1"/>
  <c r="S19" i="7" s="1"/>
  <c r="R19" i="7" a="1"/>
  <c r="R19" i="7" s="1"/>
  <c r="Q19" i="7" a="1"/>
  <c r="Q19" i="7" s="1"/>
  <c r="P19" i="7" a="1"/>
  <c r="P19" i="7" s="1"/>
  <c r="O19" i="7" a="1"/>
  <c r="O19" i="7" s="1"/>
  <c r="N19" i="7" a="1"/>
  <c r="N19" i="7" s="1"/>
  <c r="H19" i="7" a="1"/>
  <c r="H19" i="7" s="1"/>
  <c r="F19" i="7"/>
  <c r="U18" i="7" a="1"/>
  <c r="U18" i="7" s="1"/>
  <c r="T18" i="7" a="1"/>
  <c r="T18" i="7" s="1"/>
  <c r="S18" i="7" a="1"/>
  <c r="S18" i="7" s="1"/>
  <c r="R18" i="7" a="1"/>
  <c r="R18" i="7" s="1"/>
  <c r="Q18" i="7" a="1"/>
  <c r="Q18" i="7" s="1"/>
  <c r="P18" i="7" a="1"/>
  <c r="P18" i="7" s="1"/>
  <c r="O18" i="7" a="1"/>
  <c r="O18" i="7" s="1"/>
  <c r="N18" i="7" a="1"/>
  <c r="N18" i="7" s="1"/>
  <c r="F18" i="7"/>
  <c r="U17" i="7" a="1"/>
  <c r="U17" i="7" s="1"/>
  <c r="T17" i="7" a="1"/>
  <c r="T17" i="7" s="1"/>
  <c r="S17" i="7" a="1"/>
  <c r="S17" i="7" s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H17" i="7" a="1"/>
  <c r="H17" i="7" s="1"/>
  <c r="F17" i="7"/>
  <c r="U16" i="7" a="1"/>
  <c r="U16" i="7" s="1"/>
  <c r="T16" i="7" a="1"/>
  <c r="T16" i="7" s="1"/>
  <c r="S16" i="7" a="1"/>
  <c r="S16" i="7" s="1"/>
  <c r="R16" i="7" a="1"/>
  <c r="R16" i="7" s="1"/>
  <c r="Q16" i="7" a="1"/>
  <c r="Q16" i="7" s="1"/>
  <c r="P16" i="7" a="1"/>
  <c r="P16" i="7" s="1"/>
  <c r="O16" i="7" a="1"/>
  <c r="O16" i="7" s="1"/>
  <c r="N16" i="7" a="1"/>
  <c r="N16" i="7" s="1"/>
  <c r="F16" i="7"/>
  <c r="U15" i="7" a="1"/>
  <c r="U15" i="7" s="1"/>
  <c r="T15" i="7" a="1"/>
  <c r="T15" i="7" s="1"/>
  <c r="S15" i="7" a="1"/>
  <c r="S15" i="7" s="1"/>
  <c r="R15" i="7" a="1"/>
  <c r="R15" i="7" s="1"/>
  <c r="Q15" i="7" a="1"/>
  <c r="Q15" i="7" s="1"/>
  <c r="P15" i="7" a="1"/>
  <c r="P15" i="7" s="1"/>
  <c r="O15" i="7" a="1"/>
  <c r="O15" i="7" s="1"/>
  <c r="N15" i="7" a="1"/>
  <c r="N15" i="7" s="1"/>
  <c r="H15" i="7" a="1"/>
  <c r="H15" i="7" s="1"/>
  <c r="F15" i="7"/>
  <c r="U14" i="7" a="1"/>
  <c r="U14" i="7" s="1"/>
  <c r="T14" i="7" a="1"/>
  <c r="T14" i="7" s="1"/>
  <c r="S14" i="7" a="1"/>
  <c r="S14" i="7" s="1"/>
  <c r="R14" i="7" a="1"/>
  <c r="R14" i="7" s="1"/>
  <c r="Q14" i="7" a="1"/>
  <c r="Q14" i="7" s="1"/>
  <c r="P14" i="7" a="1"/>
  <c r="P14" i="7" s="1"/>
  <c r="O14" i="7" a="1"/>
  <c r="O14" i="7" s="1"/>
  <c r="N14" i="7" a="1"/>
  <c r="N14" i="7" s="1"/>
  <c r="F14" i="7"/>
  <c r="U13" i="7" a="1"/>
  <c r="U13" i="7" s="1"/>
  <c r="T13" i="7" a="1"/>
  <c r="T13" i="7" s="1"/>
  <c r="S13" i="7" a="1"/>
  <c r="S13" i="7" s="1"/>
  <c r="R13" i="7" a="1"/>
  <c r="R13" i="7" s="1"/>
  <c r="Q13" i="7" a="1"/>
  <c r="Q13" i="7" s="1"/>
  <c r="P13" i="7" a="1"/>
  <c r="P13" i="7" s="1"/>
  <c r="O13" i="7" a="1"/>
  <c r="O13" i="7" s="1"/>
  <c r="N13" i="7" a="1"/>
  <c r="N13" i="7" s="1"/>
  <c r="H13" i="7" a="1"/>
  <c r="H13" i="7" s="1"/>
  <c r="F13" i="7"/>
  <c r="U12" i="7" a="1"/>
  <c r="U12" i="7" s="1"/>
  <c r="T12" i="7" a="1"/>
  <c r="T12" i="7" s="1"/>
  <c r="S12" i="7" a="1"/>
  <c r="S12" i="7" s="1"/>
  <c r="R12" i="7" a="1"/>
  <c r="R12" i="7" s="1"/>
  <c r="Q12" i="7" a="1"/>
  <c r="Q12" i="7" s="1"/>
  <c r="P12" i="7" a="1"/>
  <c r="P12" i="7" s="1"/>
  <c r="O12" i="7" a="1"/>
  <c r="O12" i="7" s="1"/>
  <c r="N12" i="7" a="1"/>
  <c r="N12" i="7" s="1"/>
  <c r="H12" i="7" a="1"/>
  <c r="H12" i="7" s="1"/>
  <c r="F12" i="7"/>
  <c r="U11" i="7" a="1"/>
  <c r="U11" i="7" s="1"/>
  <c r="T11" i="7" a="1"/>
  <c r="T11" i="7" s="1"/>
  <c r="S11" i="7" a="1"/>
  <c r="S11" i="7" s="1"/>
  <c r="R11" i="7" a="1"/>
  <c r="R11" i="7" s="1"/>
  <c r="Q11" i="7" a="1"/>
  <c r="Q11" i="7" s="1"/>
  <c r="P11" i="7" a="1"/>
  <c r="P11" i="7" s="1"/>
  <c r="O11" i="7" a="1"/>
  <c r="O11" i="7" s="1"/>
  <c r="N11" i="7" a="1"/>
  <c r="N11" i="7" s="1"/>
  <c r="F11" i="7"/>
  <c r="P4" i="7" s="1" a="1"/>
  <c r="P4" i="7" s="1"/>
  <c r="U10" i="7" a="1"/>
  <c r="U10" i="7" s="1"/>
  <c r="T10" i="7" a="1"/>
  <c r="T10" i="7" s="1"/>
  <c r="S10" i="7" a="1"/>
  <c r="S10" i="7" s="1"/>
  <c r="R10" i="7" a="1"/>
  <c r="R10" i="7" s="1"/>
  <c r="Q10" i="7" a="1"/>
  <c r="Q10" i="7" s="1"/>
  <c r="P10" i="7" a="1"/>
  <c r="P10" i="7" s="1"/>
  <c r="O10" i="7" a="1"/>
  <c r="O10" i="7" s="1"/>
  <c r="N10" i="7" a="1"/>
  <c r="N10" i="7" s="1"/>
  <c r="F10" i="7"/>
  <c r="U9" i="7" a="1"/>
  <c r="U9" i="7" s="1"/>
  <c r="T9" i="7" a="1"/>
  <c r="T9" i="7" s="1"/>
  <c r="S9" i="7" a="1"/>
  <c r="S9" i="7" s="1"/>
  <c r="R9" i="7" a="1"/>
  <c r="R9" i="7" s="1"/>
  <c r="Q9" i="7" a="1"/>
  <c r="Q9" i="7" s="1"/>
  <c r="P9" i="7" a="1"/>
  <c r="P9" i="7" s="1"/>
  <c r="O9" i="7" a="1"/>
  <c r="O9" i="7" s="1"/>
  <c r="N9" i="7" a="1"/>
  <c r="N9" i="7" s="1"/>
  <c r="H9" i="7" a="1"/>
  <c r="H9" i="7" s="1"/>
  <c r="F9" i="7"/>
  <c r="U8" i="7" a="1"/>
  <c r="U8" i="7" s="1"/>
  <c r="T8" i="7" a="1"/>
  <c r="T8" i="7" s="1"/>
  <c r="S8" i="7" a="1"/>
  <c r="S8" i="7" s="1"/>
  <c r="R8" i="7" a="1"/>
  <c r="R8" i="7" s="1"/>
  <c r="Q8" i="7" a="1"/>
  <c r="Q8" i="7" s="1"/>
  <c r="P8" i="7" a="1"/>
  <c r="P8" i="7" s="1"/>
  <c r="O8" i="7" a="1"/>
  <c r="O8" i="7" s="1"/>
  <c r="N8" i="7" a="1"/>
  <c r="N8" i="7" s="1"/>
  <c r="H8" i="7" a="1"/>
  <c r="H8" i="7" s="1"/>
  <c r="F8" i="7"/>
  <c r="H5" i="7" s="1" a="1"/>
  <c r="H5" i="7" s="1"/>
  <c r="U7" i="7" a="1"/>
  <c r="U7" i="7" s="1"/>
  <c r="T7" i="7" a="1"/>
  <c r="T7" i="7" s="1"/>
  <c r="S7" i="7" a="1"/>
  <c r="S7" i="7" s="1"/>
  <c r="R7" i="7" a="1"/>
  <c r="R7" i="7" s="1"/>
  <c r="Q7" i="7" a="1"/>
  <c r="Q7" i="7" s="1"/>
  <c r="P7" i="7" a="1"/>
  <c r="P7" i="7" s="1"/>
  <c r="O7" i="7" a="1"/>
  <c r="O7" i="7" s="1"/>
  <c r="N7" i="7" a="1"/>
  <c r="N7" i="7" s="1"/>
  <c r="H7" i="7" a="1"/>
  <c r="H7" i="7" s="1"/>
  <c r="F7" i="7"/>
  <c r="U6" i="7" a="1"/>
  <c r="U6" i="7" s="1"/>
  <c r="T6" i="7" a="1"/>
  <c r="T6" i="7" s="1"/>
  <c r="S6" i="7" a="1"/>
  <c r="S6" i="7" s="1"/>
  <c r="R6" i="7" a="1"/>
  <c r="R6" i="7" s="1"/>
  <c r="Q6" i="7" a="1"/>
  <c r="Q6" i="7" s="1"/>
  <c r="P6" i="7" a="1"/>
  <c r="P6" i="7" s="1"/>
  <c r="O6" i="7" a="1"/>
  <c r="O6" i="7" s="1"/>
  <c r="N6" i="7" a="1"/>
  <c r="N6" i="7" s="1"/>
  <c r="F6" i="7"/>
  <c r="U5" i="7" a="1"/>
  <c r="U5" i="7" s="1"/>
  <c r="T5" i="7" a="1"/>
  <c r="T5" i="7" s="1"/>
  <c r="S5" i="7" a="1"/>
  <c r="S5" i="7" s="1"/>
  <c r="R5" i="7" a="1"/>
  <c r="R5" i="7" s="1"/>
  <c r="Q5" i="7" a="1"/>
  <c r="Q5" i="7" s="1"/>
  <c r="P5" i="7" a="1"/>
  <c r="P5" i="7" s="1"/>
  <c r="O5" i="7" a="1"/>
  <c r="O5" i="7" s="1"/>
  <c r="F5" i="7"/>
  <c r="N5" i="7" s="1" a="1"/>
  <c r="N5" i="7" s="1"/>
  <c r="U4" i="7" a="1"/>
  <c r="U4" i="7" s="1"/>
  <c r="T4" i="7" a="1"/>
  <c r="T4" i="7" s="1"/>
  <c r="S4" i="7" a="1"/>
  <c r="S4" i="7" s="1"/>
  <c r="R4" i="7" a="1"/>
  <c r="R4" i="7" s="1"/>
  <c r="Q4" i="7" a="1"/>
  <c r="Q4" i="7" s="1"/>
  <c r="O4" i="7" a="1"/>
  <c r="O4" i="7" s="1"/>
  <c r="N4" i="7" a="1"/>
  <c r="N4" i="7" s="1"/>
  <c r="H4" i="7" a="1"/>
  <c r="H4" i="7" s="1"/>
  <c r="F4" i="7"/>
  <c r="H3" i="7" a="1"/>
  <c r="H3" i="7" s="1"/>
  <c r="F3" i="7"/>
  <c r="F2" i="7"/>
  <c r="O29" i="5"/>
  <c r="H81" i="5" a="1"/>
  <c r="H81" i="5" s="1"/>
  <c r="H80" i="5" a="1"/>
  <c r="H80" i="5" s="1"/>
  <c r="H79" i="5" a="1"/>
  <c r="H79" i="5" s="1"/>
  <c r="H77" i="5" a="1"/>
  <c r="H77" i="5" s="1"/>
  <c r="H76" i="5" a="1"/>
  <c r="H76" i="5" s="1"/>
  <c r="H75" i="5" a="1"/>
  <c r="H75" i="5" s="1"/>
  <c r="H73" i="5" a="1"/>
  <c r="H73" i="5" s="1"/>
  <c r="H72" i="5" a="1"/>
  <c r="H72" i="5" s="1"/>
  <c r="H71" i="5" a="1"/>
  <c r="H71" i="5" s="1"/>
  <c r="H69" i="5" a="1"/>
  <c r="H69" i="5" s="1"/>
  <c r="H68" i="5" a="1"/>
  <c r="H68" i="5" s="1"/>
  <c r="H67" i="5" a="1"/>
  <c r="H67" i="5" s="1"/>
  <c r="H65" i="5" a="1"/>
  <c r="H65" i="5" s="1"/>
  <c r="H64" i="5" a="1"/>
  <c r="H64" i="5" s="1"/>
  <c r="H63" i="5" a="1"/>
  <c r="H63" i="5" s="1"/>
  <c r="H61" i="5" a="1"/>
  <c r="H61" i="5" s="1"/>
  <c r="H60" i="5" a="1"/>
  <c r="H60" i="5" s="1"/>
  <c r="H59" i="5" a="1"/>
  <c r="H59" i="5" s="1"/>
  <c r="H57" i="5" a="1"/>
  <c r="H57" i="5" s="1"/>
  <c r="H56" i="5" a="1"/>
  <c r="H56" i="5" s="1"/>
  <c r="H55" i="5" a="1"/>
  <c r="H55" i="5" s="1"/>
  <c r="F55" i="5"/>
  <c r="F54" i="5"/>
  <c r="H53" i="5" a="1"/>
  <c r="H53" i="5" s="1"/>
  <c r="F53" i="5"/>
  <c r="H52" i="5" a="1"/>
  <c r="H52" i="5" s="1"/>
  <c r="F52" i="5"/>
  <c r="H51" i="5" a="1"/>
  <c r="H51" i="5" s="1"/>
  <c r="F51" i="5"/>
  <c r="F50" i="5"/>
  <c r="H49" i="5" a="1"/>
  <c r="H49" i="5" s="1"/>
  <c r="F49" i="5"/>
  <c r="H48" i="5" a="1"/>
  <c r="H48" i="5" s="1"/>
  <c r="F48" i="5"/>
  <c r="H47" i="5" a="1"/>
  <c r="H47" i="5" s="1"/>
  <c r="F47" i="5"/>
  <c r="F46" i="5"/>
  <c r="H45" i="5" a="1"/>
  <c r="H45" i="5" s="1"/>
  <c r="F45" i="5"/>
  <c r="H44" i="5" a="1"/>
  <c r="H44" i="5" s="1"/>
  <c r="F44" i="5"/>
  <c r="H43" i="5" a="1"/>
  <c r="H43" i="5" s="1"/>
  <c r="F43" i="5"/>
  <c r="F42" i="5"/>
  <c r="H41" i="5" a="1"/>
  <c r="H41" i="5" s="1"/>
  <c r="F41" i="5"/>
  <c r="H40" i="5" a="1"/>
  <c r="H40" i="5" s="1"/>
  <c r="F40" i="5"/>
  <c r="H39" i="5" a="1"/>
  <c r="H39" i="5" s="1"/>
  <c r="F39" i="5"/>
  <c r="F38" i="5"/>
  <c r="H37" i="5" a="1"/>
  <c r="H37" i="5" s="1"/>
  <c r="F37" i="5"/>
  <c r="H36" i="5" a="1"/>
  <c r="H36" i="5" s="1"/>
  <c r="F36" i="5"/>
  <c r="H35" i="5" a="1"/>
  <c r="H35" i="5" s="1"/>
  <c r="F35" i="5"/>
  <c r="F34" i="5"/>
  <c r="H33" i="5" a="1"/>
  <c r="H33" i="5" s="1"/>
  <c r="F33" i="5"/>
  <c r="H32" i="5" a="1"/>
  <c r="H32" i="5" s="1"/>
  <c r="F32" i="5"/>
  <c r="H31" i="5" a="1"/>
  <c r="H31" i="5" s="1"/>
  <c r="F31" i="5"/>
  <c r="F30" i="5"/>
  <c r="H29" i="5" a="1"/>
  <c r="H29" i="5" s="1"/>
  <c r="F29" i="5"/>
  <c r="H28" i="5" a="1"/>
  <c r="H28" i="5" s="1"/>
  <c r="F28" i="5"/>
  <c r="H27" i="5" a="1"/>
  <c r="H27" i="5" s="1"/>
  <c r="F27" i="5"/>
  <c r="F26" i="5"/>
  <c r="H25" i="5" a="1"/>
  <c r="H25" i="5" s="1"/>
  <c r="F25" i="5"/>
  <c r="H24" i="5" a="1"/>
  <c r="H24" i="5" s="1"/>
  <c r="F24" i="5"/>
  <c r="H23" i="5" a="1"/>
  <c r="H23" i="5" s="1"/>
  <c r="F23" i="5"/>
  <c r="F22" i="5"/>
  <c r="U21" i="5" a="1"/>
  <c r="U21" i="5" s="1"/>
  <c r="T21" i="5" a="1"/>
  <c r="T21" i="5" s="1"/>
  <c r="S21" i="5" a="1"/>
  <c r="S21" i="5" s="1"/>
  <c r="R21" i="5" a="1"/>
  <c r="R21" i="5" s="1"/>
  <c r="Q21" i="5" a="1"/>
  <c r="Q21" i="5" s="1"/>
  <c r="P21" i="5" a="1"/>
  <c r="P21" i="5" s="1"/>
  <c r="O21" i="5" a="1"/>
  <c r="O21" i="5" s="1"/>
  <c r="N21" i="5" a="1"/>
  <c r="N21" i="5" s="1"/>
  <c r="H21" i="5" a="1"/>
  <c r="H21" i="5" s="1"/>
  <c r="F21" i="5"/>
  <c r="U20" i="5" a="1"/>
  <c r="U20" i="5" s="1"/>
  <c r="T20" i="5" a="1"/>
  <c r="T20" i="5" s="1"/>
  <c r="S20" i="5" a="1"/>
  <c r="S20" i="5" s="1"/>
  <c r="R20" i="5" a="1"/>
  <c r="R20" i="5" s="1"/>
  <c r="Q20" i="5" a="1"/>
  <c r="Q20" i="5" s="1"/>
  <c r="P20" i="5" a="1"/>
  <c r="P20" i="5" s="1"/>
  <c r="O20" i="5" a="1"/>
  <c r="O20" i="5" s="1"/>
  <c r="N20" i="5" a="1"/>
  <c r="N20" i="5" s="1"/>
  <c r="H20" i="5" a="1"/>
  <c r="H20" i="5" s="1"/>
  <c r="F20" i="5"/>
  <c r="U19" i="5" a="1"/>
  <c r="U19" i="5" s="1"/>
  <c r="T19" i="5" a="1"/>
  <c r="T19" i="5" s="1"/>
  <c r="S19" i="5" a="1"/>
  <c r="S19" i="5" s="1"/>
  <c r="R19" i="5" a="1"/>
  <c r="R19" i="5" s="1"/>
  <c r="Q19" i="5" a="1"/>
  <c r="Q19" i="5" s="1"/>
  <c r="P19" i="5" a="1"/>
  <c r="P19" i="5" s="1"/>
  <c r="O19" i="5" a="1"/>
  <c r="O19" i="5" s="1"/>
  <c r="N19" i="5" a="1"/>
  <c r="N19" i="5" s="1"/>
  <c r="H19" i="5" a="1"/>
  <c r="H19" i="5" s="1"/>
  <c r="F19" i="5"/>
  <c r="U18" i="5" a="1"/>
  <c r="U18" i="5" s="1"/>
  <c r="T18" i="5" a="1"/>
  <c r="T18" i="5" s="1"/>
  <c r="S18" i="5" a="1"/>
  <c r="S18" i="5" s="1"/>
  <c r="R18" i="5" a="1"/>
  <c r="R18" i="5" s="1"/>
  <c r="Q18" i="5" a="1"/>
  <c r="Q18" i="5" s="1"/>
  <c r="P18" i="5" a="1"/>
  <c r="P18" i="5" s="1"/>
  <c r="O18" i="5" a="1"/>
  <c r="O18" i="5" s="1"/>
  <c r="N18" i="5" a="1"/>
  <c r="N18" i="5" s="1"/>
  <c r="F18" i="5"/>
  <c r="U17" i="5" a="1"/>
  <c r="U17" i="5" s="1"/>
  <c r="T17" i="5" a="1"/>
  <c r="T17" i="5" s="1"/>
  <c r="S17" i="5" a="1"/>
  <c r="S17" i="5" s="1"/>
  <c r="R17" i="5" a="1"/>
  <c r="R17" i="5" s="1"/>
  <c r="Q17" i="5" a="1"/>
  <c r="Q17" i="5" s="1"/>
  <c r="P17" i="5" a="1"/>
  <c r="P17" i="5" s="1"/>
  <c r="O17" i="5" a="1"/>
  <c r="O17" i="5" s="1"/>
  <c r="N17" i="5" a="1"/>
  <c r="N17" i="5" s="1"/>
  <c r="H17" i="5" a="1"/>
  <c r="H17" i="5" s="1"/>
  <c r="F17" i="5"/>
  <c r="U16" i="5" a="1"/>
  <c r="U16" i="5" s="1"/>
  <c r="T16" i="5" a="1"/>
  <c r="T16" i="5" s="1"/>
  <c r="S16" i="5" a="1"/>
  <c r="S16" i="5" s="1"/>
  <c r="R16" i="5" a="1"/>
  <c r="R16" i="5" s="1"/>
  <c r="Q16" i="5" a="1"/>
  <c r="Q16" i="5" s="1"/>
  <c r="P16" i="5" a="1"/>
  <c r="P16" i="5" s="1"/>
  <c r="O16" i="5" a="1"/>
  <c r="O16" i="5" s="1"/>
  <c r="N16" i="5" a="1"/>
  <c r="N16" i="5" s="1"/>
  <c r="H16" i="5" a="1"/>
  <c r="H16" i="5" s="1"/>
  <c r="F16" i="5"/>
  <c r="U15" i="5" a="1"/>
  <c r="U15" i="5" s="1"/>
  <c r="T15" i="5" a="1"/>
  <c r="T15" i="5" s="1"/>
  <c r="S15" i="5" a="1"/>
  <c r="S15" i="5" s="1"/>
  <c r="R15" i="5" a="1"/>
  <c r="R15" i="5" s="1"/>
  <c r="Q15" i="5" a="1"/>
  <c r="Q15" i="5" s="1"/>
  <c r="P15" i="5" a="1"/>
  <c r="P15" i="5" s="1"/>
  <c r="O15" i="5" a="1"/>
  <c r="O15" i="5" s="1"/>
  <c r="N15" i="5" a="1"/>
  <c r="N15" i="5" s="1"/>
  <c r="H15" i="5" a="1"/>
  <c r="H15" i="5" s="1"/>
  <c r="F15" i="5"/>
  <c r="U14" i="5" a="1"/>
  <c r="U14" i="5" s="1"/>
  <c r="T14" i="5" a="1"/>
  <c r="T14" i="5" s="1"/>
  <c r="S14" i="5" a="1"/>
  <c r="S14" i="5" s="1"/>
  <c r="R14" i="5" a="1"/>
  <c r="R14" i="5" s="1"/>
  <c r="Q14" i="5" a="1"/>
  <c r="Q14" i="5" s="1"/>
  <c r="P14" i="5" a="1"/>
  <c r="P14" i="5" s="1"/>
  <c r="O14" i="5" a="1"/>
  <c r="O14" i="5" s="1"/>
  <c r="N14" i="5" a="1"/>
  <c r="N14" i="5" s="1"/>
  <c r="F14" i="5"/>
  <c r="U13" i="5" a="1"/>
  <c r="U13" i="5" s="1"/>
  <c r="T13" i="5" a="1"/>
  <c r="T13" i="5" s="1"/>
  <c r="S13" i="5" a="1"/>
  <c r="S13" i="5" s="1"/>
  <c r="R13" i="5" a="1"/>
  <c r="R13" i="5" s="1"/>
  <c r="Q13" i="5" a="1"/>
  <c r="Q13" i="5" s="1"/>
  <c r="P13" i="5" a="1"/>
  <c r="P13" i="5" s="1"/>
  <c r="O13" i="5" a="1"/>
  <c r="O13" i="5" s="1"/>
  <c r="N13" i="5" a="1"/>
  <c r="N13" i="5" s="1"/>
  <c r="H13" i="5" a="1"/>
  <c r="H13" i="5" s="1"/>
  <c r="F13" i="5"/>
  <c r="U12" i="5" a="1"/>
  <c r="U12" i="5" s="1"/>
  <c r="T12" i="5" a="1"/>
  <c r="T12" i="5" s="1"/>
  <c r="S12" i="5" a="1"/>
  <c r="S12" i="5" s="1"/>
  <c r="R12" i="5" a="1"/>
  <c r="R12" i="5" s="1"/>
  <c r="Q12" i="5" a="1"/>
  <c r="Q12" i="5" s="1"/>
  <c r="P12" i="5" a="1"/>
  <c r="P12" i="5" s="1"/>
  <c r="O12" i="5" a="1"/>
  <c r="O12" i="5" s="1"/>
  <c r="N12" i="5" a="1"/>
  <c r="N12" i="5" s="1"/>
  <c r="H12" i="5" a="1"/>
  <c r="H12" i="5" s="1"/>
  <c r="F12" i="5"/>
  <c r="U11" i="5" a="1"/>
  <c r="U11" i="5" s="1"/>
  <c r="T11" i="5" a="1"/>
  <c r="T11" i="5" s="1"/>
  <c r="S11" i="5" a="1"/>
  <c r="S11" i="5" s="1"/>
  <c r="R11" i="5" a="1"/>
  <c r="R11" i="5" s="1"/>
  <c r="Q11" i="5" a="1"/>
  <c r="Q11" i="5" s="1"/>
  <c r="P11" i="5" a="1"/>
  <c r="P11" i="5" s="1"/>
  <c r="O11" i="5" a="1"/>
  <c r="O11" i="5" s="1"/>
  <c r="N11" i="5" a="1"/>
  <c r="N11" i="5" s="1"/>
  <c r="F11" i="5"/>
  <c r="H11" i="5" s="1" a="1"/>
  <c r="H11" i="5" s="1"/>
  <c r="U10" i="5" a="1"/>
  <c r="U10" i="5" s="1"/>
  <c r="T10" i="5" a="1"/>
  <c r="T10" i="5" s="1"/>
  <c r="S10" i="5" a="1"/>
  <c r="S10" i="5" s="1"/>
  <c r="R10" i="5" a="1"/>
  <c r="R10" i="5" s="1"/>
  <c r="Q10" i="5" a="1"/>
  <c r="Q10" i="5" s="1"/>
  <c r="P10" i="5" a="1"/>
  <c r="P10" i="5" s="1"/>
  <c r="O10" i="5" a="1"/>
  <c r="O10" i="5" s="1"/>
  <c r="N10" i="5" a="1"/>
  <c r="N10" i="5" s="1"/>
  <c r="F10" i="5"/>
  <c r="U9" i="5" a="1"/>
  <c r="U9" i="5" s="1"/>
  <c r="T9" i="5" a="1"/>
  <c r="T9" i="5" s="1"/>
  <c r="S9" i="5" a="1"/>
  <c r="S9" i="5" s="1"/>
  <c r="R9" i="5" a="1"/>
  <c r="R9" i="5" s="1"/>
  <c r="Q9" i="5" a="1"/>
  <c r="Q9" i="5" s="1"/>
  <c r="P9" i="5" a="1"/>
  <c r="P9" i="5" s="1"/>
  <c r="O9" i="5" a="1"/>
  <c r="O9" i="5" s="1"/>
  <c r="N9" i="5" a="1"/>
  <c r="N9" i="5" s="1"/>
  <c r="H9" i="5" a="1"/>
  <c r="H9" i="5" s="1"/>
  <c r="F9" i="5"/>
  <c r="U8" i="5" a="1"/>
  <c r="U8" i="5" s="1"/>
  <c r="T8" i="5" a="1"/>
  <c r="T8" i="5" s="1"/>
  <c r="S8" i="5" a="1"/>
  <c r="S8" i="5" s="1"/>
  <c r="R8" i="5" a="1"/>
  <c r="R8" i="5" s="1"/>
  <c r="Q8" i="5" a="1"/>
  <c r="Q8" i="5" s="1"/>
  <c r="P8" i="5" a="1"/>
  <c r="P8" i="5" s="1"/>
  <c r="O8" i="5" a="1"/>
  <c r="O8" i="5" s="1"/>
  <c r="N8" i="5" a="1"/>
  <c r="N8" i="5" s="1"/>
  <c r="H8" i="5" a="1"/>
  <c r="H8" i="5" s="1"/>
  <c r="F8" i="5"/>
  <c r="U7" i="5" a="1"/>
  <c r="U7" i="5" s="1"/>
  <c r="T7" i="5" a="1"/>
  <c r="T7" i="5" s="1"/>
  <c r="S7" i="5" a="1"/>
  <c r="S7" i="5" s="1"/>
  <c r="R7" i="5" a="1"/>
  <c r="R7" i="5" s="1"/>
  <c r="Q7" i="5" a="1"/>
  <c r="Q7" i="5" s="1"/>
  <c r="P7" i="5" a="1"/>
  <c r="P7" i="5" s="1"/>
  <c r="O7" i="5" a="1"/>
  <c r="O7" i="5" s="1"/>
  <c r="N7" i="5" a="1"/>
  <c r="N7" i="5" s="1"/>
  <c r="H7" i="5" a="1"/>
  <c r="H7" i="5" s="1"/>
  <c r="F7" i="5"/>
  <c r="U6" i="5" a="1"/>
  <c r="U6" i="5" s="1"/>
  <c r="T6" i="5" a="1"/>
  <c r="T6" i="5" s="1"/>
  <c r="S6" i="5" a="1"/>
  <c r="S6" i="5" s="1"/>
  <c r="R6" i="5" a="1"/>
  <c r="R6" i="5" s="1"/>
  <c r="Q6" i="5" a="1"/>
  <c r="Q6" i="5" s="1"/>
  <c r="P6" i="5" a="1"/>
  <c r="P6" i="5" s="1"/>
  <c r="O6" i="5" a="1"/>
  <c r="O6" i="5" s="1"/>
  <c r="N6" i="5" a="1"/>
  <c r="N6" i="5" s="1"/>
  <c r="F6" i="5"/>
  <c r="U5" i="5" a="1"/>
  <c r="U5" i="5" s="1"/>
  <c r="T5" i="5" a="1"/>
  <c r="T5" i="5" s="1"/>
  <c r="S5" i="5" a="1"/>
  <c r="S5" i="5" s="1"/>
  <c r="R5" i="5" a="1"/>
  <c r="R5" i="5" s="1"/>
  <c r="Q5" i="5" a="1"/>
  <c r="Q5" i="5" s="1"/>
  <c r="P5" i="5" a="1"/>
  <c r="P5" i="5" s="1"/>
  <c r="O5" i="5" a="1"/>
  <c r="O5" i="5" s="1"/>
  <c r="N5" i="5" a="1"/>
  <c r="N5" i="5" s="1"/>
  <c r="H5" i="5" a="1"/>
  <c r="H5" i="5" s="1"/>
  <c r="F5" i="5"/>
  <c r="U4" i="5" a="1"/>
  <c r="U4" i="5" s="1"/>
  <c r="T4" i="5" a="1"/>
  <c r="T4" i="5" s="1"/>
  <c r="S4" i="5" a="1"/>
  <c r="S4" i="5" s="1"/>
  <c r="R4" i="5" a="1"/>
  <c r="R4" i="5" s="1"/>
  <c r="Q4" i="5" a="1"/>
  <c r="Q4" i="5" s="1"/>
  <c r="O4" i="5" a="1"/>
  <c r="O4" i="5" s="1"/>
  <c r="N4" i="5" a="1"/>
  <c r="N4" i="5" s="1"/>
  <c r="H4" i="5" a="1"/>
  <c r="H4" i="5" s="1"/>
  <c r="F4" i="5"/>
  <c r="F3" i="5"/>
  <c r="F2" i="5"/>
  <c r="H3" i="5" s="1" a="1"/>
  <c r="H3" i="5" s="1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31" i="3"/>
  <c r="F30" i="3"/>
  <c r="F29" i="3"/>
  <c r="H81" i="3" a="1"/>
  <c r="H81" i="3" s="1"/>
  <c r="H80" i="3" a="1"/>
  <c r="H80" i="3" s="1"/>
  <c r="H79" i="3" a="1"/>
  <c r="H79" i="3" s="1"/>
  <c r="H77" i="3" a="1"/>
  <c r="H77" i="3" s="1"/>
  <c r="H76" i="3" a="1"/>
  <c r="H76" i="3" s="1"/>
  <c r="H75" i="3" a="1"/>
  <c r="H75" i="3" s="1"/>
  <c r="H73" i="3" a="1"/>
  <c r="H73" i="3" s="1"/>
  <c r="H72" i="3" a="1"/>
  <c r="H72" i="3" s="1"/>
  <c r="H71" i="3" a="1"/>
  <c r="H71" i="3" s="1"/>
  <c r="H69" i="3" a="1"/>
  <c r="H69" i="3" s="1"/>
  <c r="H32" i="3" a="1"/>
  <c r="H32" i="3" s="1"/>
  <c r="H68" i="3" a="1"/>
  <c r="H68" i="3" s="1"/>
  <c r="H67" i="3" a="1"/>
  <c r="H67" i="3" s="1"/>
  <c r="H65" i="3" a="1"/>
  <c r="H65" i="3" s="1"/>
  <c r="H64" i="3" a="1"/>
  <c r="H64" i="3" s="1"/>
  <c r="H63" i="3" a="1"/>
  <c r="H63" i="3" s="1"/>
  <c r="H61" i="3" a="1"/>
  <c r="H61" i="3" s="1"/>
  <c r="H60" i="3" a="1"/>
  <c r="H60" i="3" s="1"/>
  <c r="H59" i="3" a="1"/>
  <c r="H59" i="3" s="1"/>
  <c r="H57" i="3" a="1"/>
  <c r="H57" i="3" s="1"/>
  <c r="H56" i="3" a="1"/>
  <c r="H56" i="3" s="1"/>
  <c r="H55" i="3" a="1"/>
  <c r="H55" i="3" s="1"/>
  <c r="H53" i="3" a="1"/>
  <c r="H53" i="3" s="1"/>
  <c r="H52" i="3" a="1"/>
  <c r="H52" i="3" s="1"/>
  <c r="H51" i="3" a="1"/>
  <c r="H51" i="3" s="1"/>
  <c r="H49" i="3" a="1"/>
  <c r="H49" i="3" s="1"/>
  <c r="H48" i="3" a="1"/>
  <c r="H48" i="3" s="1"/>
  <c r="H47" i="3" a="1"/>
  <c r="H47" i="3" s="1"/>
  <c r="H45" i="3" a="1"/>
  <c r="H45" i="3" s="1"/>
  <c r="H44" i="3" a="1"/>
  <c r="H44" i="3" s="1"/>
  <c r="H43" i="3" a="1"/>
  <c r="H43" i="3" s="1"/>
  <c r="H41" i="3" a="1"/>
  <c r="H41" i="3" s="1"/>
  <c r="H40" i="3" a="1"/>
  <c r="H40" i="3" s="1"/>
  <c r="H39" i="3" a="1"/>
  <c r="H39" i="3" s="1"/>
  <c r="H37" i="3" a="1"/>
  <c r="H37" i="3" s="1"/>
  <c r="H36" i="3" a="1"/>
  <c r="H36" i="3" s="1"/>
  <c r="H35" i="3" a="1"/>
  <c r="H35" i="3" s="1"/>
  <c r="H33" i="3" a="1"/>
  <c r="H33" i="3" s="1"/>
  <c r="H28" i="3" a="1"/>
  <c r="H28" i="3" s="1"/>
  <c r="H31" i="3" a="1"/>
  <c r="H31" i="3" s="1"/>
  <c r="H27" i="3" a="1"/>
  <c r="H27" i="3" s="1"/>
  <c r="H29" i="3" a="1"/>
  <c r="H29" i="3" s="1"/>
  <c r="F28" i="3"/>
  <c r="H21" i="3" s="1" a="1"/>
  <c r="H21" i="3" s="1"/>
  <c r="F27" i="3"/>
  <c r="F26" i="3"/>
  <c r="H25" i="3" a="1"/>
  <c r="H25" i="3" s="1"/>
  <c r="F25" i="3"/>
  <c r="H24" i="3" a="1"/>
  <c r="H24" i="3" s="1"/>
  <c r="F24" i="3"/>
  <c r="H23" i="3" a="1"/>
  <c r="H23" i="3" s="1"/>
  <c r="F23" i="3"/>
  <c r="F22" i="3"/>
  <c r="U21" i="3" a="1"/>
  <c r="U21" i="3" s="1"/>
  <c r="T21" i="3" a="1"/>
  <c r="T21" i="3" s="1"/>
  <c r="S21" i="3" a="1"/>
  <c r="S21" i="3" s="1"/>
  <c r="R21" i="3" a="1"/>
  <c r="R21" i="3" s="1"/>
  <c r="Q21" i="3" a="1"/>
  <c r="Q21" i="3" s="1"/>
  <c r="P21" i="3" a="1"/>
  <c r="P21" i="3" s="1"/>
  <c r="O21" i="3" a="1"/>
  <c r="O21" i="3" s="1"/>
  <c r="N21" i="3" a="1"/>
  <c r="N21" i="3" s="1"/>
  <c r="F21" i="3"/>
  <c r="H19" i="3" s="1" a="1"/>
  <c r="H19" i="3" s="1"/>
  <c r="U20" i="3" a="1"/>
  <c r="U20" i="3" s="1"/>
  <c r="T20" i="3" a="1"/>
  <c r="T20" i="3" s="1"/>
  <c r="S20" i="3" a="1"/>
  <c r="S20" i="3" s="1"/>
  <c r="R20" i="3" a="1"/>
  <c r="R20" i="3" s="1"/>
  <c r="Q20" i="3" a="1"/>
  <c r="Q20" i="3" s="1"/>
  <c r="P20" i="3" a="1"/>
  <c r="P20" i="3" s="1"/>
  <c r="O20" i="3" a="1"/>
  <c r="O20" i="3" s="1"/>
  <c r="N20" i="3" a="1"/>
  <c r="N20" i="3" s="1"/>
  <c r="H20" i="3" a="1"/>
  <c r="H20" i="3" s="1"/>
  <c r="F20" i="3"/>
  <c r="U19" i="3" a="1"/>
  <c r="U19" i="3" s="1"/>
  <c r="T19" i="3" a="1"/>
  <c r="T19" i="3" s="1"/>
  <c r="S19" i="3" a="1"/>
  <c r="S19" i="3" s="1"/>
  <c r="R19" i="3" a="1"/>
  <c r="R19" i="3" s="1"/>
  <c r="Q19" i="3" a="1"/>
  <c r="Q19" i="3" s="1"/>
  <c r="P19" i="3" a="1"/>
  <c r="P19" i="3" s="1"/>
  <c r="O19" i="3" a="1"/>
  <c r="O19" i="3" s="1"/>
  <c r="N19" i="3" a="1"/>
  <c r="N19" i="3" s="1"/>
  <c r="F19" i="3"/>
  <c r="U18" i="3" a="1"/>
  <c r="U18" i="3" s="1"/>
  <c r="T18" i="3" a="1"/>
  <c r="T18" i="3" s="1"/>
  <c r="S18" i="3" a="1"/>
  <c r="S18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F18" i="3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H17" i="3" a="1"/>
  <c r="H17" i="3" s="1"/>
  <c r="F17" i="3"/>
  <c r="U16" i="3" a="1"/>
  <c r="U16" i="3" s="1"/>
  <c r="T16" i="3" a="1"/>
  <c r="T16" i="3" s="1"/>
  <c r="S16" i="3" a="1"/>
  <c r="S16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H16" i="3" a="1"/>
  <c r="H16" i="3" s="1"/>
  <c r="F16" i="3"/>
  <c r="U15" i="3" a="1"/>
  <c r="U15" i="3" s="1"/>
  <c r="T15" i="3" a="1"/>
  <c r="T15" i="3" s="1"/>
  <c r="S15" i="3" a="1"/>
  <c r="S15" i="3" s="1"/>
  <c r="R15" i="3" a="1"/>
  <c r="R15" i="3" s="1"/>
  <c r="Q15" i="3" a="1"/>
  <c r="Q15" i="3" s="1"/>
  <c r="P15" i="3" a="1"/>
  <c r="P15" i="3" s="1"/>
  <c r="O15" i="3" a="1"/>
  <c r="O15" i="3" s="1"/>
  <c r="N15" i="3" a="1"/>
  <c r="N15" i="3" s="1"/>
  <c r="H15" i="3" a="1"/>
  <c r="H15" i="3" s="1"/>
  <c r="F15" i="3"/>
  <c r="U14" i="3" a="1"/>
  <c r="U14" i="3" s="1"/>
  <c r="T14" i="3" a="1"/>
  <c r="T14" i="3" s="1"/>
  <c r="S14" i="3" a="1"/>
  <c r="S14" i="3" s="1"/>
  <c r="R14" i="3" a="1"/>
  <c r="R14" i="3" s="1"/>
  <c r="Q14" i="3" a="1"/>
  <c r="Q14" i="3" s="1"/>
  <c r="P14" i="3" a="1"/>
  <c r="P14" i="3" s="1"/>
  <c r="O14" i="3" a="1"/>
  <c r="O14" i="3" s="1"/>
  <c r="N14" i="3" a="1"/>
  <c r="N14" i="3" s="1"/>
  <c r="F14" i="3"/>
  <c r="U13" i="3" a="1"/>
  <c r="U13" i="3" s="1"/>
  <c r="T13" i="3" a="1"/>
  <c r="T13" i="3" s="1"/>
  <c r="S13" i="3" a="1"/>
  <c r="S13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H13" i="3" a="1"/>
  <c r="H13" i="3" s="1"/>
  <c r="F13" i="3"/>
  <c r="U12" i="3" a="1"/>
  <c r="U12" i="3" s="1"/>
  <c r="T12" i="3" a="1"/>
  <c r="T12" i="3" s="1"/>
  <c r="S12" i="3" a="1"/>
  <c r="S12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H12" i="3" a="1"/>
  <c r="H12" i="3" s="1"/>
  <c r="F12" i="3"/>
  <c r="U11" i="3" a="1"/>
  <c r="U11" i="3" s="1"/>
  <c r="T11" i="3" a="1"/>
  <c r="T11" i="3" s="1"/>
  <c r="S11" i="3" a="1"/>
  <c r="S11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H11" i="3" a="1"/>
  <c r="H11" i="3" s="1"/>
  <c r="F11" i="3"/>
  <c r="U10" i="3" a="1"/>
  <c r="U10" i="3" s="1"/>
  <c r="T10" i="3" a="1"/>
  <c r="T10" i="3" s="1"/>
  <c r="S10" i="3" a="1"/>
  <c r="S10" i="3" s="1"/>
  <c r="R10" i="3" a="1"/>
  <c r="R10" i="3" s="1"/>
  <c r="Q10" i="3" a="1"/>
  <c r="Q10" i="3" s="1"/>
  <c r="P10" i="3" a="1"/>
  <c r="P10" i="3" s="1"/>
  <c r="O10" i="3" a="1"/>
  <c r="O10" i="3" s="1"/>
  <c r="N10" i="3" a="1"/>
  <c r="N10" i="3" s="1"/>
  <c r="F10" i="3"/>
  <c r="U9" i="3" a="1"/>
  <c r="U9" i="3" s="1"/>
  <c r="T9" i="3" a="1"/>
  <c r="T9" i="3" s="1"/>
  <c r="S9" i="3" a="1"/>
  <c r="S9" i="3" s="1"/>
  <c r="R9" i="3" a="1"/>
  <c r="R9" i="3" s="1"/>
  <c r="Q9" i="3" a="1"/>
  <c r="Q9" i="3" s="1"/>
  <c r="P9" i="3" a="1"/>
  <c r="P9" i="3" s="1"/>
  <c r="O9" i="3" a="1"/>
  <c r="O9" i="3" s="1"/>
  <c r="N9" i="3" a="1"/>
  <c r="N9" i="3" s="1"/>
  <c r="H9" i="3" a="1"/>
  <c r="H9" i="3" s="1"/>
  <c r="F9" i="3"/>
  <c r="N6" i="3" s="1" a="1"/>
  <c r="N6" i="3" s="1"/>
  <c r="U8" i="3" a="1"/>
  <c r="U8" i="3" s="1"/>
  <c r="T8" i="3" a="1"/>
  <c r="T8" i="3" s="1"/>
  <c r="S8" i="3" a="1"/>
  <c r="S8" i="3" s="1"/>
  <c r="R8" i="3" a="1"/>
  <c r="R8" i="3" s="1"/>
  <c r="Q8" i="3" a="1"/>
  <c r="Q8" i="3" s="1"/>
  <c r="P8" i="3" a="1"/>
  <c r="P8" i="3" s="1"/>
  <c r="O8" i="3" a="1"/>
  <c r="O8" i="3" s="1"/>
  <c r="N8" i="3" a="1"/>
  <c r="N8" i="3" s="1"/>
  <c r="H8" i="3" a="1"/>
  <c r="H8" i="3" s="1"/>
  <c r="F8" i="3"/>
  <c r="U7" i="3" a="1"/>
  <c r="U7" i="3" s="1"/>
  <c r="T7" i="3" a="1"/>
  <c r="T7" i="3" s="1"/>
  <c r="S7" i="3" a="1"/>
  <c r="S7" i="3" s="1"/>
  <c r="R7" i="3" a="1"/>
  <c r="R7" i="3" s="1"/>
  <c r="Q7" i="3" a="1"/>
  <c r="Q7" i="3" s="1"/>
  <c r="P7" i="3" a="1"/>
  <c r="P7" i="3" s="1"/>
  <c r="O7" i="3" a="1"/>
  <c r="O7" i="3" s="1"/>
  <c r="N7" i="3" a="1"/>
  <c r="N7" i="3" s="1"/>
  <c r="H7" i="3" a="1"/>
  <c r="H7" i="3" s="1"/>
  <c r="F7" i="3"/>
  <c r="U6" i="3" a="1"/>
  <c r="U6" i="3" s="1"/>
  <c r="T6" i="3" a="1"/>
  <c r="T6" i="3" s="1"/>
  <c r="S6" i="3" a="1"/>
  <c r="S6" i="3" s="1"/>
  <c r="R6" i="3" a="1"/>
  <c r="R6" i="3" s="1"/>
  <c r="Q6" i="3" a="1"/>
  <c r="Q6" i="3" s="1"/>
  <c r="P6" i="3" a="1"/>
  <c r="P6" i="3" s="1"/>
  <c r="O6" i="3" a="1"/>
  <c r="O6" i="3" s="1"/>
  <c r="F6" i="3"/>
  <c r="U5" i="3" a="1"/>
  <c r="U5" i="3" s="1"/>
  <c r="T5" i="3" a="1"/>
  <c r="T5" i="3" s="1"/>
  <c r="S5" i="3" a="1"/>
  <c r="S5" i="3" s="1"/>
  <c r="R5" i="3" a="1"/>
  <c r="R5" i="3" s="1"/>
  <c r="Q5" i="3" a="1"/>
  <c r="Q5" i="3" s="1"/>
  <c r="P5" i="3" a="1"/>
  <c r="P5" i="3" s="1"/>
  <c r="O5" i="3" a="1"/>
  <c r="O5" i="3" s="1"/>
  <c r="N5" i="3" a="1"/>
  <c r="N5" i="3" s="1"/>
  <c r="H5" i="3" a="1"/>
  <c r="H5" i="3" s="1"/>
  <c r="F5" i="3"/>
  <c r="U4" i="3" a="1"/>
  <c r="U4" i="3" s="1"/>
  <c r="T4" i="3" a="1"/>
  <c r="T4" i="3" s="1"/>
  <c r="S4" i="3" a="1"/>
  <c r="S4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H4" i="3" a="1"/>
  <c r="H4" i="3" s="1"/>
  <c r="F4" i="3"/>
  <c r="F3" i="3"/>
  <c r="H3" i="3" s="1" a="1"/>
  <c r="H3" i="3" s="1"/>
  <c r="F2" i="3"/>
  <c r="I17" i="8" l="1"/>
  <c r="H3" i="8" a="1"/>
  <c r="H3" i="8" s="1"/>
  <c r="J5" i="8" s="1"/>
  <c r="J37" i="8"/>
  <c r="O25" i="8"/>
  <c r="U25" i="8"/>
  <c r="J61" i="8"/>
  <c r="I61" i="8"/>
  <c r="P25" i="8"/>
  <c r="P23" i="8"/>
  <c r="J29" i="8"/>
  <c r="I29" i="8"/>
  <c r="J13" i="8"/>
  <c r="I13" i="8"/>
  <c r="J45" i="8"/>
  <c r="I45" i="8"/>
  <c r="N25" i="8"/>
  <c r="N23" i="8"/>
  <c r="R25" i="8"/>
  <c r="R23" i="8"/>
  <c r="J41" i="8"/>
  <c r="I41" i="8"/>
  <c r="J49" i="8"/>
  <c r="I49" i="8"/>
  <c r="J53" i="8"/>
  <c r="I53" i="8"/>
  <c r="I25" i="8"/>
  <c r="J25" i="8"/>
  <c r="J57" i="8"/>
  <c r="I57" i="8"/>
  <c r="J65" i="8"/>
  <c r="I65" i="8"/>
  <c r="J73" i="8"/>
  <c r="I73" i="8"/>
  <c r="J81" i="8"/>
  <c r="I81" i="8"/>
  <c r="J77" i="8"/>
  <c r="I77" i="8"/>
  <c r="Q25" i="8"/>
  <c r="Q23" i="8"/>
  <c r="I9" i="8"/>
  <c r="T25" i="8"/>
  <c r="T23" i="8"/>
  <c r="J69" i="8"/>
  <c r="I69" i="8"/>
  <c r="J33" i="8"/>
  <c r="I33" i="8"/>
  <c r="S25" i="8"/>
  <c r="J21" i="8"/>
  <c r="I21" i="8"/>
  <c r="J9" i="8"/>
  <c r="J17" i="8"/>
  <c r="S23" i="8"/>
  <c r="U23" i="8"/>
  <c r="I37" i="8"/>
  <c r="O23" i="8"/>
  <c r="J65" i="7"/>
  <c r="I65" i="7"/>
  <c r="J77" i="7"/>
  <c r="I77" i="7"/>
  <c r="O25" i="7"/>
  <c r="O23" i="7"/>
  <c r="Q25" i="7"/>
  <c r="J61" i="7"/>
  <c r="I61" i="7"/>
  <c r="R25" i="7"/>
  <c r="R23" i="7"/>
  <c r="J5" i="7"/>
  <c r="I5" i="7"/>
  <c r="S25" i="7"/>
  <c r="S23" i="7"/>
  <c r="T25" i="7"/>
  <c r="T23" i="7"/>
  <c r="J21" i="7"/>
  <c r="I21" i="7"/>
  <c r="N25" i="7"/>
  <c r="N23" i="7"/>
  <c r="U25" i="7"/>
  <c r="J29" i="7"/>
  <c r="J33" i="7"/>
  <c r="I33" i="7"/>
  <c r="J37" i="7"/>
  <c r="I37" i="7"/>
  <c r="J41" i="7"/>
  <c r="I41" i="7"/>
  <c r="J45" i="7"/>
  <c r="I45" i="7"/>
  <c r="J49" i="7"/>
  <c r="I49" i="7"/>
  <c r="J53" i="7"/>
  <c r="I53" i="7"/>
  <c r="J57" i="7"/>
  <c r="I57" i="7"/>
  <c r="I9" i="7"/>
  <c r="J9" i="7"/>
  <c r="I25" i="7"/>
  <c r="J25" i="7"/>
  <c r="J69" i="7"/>
  <c r="I69" i="7"/>
  <c r="I17" i="7"/>
  <c r="J17" i="7"/>
  <c r="J81" i="7"/>
  <c r="I81" i="7"/>
  <c r="P25" i="7"/>
  <c r="P23" i="7"/>
  <c r="J73" i="7"/>
  <c r="I73" i="7"/>
  <c r="Q23" i="7"/>
  <c r="H11" i="7" a="1"/>
  <c r="H11" i="7" s="1"/>
  <c r="U23" i="7"/>
  <c r="I29" i="7"/>
  <c r="J17" i="5"/>
  <c r="J13" i="5"/>
  <c r="I13" i="5"/>
  <c r="O25" i="5"/>
  <c r="O23" i="5"/>
  <c r="T25" i="5"/>
  <c r="T23" i="5"/>
  <c r="I9" i="5"/>
  <c r="Q25" i="5"/>
  <c r="Q23" i="5"/>
  <c r="U25" i="5"/>
  <c r="U23" i="5"/>
  <c r="R25" i="5"/>
  <c r="R23" i="5"/>
  <c r="N25" i="5"/>
  <c r="N23" i="5"/>
  <c r="I5" i="5"/>
  <c r="J5" i="5"/>
  <c r="S25" i="5"/>
  <c r="S23" i="5"/>
  <c r="P4" i="5" a="1"/>
  <c r="P4" i="5" s="1"/>
  <c r="J9" i="5"/>
  <c r="I17" i="5"/>
  <c r="J69" i="5"/>
  <c r="I69" i="5"/>
  <c r="J65" i="5"/>
  <c r="I65" i="5"/>
  <c r="J81" i="5"/>
  <c r="I81" i="5"/>
  <c r="J21" i="5"/>
  <c r="I21" i="5"/>
  <c r="J61" i="5"/>
  <c r="I61" i="5"/>
  <c r="J77" i="5"/>
  <c r="I77" i="5"/>
  <c r="J25" i="5"/>
  <c r="I25" i="5"/>
  <c r="J29" i="5"/>
  <c r="I29" i="5"/>
  <c r="J33" i="5"/>
  <c r="I33" i="5"/>
  <c r="J37" i="5"/>
  <c r="I37" i="5"/>
  <c r="J41" i="5"/>
  <c r="I41" i="5"/>
  <c r="J45" i="5"/>
  <c r="I45" i="5"/>
  <c r="J49" i="5"/>
  <c r="I49" i="5"/>
  <c r="J53" i="5"/>
  <c r="I53" i="5"/>
  <c r="J57" i="5"/>
  <c r="I57" i="5"/>
  <c r="J73" i="5"/>
  <c r="I73" i="5"/>
  <c r="P25" i="3"/>
  <c r="P23" i="3"/>
  <c r="S25" i="3"/>
  <c r="S23" i="3"/>
  <c r="Q25" i="3"/>
  <c r="Q23" i="3"/>
  <c r="I9" i="3"/>
  <c r="N25" i="3"/>
  <c r="N23" i="3"/>
  <c r="I5" i="3"/>
  <c r="J5" i="3"/>
  <c r="O25" i="3"/>
  <c r="O23" i="3"/>
  <c r="J9" i="3"/>
  <c r="J13" i="3"/>
  <c r="J33" i="3"/>
  <c r="I33" i="3"/>
  <c r="J37" i="3"/>
  <c r="I37" i="3"/>
  <c r="J53" i="3"/>
  <c r="I53" i="3"/>
  <c r="J57" i="3"/>
  <c r="I57" i="3"/>
  <c r="J61" i="3"/>
  <c r="I61" i="3"/>
  <c r="J65" i="3"/>
  <c r="I65" i="3"/>
  <c r="J69" i="3"/>
  <c r="I69" i="3"/>
  <c r="J73" i="3"/>
  <c r="I73" i="3"/>
  <c r="R25" i="3"/>
  <c r="R23" i="3"/>
  <c r="T25" i="3"/>
  <c r="T23" i="3"/>
  <c r="I13" i="3"/>
  <c r="J49" i="3"/>
  <c r="I49" i="3"/>
  <c r="J81" i="3"/>
  <c r="I81" i="3"/>
  <c r="J17" i="3"/>
  <c r="I17" i="3"/>
  <c r="J25" i="3"/>
  <c r="I25" i="3"/>
  <c r="J29" i="3"/>
  <c r="I29" i="3"/>
  <c r="J45" i="3"/>
  <c r="I45" i="3"/>
  <c r="J77" i="3"/>
  <c r="I77" i="3"/>
  <c r="U25" i="3"/>
  <c r="U23" i="3"/>
  <c r="J21" i="3"/>
  <c r="I21" i="3"/>
  <c r="J41" i="3"/>
  <c r="I41" i="3"/>
  <c r="Q28" i="8" l="1"/>
  <c r="I5" i="8"/>
  <c r="K3" i="8" s="1" a="1"/>
  <c r="K3" i="8" s="1"/>
  <c r="L34" i="8" a="1"/>
  <c r="L34" i="8" s="1"/>
  <c r="L29" i="8" a="1"/>
  <c r="L29" i="8" s="1"/>
  <c r="L27" i="8" a="1"/>
  <c r="L27" i="8" s="1"/>
  <c r="L21" i="8" a="1"/>
  <c r="L21" i="8" s="1"/>
  <c r="L19" i="8" a="1"/>
  <c r="L19" i="8" s="1"/>
  <c r="L13" i="8" a="1"/>
  <c r="L13" i="8" s="1"/>
  <c r="L11" i="8" a="1"/>
  <c r="L11" i="8" s="1"/>
  <c r="L5" i="8" a="1"/>
  <c r="L5" i="8" s="1"/>
  <c r="L3" i="8" a="1"/>
  <c r="L3" i="8" s="1"/>
  <c r="L4" i="8" a="1"/>
  <c r="L4" i="8" s="1"/>
  <c r="L15" i="8" a="1"/>
  <c r="L15" i="8" s="1"/>
  <c r="L9" i="8" a="1"/>
  <c r="L9" i="8" s="1"/>
  <c r="L20" i="8" a="1"/>
  <c r="L20" i="8" s="1"/>
  <c r="L12" i="8" a="1"/>
  <c r="L12" i="8" s="1"/>
  <c r="L32" i="8" a="1"/>
  <c r="L32" i="8" s="1"/>
  <c r="L35" i="8" a="1"/>
  <c r="L35" i="8" s="1"/>
  <c r="L33" i="8" a="1"/>
  <c r="L33" i="8" s="1"/>
  <c r="L28" i="8" a="1"/>
  <c r="L28" i="8" s="1"/>
  <c r="L22" i="8" a="1"/>
  <c r="L22" i="8" s="1"/>
  <c r="L14" i="8" a="1"/>
  <c r="L14" i="8" s="1"/>
  <c r="L17" i="8" a="1"/>
  <c r="L17" i="8" s="1"/>
  <c r="L30" i="8" a="1"/>
  <c r="L30" i="8" s="1"/>
  <c r="L25" i="8" a="1"/>
  <c r="L25" i="8" s="1"/>
  <c r="L23" i="8" a="1"/>
  <c r="L23" i="8" s="1"/>
  <c r="L24" i="8" a="1"/>
  <c r="L24" i="8" s="1"/>
  <c r="L16" i="8" a="1"/>
  <c r="L16" i="8" s="1"/>
  <c r="L8" i="8" a="1"/>
  <c r="L8" i="8" s="1"/>
  <c r="L2" i="8" a="1"/>
  <c r="L2" i="8" s="1"/>
  <c r="L7" i="8" a="1"/>
  <c r="L7" i="8" s="1"/>
  <c r="L31" i="8" a="1"/>
  <c r="L31" i="8" s="1"/>
  <c r="L26" i="8" a="1"/>
  <c r="L26" i="8" s="1"/>
  <c r="L18" i="8" a="1"/>
  <c r="L18" i="8" s="1"/>
  <c r="L10" i="8" a="1"/>
  <c r="L10" i="8" s="1"/>
  <c r="L6" i="8" a="1"/>
  <c r="L6" i="8" s="1"/>
  <c r="K2" i="8" a="1"/>
  <c r="K2" i="8" s="1"/>
  <c r="K12" i="8" a="1"/>
  <c r="K12" i="8" s="1"/>
  <c r="K9" i="8" a="1"/>
  <c r="K9" i="8" s="1"/>
  <c r="K24" i="8" a="1"/>
  <c r="K24" i="8" s="1"/>
  <c r="S28" i="8"/>
  <c r="O28" i="8"/>
  <c r="O29" i="7"/>
  <c r="S28" i="7"/>
  <c r="Q28" i="7"/>
  <c r="J13" i="7"/>
  <c r="L34" i="7" s="1" a="1"/>
  <c r="L34" i="7" s="1"/>
  <c r="I13" i="7"/>
  <c r="K27" i="7" s="1" a="1"/>
  <c r="K27" i="7" s="1"/>
  <c r="O28" i="7"/>
  <c r="U28" i="7"/>
  <c r="O28" i="5"/>
  <c r="P25" i="5"/>
  <c r="P23" i="5"/>
  <c r="Q28" i="5" s="1"/>
  <c r="K26" i="5" a="1"/>
  <c r="K26" i="5" s="1"/>
  <c r="K22" i="5" a="1"/>
  <c r="K22" i="5" s="1"/>
  <c r="K18" i="5" a="1"/>
  <c r="K18" i="5" s="1"/>
  <c r="K27" i="5" a="1"/>
  <c r="K27" i="5" s="1"/>
  <c r="K25" i="5" a="1"/>
  <c r="K25" i="5" s="1"/>
  <c r="K23" i="5" a="1"/>
  <c r="K23" i="5" s="1"/>
  <c r="K21" i="5" a="1"/>
  <c r="K21" i="5" s="1"/>
  <c r="K19" i="5" a="1"/>
  <c r="K19" i="5" s="1"/>
  <c r="K24" i="5" a="1"/>
  <c r="K24" i="5" s="1"/>
  <c r="K20" i="5" a="1"/>
  <c r="K20" i="5" s="1"/>
  <c r="K16" i="5" a="1"/>
  <c r="K16" i="5" s="1"/>
  <c r="K12" i="5" a="1"/>
  <c r="K12" i="5" s="1"/>
  <c r="K15" i="5" a="1"/>
  <c r="K15" i="5" s="1"/>
  <c r="K14" i="5" a="1"/>
  <c r="K14" i="5" s="1"/>
  <c r="K13" i="5" a="1"/>
  <c r="K13" i="5" s="1"/>
  <c r="K2" i="5" a="1"/>
  <c r="K2" i="5" s="1"/>
  <c r="K17" i="5" a="1"/>
  <c r="K17" i="5" s="1"/>
  <c r="K11" i="5" a="1"/>
  <c r="K11" i="5" s="1"/>
  <c r="K9" i="5" a="1"/>
  <c r="K9" i="5" s="1"/>
  <c r="K7" i="5" a="1"/>
  <c r="K7" i="5" s="1"/>
  <c r="K5" i="5" a="1"/>
  <c r="K5" i="5" s="1"/>
  <c r="K3" i="5" a="1"/>
  <c r="K3" i="5" s="1"/>
  <c r="K10" i="5" a="1"/>
  <c r="K10" i="5" s="1"/>
  <c r="K6" i="5" a="1"/>
  <c r="K6" i="5" s="1"/>
  <c r="K8" i="5" a="1"/>
  <c r="K8" i="5" s="1"/>
  <c r="K4" i="5" a="1"/>
  <c r="K4" i="5" s="1"/>
  <c r="U28" i="5"/>
  <c r="L34" i="5" a="1"/>
  <c r="L34" i="5" s="1"/>
  <c r="L30" i="5" a="1"/>
  <c r="L30" i="5" s="1"/>
  <c r="L24" i="5" a="1"/>
  <c r="L24" i="5" s="1"/>
  <c r="L20" i="5" a="1"/>
  <c r="L20" i="5" s="1"/>
  <c r="L16" i="5" a="1"/>
  <c r="L16" i="5" s="1"/>
  <c r="L32" i="5" a="1"/>
  <c r="L32" i="5" s="1"/>
  <c r="L28" i="5" a="1"/>
  <c r="L28" i="5" s="1"/>
  <c r="L26" i="5" a="1"/>
  <c r="L26" i="5" s="1"/>
  <c r="L22" i="5" a="1"/>
  <c r="L22" i="5" s="1"/>
  <c r="L18" i="5" a="1"/>
  <c r="L18" i="5" s="1"/>
  <c r="L14" i="5" a="1"/>
  <c r="L14" i="5" s="1"/>
  <c r="L35" i="5" a="1"/>
  <c r="L35" i="5" s="1"/>
  <c r="L33" i="5" a="1"/>
  <c r="L33" i="5" s="1"/>
  <c r="L31" i="5" a="1"/>
  <c r="L31" i="5" s="1"/>
  <c r="L29" i="5" a="1"/>
  <c r="L29" i="5" s="1"/>
  <c r="L27" i="5" a="1"/>
  <c r="L27" i="5" s="1"/>
  <c r="L25" i="5" a="1"/>
  <c r="L25" i="5" s="1"/>
  <c r="L23" i="5" a="1"/>
  <c r="L23" i="5" s="1"/>
  <c r="L21" i="5" a="1"/>
  <c r="L21" i="5" s="1"/>
  <c r="L19" i="5" a="1"/>
  <c r="L19" i="5" s="1"/>
  <c r="L11" i="5" a="1"/>
  <c r="L11" i="5" s="1"/>
  <c r="L9" i="5" a="1"/>
  <c r="L9" i="5" s="1"/>
  <c r="L7" i="5" a="1"/>
  <c r="L7" i="5" s="1"/>
  <c r="L5" i="5" a="1"/>
  <c r="L5" i="5" s="1"/>
  <c r="L3" i="5" a="1"/>
  <c r="L3" i="5" s="1"/>
  <c r="L4" i="5" a="1"/>
  <c r="L4" i="5" s="1"/>
  <c r="L17" i="5" a="1"/>
  <c r="L17" i="5" s="1"/>
  <c r="L6" i="5" a="1"/>
  <c r="L6" i="5" s="1"/>
  <c r="L2" i="5" a="1"/>
  <c r="L2" i="5" s="1"/>
  <c r="L15" i="5" a="1"/>
  <c r="L15" i="5" s="1"/>
  <c r="L13" i="5" a="1"/>
  <c r="L13" i="5" s="1"/>
  <c r="L12" i="5" a="1"/>
  <c r="L12" i="5" s="1"/>
  <c r="L10" i="5" a="1"/>
  <c r="L10" i="5" s="1"/>
  <c r="L8" i="5" a="1"/>
  <c r="L8" i="5" s="1"/>
  <c r="S28" i="5"/>
  <c r="U28" i="3"/>
  <c r="S28" i="3"/>
  <c r="L32" i="3" a="1"/>
  <c r="L32" i="3" s="1"/>
  <c r="L28" i="3" a="1"/>
  <c r="L28" i="3" s="1"/>
  <c r="L26" i="3" a="1"/>
  <c r="L26" i="3" s="1"/>
  <c r="L22" i="3" a="1"/>
  <c r="L22" i="3" s="1"/>
  <c r="L18" i="3" a="1"/>
  <c r="L18" i="3" s="1"/>
  <c r="L14" i="3" a="1"/>
  <c r="L14" i="3" s="1"/>
  <c r="L35" i="3" a="1"/>
  <c r="L35" i="3" s="1"/>
  <c r="L33" i="3" a="1"/>
  <c r="L33" i="3" s="1"/>
  <c r="L31" i="3" a="1"/>
  <c r="L31" i="3" s="1"/>
  <c r="L29" i="3" a="1"/>
  <c r="L29" i="3" s="1"/>
  <c r="L27" i="3" a="1"/>
  <c r="L27" i="3" s="1"/>
  <c r="L25" i="3" a="1"/>
  <c r="L25" i="3" s="1"/>
  <c r="L23" i="3" a="1"/>
  <c r="L23" i="3" s="1"/>
  <c r="L21" i="3" a="1"/>
  <c r="L21" i="3" s="1"/>
  <c r="L19" i="3" a="1"/>
  <c r="L19" i="3" s="1"/>
  <c r="L34" i="3" a="1"/>
  <c r="L34" i="3" s="1"/>
  <c r="L30" i="3" a="1"/>
  <c r="L30" i="3" s="1"/>
  <c r="L24" i="3" a="1"/>
  <c r="L24" i="3" s="1"/>
  <c r="L20" i="3" a="1"/>
  <c r="L20" i="3" s="1"/>
  <c r="L11" i="3" a="1"/>
  <c r="L11" i="3" s="1"/>
  <c r="L9" i="3" a="1"/>
  <c r="L9" i="3" s="1"/>
  <c r="L7" i="3" a="1"/>
  <c r="L7" i="3" s="1"/>
  <c r="L5" i="3" a="1"/>
  <c r="L5" i="3" s="1"/>
  <c r="L3" i="3" a="1"/>
  <c r="L3" i="3" s="1"/>
  <c r="L16" i="3" a="1"/>
  <c r="L16" i="3" s="1"/>
  <c r="L8" i="3" a="1"/>
  <c r="L8" i="3" s="1"/>
  <c r="L4" i="3" a="1"/>
  <c r="L4" i="3" s="1"/>
  <c r="L15" i="3" a="1"/>
  <c r="L15" i="3" s="1"/>
  <c r="L17" i="3" a="1"/>
  <c r="L17" i="3" s="1"/>
  <c r="L13" i="3" a="1"/>
  <c r="L13" i="3" s="1"/>
  <c r="L12" i="3" a="1"/>
  <c r="L12" i="3" s="1"/>
  <c r="L10" i="3" a="1"/>
  <c r="L10" i="3" s="1"/>
  <c r="L6" i="3" a="1"/>
  <c r="L6" i="3" s="1"/>
  <c r="L2" i="3" a="1"/>
  <c r="L2" i="3" s="1"/>
  <c r="O28" i="3"/>
  <c r="K24" i="3" a="1"/>
  <c r="K24" i="3" s="1"/>
  <c r="K20" i="3" a="1"/>
  <c r="K20" i="3" s="1"/>
  <c r="K16" i="3" a="1"/>
  <c r="K16" i="3" s="1"/>
  <c r="K12" i="3" a="1"/>
  <c r="K12" i="3" s="1"/>
  <c r="K26" i="3" a="1"/>
  <c r="K26" i="3" s="1"/>
  <c r="K22" i="3" a="1"/>
  <c r="K22" i="3" s="1"/>
  <c r="K18" i="3" a="1"/>
  <c r="K18" i="3" s="1"/>
  <c r="K27" i="3" a="1"/>
  <c r="K27" i="3" s="1"/>
  <c r="K25" i="3" a="1"/>
  <c r="K25" i="3" s="1"/>
  <c r="K23" i="3" a="1"/>
  <c r="K23" i="3" s="1"/>
  <c r="K21" i="3" a="1"/>
  <c r="K21" i="3" s="1"/>
  <c r="K19" i="3" a="1"/>
  <c r="K19" i="3" s="1"/>
  <c r="K17" i="3" a="1"/>
  <c r="K17" i="3" s="1"/>
  <c r="K15" i="3" a="1"/>
  <c r="K15" i="3" s="1"/>
  <c r="K14" i="3" a="1"/>
  <c r="K14" i="3" s="1"/>
  <c r="K13" i="3" a="1"/>
  <c r="K13" i="3" s="1"/>
  <c r="K10" i="3" a="1"/>
  <c r="K10" i="3" s="1"/>
  <c r="K6" i="3" a="1"/>
  <c r="K6" i="3" s="1"/>
  <c r="K2" i="3" a="1"/>
  <c r="K2" i="3" s="1"/>
  <c r="K4" i="3" a="1"/>
  <c r="K4" i="3" s="1"/>
  <c r="K11" i="3" a="1"/>
  <c r="K11" i="3" s="1"/>
  <c r="K9" i="3" a="1"/>
  <c r="K9" i="3" s="1"/>
  <c r="K7" i="3" a="1"/>
  <c r="K7" i="3" s="1"/>
  <c r="K5" i="3" a="1"/>
  <c r="K5" i="3" s="1"/>
  <c r="K3" i="3" a="1"/>
  <c r="K3" i="3" s="1"/>
  <c r="K8" i="3" a="1"/>
  <c r="K8" i="3" s="1"/>
  <c r="Q28" i="3"/>
  <c r="K20" i="8" l="1" a="1"/>
  <c r="K20" i="8" s="1"/>
  <c r="K10" i="8" a="1"/>
  <c r="K10" i="8" s="1"/>
  <c r="K15" i="8" a="1"/>
  <c r="K15" i="8" s="1"/>
  <c r="K17" i="8" a="1"/>
  <c r="K17" i="8" s="1"/>
  <c r="K11" i="8" a="1"/>
  <c r="K11" i="8" s="1"/>
  <c r="K18" i="8" a="1"/>
  <c r="K18" i="8" s="1"/>
  <c r="K23" i="8" a="1"/>
  <c r="K23" i="8" s="1"/>
  <c r="K13" i="8" a="1"/>
  <c r="K13" i="8" s="1"/>
  <c r="K26" i="8" a="1"/>
  <c r="K26" i="8" s="1"/>
  <c r="K8" i="8" a="1"/>
  <c r="K8" i="8" s="1"/>
  <c r="K25" i="8" a="1"/>
  <c r="K25" i="8" s="1"/>
  <c r="K19" i="8" a="1"/>
  <c r="K19" i="8" s="1"/>
  <c r="K4" i="8" a="1"/>
  <c r="K4" i="8" s="1"/>
  <c r="K16" i="8" a="1"/>
  <c r="K16" i="8" s="1"/>
  <c r="K6" i="8" a="1"/>
  <c r="K6" i="8" s="1"/>
  <c r="K21" i="8" a="1"/>
  <c r="K21" i="8" s="1"/>
  <c r="K5" i="8" a="1"/>
  <c r="K5" i="8" s="1"/>
  <c r="K14" i="8" a="1"/>
  <c r="K14" i="8" s="1"/>
  <c r="K27" i="8" a="1"/>
  <c r="K27" i="8" s="1"/>
  <c r="K7" i="8" a="1"/>
  <c r="K7" i="8" s="1"/>
  <c r="K22" i="8" a="1"/>
  <c r="K22" i="8" s="1"/>
  <c r="L7" i="7" a="1"/>
  <c r="L7" i="7" s="1"/>
  <c r="L31" i="7" a="1"/>
  <c r="L31" i="7" s="1"/>
  <c r="L5" i="7" a="1"/>
  <c r="L5" i="7" s="1"/>
  <c r="L10" i="7" a="1"/>
  <c r="L10" i="7" s="1"/>
  <c r="L35" i="7" a="1"/>
  <c r="L35" i="7" s="1"/>
  <c r="L17" i="7" a="1"/>
  <c r="L17" i="7" s="1"/>
  <c r="L18" i="7" a="1"/>
  <c r="L18" i="7" s="1"/>
  <c r="L26" i="7" a="1"/>
  <c r="L26" i="7" s="1"/>
  <c r="L2" i="7" a="1"/>
  <c r="L2" i="7" s="1"/>
  <c r="L9" i="7" a="1"/>
  <c r="L9" i="7" s="1"/>
  <c r="L16" i="7" a="1"/>
  <c r="L16" i="7" s="1"/>
  <c r="L19" i="7" a="1"/>
  <c r="L19" i="7" s="1"/>
  <c r="L24" i="7" a="1"/>
  <c r="L24" i="7" s="1"/>
  <c r="L15" i="7" a="1"/>
  <c r="L15" i="7" s="1"/>
  <c r="L14" i="7" a="1"/>
  <c r="L14" i="7" s="1"/>
  <c r="L23" i="7" a="1"/>
  <c r="L23" i="7" s="1"/>
  <c r="L21" i="7" a="1"/>
  <c r="L21" i="7" s="1"/>
  <c r="L25" i="7" a="1"/>
  <c r="L25" i="7" s="1"/>
  <c r="L6" i="7" a="1"/>
  <c r="L6" i="7" s="1"/>
  <c r="L33" i="7" a="1"/>
  <c r="L33" i="7" s="1"/>
  <c r="L12" i="7" a="1"/>
  <c r="L12" i="7" s="1"/>
  <c r="L32" i="7" a="1"/>
  <c r="L32" i="7" s="1"/>
  <c r="L29" i="7" a="1"/>
  <c r="L29" i="7" s="1"/>
  <c r="L30" i="7" a="1"/>
  <c r="L30" i="7" s="1"/>
  <c r="L8" i="7" a="1"/>
  <c r="L8" i="7" s="1"/>
  <c r="L4" i="7" a="1"/>
  <c r="L4" i="7" s="1"/>
  <c r="L22" i="7" a="1"/>
  <c r="L22" i="7" s="1"/>
  <c r="L20" i="7" a="1"/>
  <c r="L20" i="7" s="1"/>
  <c r="L28" i="7" a="1"/>
  <c r="L28" i="7" s="1"/>
  <c r="L3" i="7" a="1"/>
  <c r="L3" i="7" s="1"/>
  <c r="L11" i="7" a="1"/>
  <c r="L11" i="7" s="1"/>
  <c r="L13" i="7" a="1"/>
  <c r="L13" i="7" s="1"/>
  <c r="K20" i="7" a="1"/>
  <c r="K20" i="7" s="1"/>
  <c r="K5" i="7" a="1"/>
  <c r="K5" i="7" s="1"/>
  <c r="L27" i="7" a="1"/>
  <c r="L27" i="7" s="1"/>
  <c r="K13" i="7" a="1"/>
  <c r="K13" i="7" s="1"/>
  <c r="K16" i="7" a="1"/>
  <c r="K16" i="7" s="1"/>
  <c r="K7" i="7" a="1"/>
  <c r="K7" i="7" s="1"/>
  <c r="K24" i="7" a="1"/>
  <c r="K24" i="7" s="1"/>
  <c r="K15" i="7" a="1"/>
  <c r="K15" i="7" s="1"/>
  <c r="K14" i="7" a="1"/>
  <c r="K14" i="7" s="1"/>
  <c r="K3" i="7" a="1"/>
  <c r="K3" i="7" s="1"/>
  <c r="K23" i="7" a="1"/>
  <c r="K23" i="7" s="1"/>
  <c r="K18" i="7" a="1"/>
  <c r="K18" i="7" s="1"/>
  <c r="K25" i="7" a="1"/>
  <c r="K25" i="7" s="1"/>
  <c r="K8" i="7" a="1"/>
  <c r="K8" i="7" s="1"/>
  <c r="K22" i="7" a="1"/>
  <c r="K22" i="7" s="1"/>
  <c r="K6" i="7" a="1"/>
  <c r="K6" i="7" s="1"/>
  <c r="K26" i="7" a="1"/>
  <c r="K26" i="7" s="1"/>
  <c r="K9" i="7" a="1"/>
  <c r="K9" i="7" s="1"/>
  <c r="K12" i="7" a="1"/>
  <c r="K12" i="7" s="1"/>
  <c r="K17" i="7" a="1"/>
  <c r="K17" i="7" s="1"/>
  <c r="K4" i="7" a="1"/>
  <c r="K4" i="7" s="1"/>
  <c r="K11" i="7" a="1"/>
  <c r="K11" i="7" s="1"/>
  <c r="K19" i="7" a="1"/>
  <c r="K19" i="7" s="1"/>
  <c r="K21" i="7" a="1"/>
  <c r="K21" i="7" s="1"/>
  <c r="K2" i="7" a="1"/>
  <c r="K2" i="7" s="1"/>
  <c r="K10" i="7" a="1"/>
  <c r="K10" i="7" s="1"/>
  <c r="H81" i="2" a="1"/>
  <c r="H81" i="2"/>
  <c r="H80" i="2" a="1"/>
  <c r="H80" i="2"/>
  <c r="H79" i="2" a="1"/>
  <c r="H79" i="2"/>
  <c r="H77" i="2" a="1"/>
  <c r="H77" i="2"/>
  <c r="H76" i="2" a="1"/>
  <c r="H76" i="2"/>
  <c r="H75" i="2" a="1"/>
  <c r="H75" i="2"/>
  <c r="H73" i="2" a="1"/>
  <c r="H73" i="2"/>
  <c r="F73" i="2"/>
  <c r="H72" i="2" a="1"/>
  <c r="H72" i="2"/>
  <c r="F72" i="2"/>
  <c r="H71" i="2" a="1"/>
  <c r="H71" i="2"/>
  <c r="F71" i="2"/>
  <c r="F70" i="2"/>
  <c r="H69" i="2" a="1"/>
  <c r="H69" i="2"/>
  <c r="F69" i="2"/>
  <c r="H68" i="2" a="1"/>
  <c r="H68" i="2"/>
  <c r="F68" i="2"/>
  <c r="H67" i="2" a="1"/>
  <c r="H67" i="2"/>
  <c r="F67" i="2"/>
  <c r="F66" i="2"/>
  <c r="H65" i="2" a="1"/>
  <c r="H65" i="2"/>
  <c r="F65" i="2"/>
  <c r="H64" i="2" a="1"/>
  <c r="H64" i="2"/>
  <c r="F64" i="2"/>
  <c r="H63" i="2" a="1"/>
  <c r="H63" i="2"/>
  <c r="F63" i="2"/>
  <c r="F62" i="2"/>
  <c r="H61" i="2" a="1"/>
  <c r="H61" i="2"/>
  <c r="F61" i="2"/>
  <c r="H60" i="2" a="1"/>
  <c r="H60" i="2"/>
  <c r="F60" i="2"/>
  <c r="H59" i="2" a="1"/>
  <c r="H59" i="2"/>
  <c r="F59" i="2"/>
  <c r="F58" i="2"/>
  <c r="H57" i="2" a="1"/>
  <c r="H57" i="2"/>
  <c r="F57" i="2"/>
  <c r="H56" i="2" a="1"/>
  <c r="H56" i="2"/>
  <c r="F56" i="2"/>
  <c r="H55" i="2" a="1"/>
  <c r="H55" i="2"/>
  <c r="F55" i="2"/>
  <c r="F54" i="2"/>
  <c r="H53" i="2" a="1"/>
  <c r="H53" i="2"/>
  <c r="F53" i="2"/>
  <c r="H52" i="2" a="1"/>
  <c r="H52" i="2"/>
  <c r="F52" i="2"/>
  <c r="H51" i="2" a="1"/>
  <c r="H51" i="2"/>
  <c r="F51" i="2"/>
  <c r="F50" i="2"/>
  <c r="H49" i="2" a="1"/>
  <c r="H49" i="2"/>
  <c r="F49" i="2"/>
  <c r="H48" i="2" a="1"/>
  <c r="H48" i="2"/>
  <c r="F48" i="2"/>
  <c r="H47" i="2" a="1"/>
  <c r="H47" i="2"/>
  <c r="F47" i="2"/>
  <c r="F46" i="2"/>
  <c r="H45" i="2" a="1"/>
  <c r="H45" i="2"/>
  <c r="F45" i="2"/>
  <c r="H44" i="2" a="1"/>
  <c r="H44" i="2"/>
  <c r="F44" i="2"/>
  <c r="H43" i="2" a="1"/>
  <c r="H43" i="2"/>
  <c r="F43" i="2"/>
  <c r="F42" i="2"/>
  <c r="H41" i="2" a="1"/>
  <c r="H41" i="2"/>
  <c r="F41" i="2"/>
  <c r="H40" i="2" a="1"/>
  <c r="H40" i="2"/>
  <c r="F40" i="2"/>
  <c r="H39" i="2" a="1"/>
  <c r="H39" i="2"/>
  <c r="F39" i="2"/>
  <c r="F38" i="2"/>
  <c r="H37" i="2" a="1"/>
  <c r="H37" i="2"/>
  <c r="F37" i="2"/>
  <c r="H36" i="2" a="1"/>
  <c r="H36" i="2"/>
  <c r="F36" i="2"/>
  <c r="H35" i="2" a="1"/>
  <c r="H35" i="2"/>
  <c r="F35" i="2"/>
  <c r="F34" i="2"/>
  <c r="H33" i="2" a="1"/>
  <c r="H33" i="2"/>
  <c r="F33" i="2"/>
  <c r="H28" i="2" a="1"/>
  <c r="H28" i="2"/>
  <c r="H32" i="2" a="1"/>
  <c r="H32" i="2"/>
  <c r="F32" i="2"/>
  <c r="H31" i="2" a="1"/>
  <c r="H31" i="2"/>
  <c r="F31" i="2"/>
  <c r="F30" i="2"/>
  <c r="H27" i="2" a="1"/>
  <c r="H27" i="2"/>
  <c r="H29" i="2" a="1"/>
  <c r="H29" i="2"/>
  <c r="F29" i="2"/>
  <c r="F28" i="2"/>
  <c r="R6" i="2" a="1"/>
  <c r="R6" i="2"/>
  <c r="F27" i="2"/>
  <c r="F26" i="2"/>
  <c r="H25" i="2" a="1"/>
  <c r="H25" i="2"/>
  <c r="F25" i="2"/>
  <c r="H24" i="2" a="1"/>
  <c r="H24" i="2"/>
  <c r="F24" i="2"/>
  <c r="H23" i="2" a="1"/>
  <c r="H23" i="2"/>
  <c r="F23" i="2"/>
  <c r="F22" i="2"/>
  <c r="U21" i="2" a="1"/>
  <c r="U21" i="2"/>
  <c r="T21" i="2" a="1"/>
  <c r="T21" i="2"/>
  <c r="S21" i="2" a="1"/>
  <c r="S21" i="2"/>
  <c r="R21" i="2" a="1"/>
  <c r="R21" i="2"/>
  <c r="Q21" i="2" a="1"/>
  <c r="Q21" i="2"/>
  <c r="P21" i="2" a="1"/>
  <c r="P21" i="2"/>
  <c r="O21" i="2" a="1"/>
  <c r="O21" i="2"/>
  <c r="N21" i="2" a="1"/>
  <c r="N21" i="2"/>
  <c r="F21" i="2"/>
  <c r="U20" i="2" a="1"/>
  <c r="U20" i="2"/>
  <c r="T20" i="2" a="1"/>
  <c r="T20" i="2"/>
  <c r="S20" i="2" a="1"/>
  <c r="S20" i="2"/>
  <c r="R20" i="2" a="1"/>
  <c r="R20" i="2"/>
  <c r="Q20" i="2" a="1"/>
  <c r="Q20" i="2"/>
  <c r="P20" i="2" a="1"/>
  <c r="P20" i="2"/>
  <c r="O20" i="2" a="1"/>
  <c r="O20" i="2"/>
  <c r="N20" i="2" a="1"/>
  <c r="N20" i="2"/>
  <c r="H20" i="2" a="1"/>
  <c r="H20" i="2"/>
  <c r="F20" i="2"/>
  <c r="U19" i="2" a="1"/>
  <c r="U19" i="2"/>
  <c r="T19" i="2" a="1"/>
  <c r="T19" i="2"/>
  <c r="S19" i="2" a="1"/>
  <c r="S19" i="2"/>
  <c r="R19" i="2" a="1"/>
  <c r="R19" i="2"/>
  <c r="Q19" i="2" a="1"/>
  <c r="Q19" i="2"/>
  <c r="P19" i="2" a="1"/>
  <c r="P19" i="2"/>
  <c r="O19" i="2" a="1"/>
  <c r="O19" i="2"/>
  <c r="N19" i="2" a="1"/>
  <c r="N19" i="2"/>
  <c r="H19" i="2" a="1"/>
  <c r="H19" i="2"/>
  <c r="F19" i="2"/>
  <c r="U18" i="2" a="1"/>
  <c r="U18" i="2"/>
  <c r="T18" i="2" a="1"/>
  <c r="T18" i="2"/>
  <c r="S18" i="2" a="1"/>
  <c r="S18" i="2"/>
  <c r="R18" i="2" a="1"/>
  <c r="R18" i="2"/>
  <c r="Q18" i="2" a="1"/>
  <c r="Q18" i="2"/>
  <c r="P18" i="2" a="1"/>
  <c r="P18" i="2"/>
  <c r="O18" i="2" a="1"/>
  <c r="O18" i="2"/>
  <c r="N18" i="2" a="1"/>
  <c r="N18" i="2"/>
  <c r="F18" i="2"/>
  <c r="P6" i="2" a="1"/>
  <c r="P6" i="2"/>
  <c r="U17" i="2" a="1"/>
  <c r="U17" i="2"/>
  <c r="T17" i="2" a="1"/>
  <c r="T17" i="2"/>
  <c r="S17" i="2" a="1"/>
  <c r="S17" i="2"/>
  <c r="R17" i="2" a="1"/>
  <c r="R17" i="2"/>
  <c r="Q17" i="2" a="1"/>
  <c r="Q17" i="2"/>
  <c r="P17" i="2" a="1"/>
  <c r="P17" i="2"/>
  <c r="O17" i="2" a="1"/>
  <c r="O17" i="2"/>
  <c r="N17" i="2" a="1"/>
  <c r="N17" i="2"/>
  <c r="H17" i="2" a="1"/>
  <c r="H17" i="2"/>
  <c r="F17" i="2"/>
  <c r="U16" i="2" a="1"/>
  <c r="U16" i="2"/>
  <c r="T16" i="2" a="1"/>
  <c r="T16" i="2"/>
  <c r="S16" i="2" a="1"/>
  <c r="S16" i="2"/>
  <c r="R16" i="2" a="1"/>
  <c r="R16" i="2"/>
  <c r="Q16" i="2" a="1"/>
  <c r="Q16" i="2"/>
  <c r="P16" i="2" a="1"/>
  <c r="P16" i="2"/>
  <c r="O16" i="2" a="1"/>
  <c r="O16" i="2"/>
  <c r="N16" i="2" a="1"/>
  <c r="N16" i="2"/>
  <c r="H16" i="2" a="1"/>
  <c r="H16" i="2"/>
  <c r="F16" i="2"/>
  <c r="U15" i="2" a="1"/>
  <c r="U15" i="2"/>
  <c r="T15" i="2" a="1"/>
  <c r="T15" i="2"/>
  <c r="S15" i="2" a="1"/>
  <c r="S15" i="2"/>
  <c r="R15" i="2" a="1"/>
  <c r="R15" i="2"/>
  <c r="Q15" i="2" a="1"/>
  <c r="Q15" i="2"/>
  <c r="P15" i="2" a="1"/>
  <c r="P15" i="2"/>
  <c r="O15" i="2" a="1"/>
  <c r="O15" i="2"/>
  <c r="N15" i="2" a="1"/>
  <c r="N15" i="2"/>
  <c r="H15" i="2" a="1"/>
  <c r="H15" i="2"/>
  <c r="F15" i="2"/>
  <c r="U14" i="2" a="1"/>
  <c r="U14" i="2"/>
  <c r="T14" i="2" a="1"/>
  <c r="T14" i="2"/>
  <c r="S14" i="2" a="1"/>
  <c r="S14" i="2"/>
  <c r="R14" i="2" a="1"/>
  <c r="R14" i="2"/>
  <c r="Q14" i="2" a="1"/>
  <c r="Q14" i="2"/>
  <c r="P14" i="2" a="1"/>
  <c r="P14" i="2"/>
  <c r="O14" i="2" a="1"/>
  <c r="O14" i="2"/>
  <c r="N14" i="2" a="1"/>
  <c r="N14" i="2"/>
  <c r="F14" i="2"/>
  <c r="U13" i="2" a="1"/>
  <c r="U13" i="2"/>
  <c r="T13" i="2" a="1"/>
  <c r="T13" i="2"/>
  <c r="S13" i="2" a="1"/>
  <c r="S13" i="2"/>
  <c r="R13" i="2" a="1"/>
  <c r="R13" i="2"/>
  <c r="Q13" i="2" a="1"/>
  <c r="Q13" i="2"/>
  <c r="P13" i="2" a="1"/>
  <c r="P13" i="2"/>
  <c r="O13" i="2" a="1"/>
  <c r="O13" i="2"/>
  <c r="N13" i="2" a="1"/>
  <c r="N13" i="2"/>
  <c r="H13" i="2" a="1"/>
  <c r="H13" i="2"/>
  <c r="F13" i="2"/>
  <c r="H11" i="2" a="1"/>
  <c r="H11" i="2"/>
  <c r="U12" i="2" a="1"/>
  <c r="U12" i="2"/>
  <c r="T12" i="2" a="1"/>
  <c r="T12" i="2"/>
  <c r="S12" i="2" a="1"/>
  <c r="S12" i="2"/>
  <c r="R12" i="2" a="1"/>
  <c r="R12" i="2"/>
  <c r="Q12" i="2" a="1"/>
  <c r="Q12" i="2"/>
  <c r="P12" i="2" a="1"/>
  <c r="P12" i="2"/>
  <c r="O12" i="2" a="1"/>
  <c r="O12" i="2"/>
  <c r="N12" i="2" a="1"/>
  <c r="N12" i="2"/>
  <c r="H12" i="2" a="1"/>
  <c r="H12" i="2"/>
  <c r="F12" i="2"/>
  <c r="U11" i="2" a="1"/>
  <c r="U11" i="2"/>
  <c r="T11" i="2" a="1"/>
  <c r="T11" i="2"/>
  <c r="S11" i="2" a="1"/>
  <c r="S11" i="2"/>
  <c r="R11" i="2" a="1"/>
  <c r="R11" i="2"/>
  <c r="Q11" i="2" a="1"/>
  <c r="Q11" i="2"/>
  <c r="P11" i="2" a="1"/>
  <c r="P11" i="2"/>
  <c r="O11" i="2" a="1"/>
  <c r="O11" i="2"/>
  <c r="N11" i="2" a="1"/>
  <c r="N11" i="2"/>
  <c r="F11" i="2"/>
  <c r="U10" i="2" a="1"/>
  <c r="U10" i="2"/>
  <c r="T10" i="2" a="1"/>
  <c r="T10" i="2"/>
  <c r="S10" i="2" a="1"/>
  <c r="S10" i="2"/>
  <c r="R10" i="2" a="1"/>
  <c r="R10" i="2"/>
  <c r="Q10" i="2" a="1"/>
  <c r="Q10" i="2"/>
  <c r="P10" i="2" a="1"/>
  <c r="P10" i="2"/>
  <c r="O10" i="2" a="1"/>
  <c r="O10" i="2"/>
  <c r="N10" i="2" a="1"/>
  <c r="N10" i="2"/>
  <c r="F10" i="2"/>
  <c r="U9" i="2" a="1"/>
  <c r="U9" i="2"/>
  <c r="T9" i="2" a="1"/>
  <c r="T9" i="2"/>
  <c r="S9" i="2" a="1"/>
  <c r="S9" i="2"/>
  <c r="R9" i="2" a="1"/>
  <c r="R9" i="2"/>
  <c r="Q9" i="2" a="1"/>
  <c r="Q9" i="2"/>
  <c r="P9" i="2" a="1"/>
  <c r="P9" i="2"/>
  <c r="O9" i="2" a="1"/>
  <c r="O9" i="2"/>
  <c r="N9" i="2" a="1"/>
  <c r="N9" i="2"/>
  <c r="H9" i="2" a="1"/>
  <c r="H9" i="2"/>
  <c r="F9" i="2"/>
  <c r="U8" i="2" a="1"/>
  <c r="U8" i="2"/>
  <c r="T8" i="2" a="1"/>
  <c r="T8" i="2"/>
  <c r="S8" i="2" a="1"/>
  <c r="S8" i="2"/>
  <c r="R8" i="2" a="1"/>
  <c r="R8" i="2"/>
  <c r="Q8" i="2" a="1"/>
  <c r="Q8" i="2"/>
  <c r="P8" i="2" a="1"/>
  <c r="P8" i="2"/>
  <c r="O8" i="2" a="1"/>
  <c r="O8" i="2"/>
  <c r="N8" i="2" a="1"/>
  <c r="N8" i="2"/>
  <c r="H8" i="2" a="1"/>
  <c r="H8" i="2"/>
  <c r="F8" i="2"/>
  <c r="U7" i="2" a="1"/>
  <c r="U7" i="2"/>
  <c r="T7" i="2" a="1"/>
  <c r="T7" i="2"/>
  <c r="S7" i="2" a="1"/>
  <c r="S7" i="2"/>
  <c r="R7" i="2" a="1"/>
  <c r="R7" i="2"/>
  <c r="Q7" i="2" a="1"/>
  <c r="Q7" i="2"/>
  <c r="P7" i="2" a="1"/>
  <c r="P7" i="2"/>
  <c r="O7" i="2" a="1"/>
  <c r="O7" i="2"/>
  <c r="N7" i="2" a="1"/>
  <c r="N7" i="2"/>
  <c r="H7" i="2" a="1"/>
  <c r="H7" i="2"/>
  <c r="F7" i="2"/>
  <c r="U6" i="2" a="1"/>
  <c r="U6" i="2"/>
  <c r="T6" i="2" a="1"/>
  <c r="T6" i="2"/>
  <c r="S6" i="2" a="1"/>
  <c r="S6" i="2"/>
  <c r="Q6" i="2" a="1"/>
  <c r="Q6" i="2"/>
  <c r="O6" i="2" a="1"/>
  <c r="O6" i="2"/>
  <c r="N6" i="2" a="1"/>
  <c r="N6" i="2"/>
  <c r="F6" i="2"/>
  <c r="U5" i="2" a="1"/>
  <c r="U5" i="2"/>
  <c r="T5" i="2" a="1"/>
  <c r="T5" i="2"/>
  <c r="S5" i="2" a="1"/>
  <c r="S5" i="2"/>
  <c r="R5" i="2" a="1"/>
  <c r="R5" i="2"/>
  <c r="Q5" i="2" a="1"/>
  <c r="Q5" i="2"/>
  <c r="P5" i="2" a="1"/>
  <c r="P5" i="2"/>
  <c r="O5" i="2" a="1"/>
  <c r="O5" i="2"/>
  <c r="N5" i="2" a="1"/>
  <c r="N5" i="2"/>
  <c r="H5" i="2" a="1"/>
  <c r="H5" i="2"/>
  <c r="F5" i="2"/>
  <c r="U4" i="2" a="1"/>
  <c r="U4" i="2"/>
  <c r="T4" i="2" a="1"/>
  <c r="T4" i="2"/>
  <c r="S4" i="2" a="1"/>
  <c r="S4" i="2"/>
  <c r="R4" i="2" a="1"/>
  <c r="R4" i="2"/>
  <c r="Q4" i="2" a="1"/>
  <c r="Q4" i="2"/>
  <c r="O4" i="2" a="1"/>
  <c r="O4" i="2"/>
  <c r="H4" i="2" a="1"/>
  <c r="H4" i="2"/>
  <c r="F4" i="2"/>
  <c r="F3" i="2"/>
  <c r="H3" i="2" a="1"/>
  <c r="H3" i="2"/>
  <c r="F2" i="2"/>
  <c r="F38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40" i="1"/>
  <c r="F39" i="1"/>
  <c r="H21" i="2" a="1"/>
  <c r="H21" i="2"/>
  <c r="J21" i="2"/>
  <c r="T25" i="2"/>
  <c r="U25" i="2"/>
  <c r="N4" i="2" a="1"/>
  <c r="N4" i="2"/>
  <c r="N23" i="2"/>
  <c r="P4" i="2" a="1"/>
  <c r="P4" i="2"/>
  <c r="P25" i="2"/>
  <c r="Q25" i="2"/>
  <c r="Q23" i="2"/>
  <c r="J9" i="2"/>
  <c r="I9" i="2"/>
  <c r="J33" i="2"/>
  <c r="I33" i="2"/>
  <c r="J37" i="2"/>
  <c r="I37" i="2"/>
  <c r="J5" i="2"/>
  <c r="I5" i="2"/>
  <c r="R25" i="2"/>
  <c r="R23" i="2"/>
  <c r="S28" i="2"/>
  <c r="S25" i="2"/>
  <c r="S23" i="2"/>
  <c r="J25" i="2"/>
  <c r="I25" i="2"/>
  <c r="J77" i="2"/>
  <c r="I77" i="2"/>
  <c r="J17" i="2"/>
  <c r="I17" i="2"/>
  <c r="J65" i="2"/>
  <c r="I65" i="2"/>
  <c r="J69" i="2"/>
  <c r="I69" i="2"/>
  <c r="J73" i="2"/>
  <c r="I73" i="2"/>
  <c r="O25" i="2"/>
  <c r="O23" i="2"/>
  <c r="J57" i="2"/>
  <c r="I57" i="2"/>
  <c r="J61" i="2"/>
  <c r="I61" i="2"/>
  <c r="J81" i="2"/>
  <c r="I81" i="2"/>
  <c r="J29" i="2"/>
  <c r="I29" i="2"/>
  <c r="J49" i="2"/>
  <c r="I49" i="2"/>
  <c r="J53" i="2"/>
  <c r="I53" i="2"/>
  <c r="J13" i="2"/>
  <c r="I13" i="2"/>
  <c r="J41" i="2"/>
  <c r="I41" i="2"/>
  <c r="J45" i="2"/>
  <c r="I45" i="2"/>
  <c r="T23" i="2"/>
  <c r="U23" i="2"/>
  <c r="U5" i="1" a="1"/>
  <c r="U5" i="1"/>
  <c r="U6" i="1" a="1"/>
  <c r="U6" i="1"/>
  <c r="U7" i="1" a="1"/>
  <c r="U7" i="1"/>
  <c r="U8" i="1" a="1"/>
  <c r="U8" i="1"/>
  <c r="U9" i="1" a="1"/>
  <c r="U9" i="1"/>
  <c r="U10" i="1" a="1"/>
  <c r="U10" i="1"/>
  <c r="U11" i="1" a="1"/>
  <c r="U11" i="1"/>
  <c r="U12" i="1" a="1"/>
  <c r="U12" i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/>
  <c r="U21" i="1" a="1"/>
  <c r="U21" i="1"/>
  <c r="T7" i="1" a="1"/>
  <c r="T7" i="1"/>
  <c r="T8" i="1" a="1"/>
  <c r="T8" i="1"/>
  <c r="T9" i="1" a="1"/>
  <c r="T9" i="1"/>
  <c r="T10" i="1" a="1"/>
  <c r="T10" i="1"/>
  <c r="T11" i="1" a="1"/>
  <c r="T11" i="1"/>
  <c r="T12" i="1" a="1"/>
  <c r="T12" i="1"/>
  <c r="T13" i="1" a="1"/>
  <c r="T13" i="1"/>
  <c r="T14" i="1" a="1"/>
  <c r="T14" i="1"/>
  <c r="T15" i="1" a="1"/>
  <c r="T15" i="1"/>
  <c r="T16" i="1" a="1"/>
  <c r="T16" i="1"/>
  <c r="T17" i="1" a="1"/>
  <c r="T17" i="1"/>
  <c r="T18" i="1" a="1"/>
  <c r="T18" i="1"/>
  <c r="T19" i="1" a="1"/>
  <c r="T19" i="1"/>
  <c r="T20" i="1" a="1"/>
  <c r="T20" i="1"/>
  <c r="T21" i="1" a="1"/>
  <c r="T21" i="1"/>
  <c r="S5" i="1" a="1"/>
  <c r="S5" i="1"/>
  <c r="S6" i="1" a="1"/>
  <c r="S6" i="1"/>
  <c r="S7" i="1" a="1"/>
  <c r="S7" i="1"/>
  <c r="S8" i="1" a="1"/>
  <c r="S8" i="1"/>
  <c r="S9" i="1" a="1"/>
  <c r="S9" i="1"/>
  <c r="S10" i="1" a="1"/>
  <c r="S10" i="1"/>
  <c r="S11" i="1" a="1"/>
  <c r="S11" i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18" i="1" a="1"/>
  <c r="S18" i="1"/>
  <c r="S19" i="1" a="1"/>
  <c r="S19" i="1"/>
  <c r="S20" i="1" a="1"/>
  <c r="S20" i="1"/>
  <c r="S21" i="1" a="1"/>
  <c r="S21" i="1"/>
  <c r="R7" i="1" a="1"/>
  <c r="R7" i="1"/>
  <c r="R8" i="1" a="1"/>
  <c r="R8" i="1"/>
  <c r="R9" i="1" a="1"/>
  <c r="R9" i="1"/>
  <c r="R10" i="1" a="1"/>
  <c r="R10" i="1"/>
  <c r="R11" i="1" a="1"/>
  <c r="R11" i="1"/>
  <c r="R12" i="1" a="1"/>
  <c r="R12" i="1"/>
  <c r="R13" i="1" a="1"/>
  <c r="R13" i="1"/>
  <c r="R14" i="1" a="1"/>
  <c r="R14" i="1"/>
  <c r="R15" i="1" a="1"/>
  <c r="R15" i="1"/>
  <c r="R16" i="1" a="1"/>
  <c r="R16" i="1"/>
  <c r="R17" i="1" a="1"/>
  <c r="R17" i="1"/>
  <c r="R18" i="1" a="1"/>
  <c r="R18" i="1"/>
  <c r="R19" i="1" a="1"/>
  <c r="R19" i="1"/>
  <c r="R20" i="1" a="1"/>
  <c r="R20" i="1"/>
  <c r="R21" i="1" a="1"/>
  <c r="R21" i="1"/>
  <c r="U4" i="1" a="1"/>
  <c r="U4" i="1"/>
  <c r="S4" i="1" a="1"/>
  <c r="S4" i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/>
  <c r="Q14" i="1" a="1"/>
  <c r="Q14" i="1"/>
  <c r="Q15" i="1" a="1"/>
  <c r="Q15" i="1"/>
  <c r="Q16" i="1" a="1"/>
  <c r="Q16" i="1"/>
  <c r="Q17" i="1" a="1"/>
  <c r="Q17" i="1"/>
  <c r="Q18" i="1" a="1"/>
  <c r="Q18" i="1"/>
  <c r="Q19" i="1" a="1"/>
  <c r="Q19" i="1"/>
  <c r="Q20" i="1" a="1"/>
  <c r="Q20" i="1"/>
  <c r="Q21" i="1" a="1"/>
  <c r="Q21" i="1"/>
  <c r="P7" i="1" a="1"/>
  <c r="P7" i="1"/>
  <c r="P8" i="1" a="1"/>
  <c r="P8" i="1"/>
  <c r="P9" i="1" a="1"/>
  <c r="P9" i="1"/>
  <c r="P10" i="1" a="1"/>
  <c r="P10" i="1"/>
  <c r="P11" i="1" a="1"/>
  <c r="P11" i="1"/>
  <c r="P12" i="1" a="1"/>
  <c r="P12" i="1"/>
  <c r="P13" i="1" a="1"/>
  <c r="P13" i="1"/>
  <c r="P14" i="1" a="1"/>
  <c r="P14" i="1"/>
  <c r="P15" i="1" a="1"/>
  <c r="P15" i="1"/>
  <c r="P16" i="1" a="1"/>
  <c r="P16" i="1"/>
  <c r="P17" i="1" a="1"/>
  <c r="P17" i="1"/>
  <c r="P18" i="1" a="1"/>
  <c r="P18" i="1"/>
  <c r="P19" i="1" a="1"/>
  <c r="P19" i="1"/>
  <c r="P20" i="1" a="1"/>
  <c r="P20" i="1"/>
  <c r="P21" i="1" a="1"/>
  <c r="P21" i="1"/>
  <c r="O7" i="1" a="1"/>
  <c r="O7" i="1"/>
  <c r="O8" i="1" a="1"/>
  <c r="O8" i="1"/>
  <c r="O9" i="1" a="1"/>
  <c r="O9" i="1"/>
  <c r="O10" i="1" a="1"/>
  <c r="O10" i="1"/>
  <c r="O11" i="1" a="1"/>
  <c r="O11" i="1"/>
  <c r="O12" i="1" a="1"/>
  <c r="O12" i="1"/>
  <c r="O13" i="1" a="1"/>
  <c r="O13" i="1"/>
  <c r="O14" i="1" a="1"/>
  <c r="O14" i="1"/>
  <c r="O15" i="1" a="1"/>
  <c r="O15" i="1"/>
  <c r="O16" i="1" a="1"/>
  <c r="O16" i="1"/>
  <c r="O17" i="1" a="1"/>
  <c r="O17" i="1"/>
  <c r="O18" i="1" a="1"/>
  <c r="O18" i="1"/>
  <c r="O19" i="1" a="1"/>
  <c r="O19" i="1"/>
  <c r="O20" i="1" a="1"/>
  <c r="O20" i="1"/>
  <c r="O21" i="1" a="1"/>
  <c r="O21" i="1"/>
  <c r="N7" i="1" a="1"/>
  <c r="N7" i="1"/>
  <c r="N8" i="1" a="1"/>
  <c r="N8" i="1"/>
  <c r="N9" i="1" a="1"/>
  <c r="N9" i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19" i="1" a="1"/>
  <c r="N19" i="1"/>
  <c r="N20" i="1" a="1"/>
  <c r="N20" i="1"/>
  <c r="N21" i="1" a="1"/>
  <c r="N21" i="1"/>
  <c r="O28" i="2"/>
  <c r="U28" i="2"/>
  <c r="I21" i="2"/>
  <c r="K22" i="2" a="1"/>
  <c r="K22" i="2"/>
  <c r="N25" i="2"/>
  <c r="P23" i="2"/>
  <c r="Q28" i="2"/>
  <c r="L28" i="2" a="1"/>
  <c r="L28" i="2"/>
  <c r="L22" i="2" a="1"/>
  <c r="L22" i="2"/>
  <c r="L14" i="2" a="1"/>
  <c r="L14" i="2"/>
  <c r="L6" i="2" a="1"/>
  <c r="L6" i="2"/>
  <c r="L9" i="2" a="1"/>
  <c r="L9" i="2"/>
  <c r="L7" i="2" a="1"/>
  <c r="L7" i="2"/>
  <c r="L4" i="2" a="1"/>
  <c r="L4" i="2"/>
  <c r="L31" i="2" a="1"/>
  <c r="L31" i="2"/>
  <c r="L29" i="2" a="1"/>
  <c r="L29" i="2"/>
  <c r="L25" i="2" a="1"/>
  <c r="L25" i="2"/>
  <c r="L23" i="2" a="1"/>
  <c r="L23" i="2"/>
  <c r="L17" i="2" a="1"/>
  <c r="L17" i="2"/>
  <c r="L15" i="2" a="1"/>
  <c r="L15" i="2"/>
  <c r="L3" i="2" a="1"/>
  <c r="L3" i="2"/>
  <c r="L34" i="2" a="1"/>
  <c r="L34" i="2"/>
  <c r="L24" i="2" a="1"/>
  <c r="L24" i="2"/>
  <c r="L16" i="2" a="1"/>
  <c r="L16" i="2"/>
  <c r="L8" i="2" a="1"/>
  <c r="L8" i="2"/>
  <c r="L2" i="2" a="1"/>
  <c r="L2" i="2"/>
  <c r="L5" i="2" a="1"/>
  <c r="L5" i="2"/>
  <c r="L32" i="2" a="1"/>
  <c r="L32" i="2"/>
  <c r="L26" i="2" a="1"/>
  <c r="L26" i="2"/>
  <c r="L18" i="2" a="1"/>
  <c r="L18" i="2"/>
  <c r="L10" i="2" a="1"/>
  <c r="L10" i="2"/>
  <c r="L35" i="2" a="1"/>
  <c r="L35" i="2"/>
  <c r="L33" i="2" a="1"/>
  <c r="L33" i="2"/>
  <c r="L27" i="2" a="1"/>
  <c r="L27" i="2"/>
  <c r="L21" i="2" a="1"/>
  <c r="L21" i="2"/>
  <c r="L19" i="2" a="1"/>
  <c r="L19" i="2"/>
  <c r="L13" i="2" a="1"/>
  <c r="L13" i="2"/>
  <c r="L11" i="2" a="1"/>
  <c r="L11" i="2"/>
  <c r="L30" i="2" a="1"/>
  <c r="L30" i="2"/>
  <c r="L20" i="2" a="1"/>
  <c r="L20" i="2"/>
  <c r="L12" i="2" a="1"/>
  <c r="L12" i="2"/>
  <c r="S25" i="1"/>
  <c r="S23" i="1"/>
  <c r="U25" i="1"/>
  <c r="U23" i="1"/>
  <c r="H80" i="1" a="1"/>
  <c r="H80" i="1"/>
  <c r="H81" i="1" a="1"/>
  <c r="H81" i="1"/>
  <c r="H79" i="1" a="1"/>
  <c r="H79" i="1"/>
  <c r="H72" i="1" a="1"/>
  <c r="H72" i="1"/>
  <c r="H73" i="1" a="1"/>
  <c r="H73" i="1"/>
  <c r="H71" i="1" a="1"/>
  <c r="H71" i="1"/>
  <c r="H76" i="1" a="1"/>
  <c r="H76" i="1"/>
  <c r="H77" i="1" a="1"/>
  <c r="H77" i="1"/>
  <c r="H75" i="1" a="1"/>
  <c r="H75" i="1"/>
  <c r="H68" i="1" a="1"/>
  <c r="H68" i="1"/>
  <c r="H69" i="1" a="1"/>
  <c r="H69" i="1"/>
  <c r="H67" i="1" a="1"/>
  <c r="H67" i="1"/>
  <c r="H64" i="1" a="1"/>
  <c r="H64" i="1"/>
  <c r="H65" i="1" a="1"/>
  <c r="H65" i="1"/>
  <c r="H63" i="1" a="1"/>
  <c r="H63" i="1"/>
  <c r="H60" i="1" a="1"/>
  <c r="H60" i="1"/>
  <c r="H61" i="1" a="1"/>
  <c r="H61" i="1"/>
  <c r="H59" i="1" a="1"/>
  <c r="H59" i="1"/>
  <c r="H56" i="1" a="1"/>
  <c r="H56" i="1"/>
  <c r="H57" i="1" a="1"/>
  <c r="H57" i="1"/>
  <c r="H55" i="1" a="1"/>
  <c r="H55" i="1"/>
  <c r="H52" i="1" a="1"/>
  <c r="H52" i="1"/>
  <c r="H53" i="1" a="1"/>
  <c r="H53" i="1"/>
  <c r="H51" i="1" a="1"/>
  <c r="H51" i="1"/>
  <c r="H48" i="1" a="1"/>
  <c r="H48" i="1"/>
  <c r="H49" i="1" a="1"/>
  <c r="H49" i="1"/>
  <c r="H47" i="1" a="1"/>
  <c r="H47" i="1"/>
  <c r="H44" i="1" a="1"/>
  <c r="H44" i="1"/>
  <c r="H45" i="1" a="1"/>
  <c r="H45" i="1"/>
  <c r="H43" i="1" a="1"/>
  <c r="H43" i="1"/>
  <c r="H40" i="1" a="1"/>
  <c r="H40" i="1"/>
  <c r="H41" i="1" a="1"/>
  <c r="H41" i="1"/>
  <c r="H39" i="1" a="1"/>
  <c r="H39" i="1"/>
  <c r="H36" i="1" a="1"/>
  <c r="H36" i="1"/>
  <c r="H37" i="1" a="1"/>
  <c r="H37" i="1"/>
  <c r="H35" i="1" a="1"/>
  <c r="H35" i="1"/>
  <c r="H32" i="1" a="1"/>
  <c r="H32" i="1"/>
  <c r="H33" i="1" a="1"/>
  <c r="H33" i="1"/>
  <c r="H31" i="1" a="1"/>
  <c r="H31" i="1"/>
  <c r="H24" i="1" a="1"/>
  <c r="H24" i="1"/>
  <c r="H25" i="1" a="1"/>
  <c r="H25" i="1"/>
  <c r="H23" i="1" a="1"/>
  <c r="H23" i="1"/>
  <c r="K11" i="2" a="1"/>
  <c r="K11" i="2"/>
  <c r="K13" i="2" a="1"/>
  <c r="K13" i="2"/>
  <c r="K19" i="2" a="1"/>
  <c r="K19" i="2"/>
  <c r="K21" i="2" a="1"/>
  <c r="K21" i="2"/>
  <c r="K27" i="2" a="1"/>
  <c r="K27" i="2"/>
  <c r="K2" i="2" a="1"/>
  <c r="K2" i="2"/>
  <c r="K26" i="2" a="1"/>
  <c r="K26" i="2"/>
  <c r="K8" i="2" a="1"/>
  <c r="K8" i="2"/>
  <c r="K9" i="2" a="1"/>
  <c r="K9" i="2"/>
  <c r="K15" i="2" a="1"/>
  <c r="K15" i="2"/>
  <c r="K3" i="2" a="1"/>
  <c r="K3" i="2"/>
  <c r="K6" i="2" a="1"/>
  <c r="K6" i="2"/>
  <c r="K10" i="2" a="1"/>
  <c r="K10" i="2"/>
  <c r="K18" i="2" a="1"/>
  <c r="K18" i="2"/>
  <c r="K5" i="2" a="1"/>
  <c r="K5" i="2"/>
  <c r="K17" i="2" a="1"/>
  <c r="K17" i="2"/>
  <c r="K7" i="2" a="1"/>
  <c r="K7" i="2"/>
  <c r="K23" i="2" a="1"/>
  <c r="K23" i="2"/>
  <c r="K4" i="2" a="1"/>
  <c r="K4" i="2"/>
  <c r="K25" i="2" a="1"/>
  <c r="K25" i="2"/>
  <c r="K12" i="2" a="1"/>
  <c r="K12" i="2"/>
  <c r="K20" i="2" a="1"/>
  <c r="K20" i="2"/>
  <c r="K16" i="2" a="1"/>
  <c r="K16" i="2"/>
  <c r="K14" i="2" a="1"/>
  <c r="K14" i="2"/>
  <c r="K24" i="2" a="1"/>
  <c r="K24" i="2"/>
  <c r="I77" i="1"/>
  <c r="I37" i="1"/>
  <c r="I53" i="1"/>
  <c r="J25" i="1"/>
  <c r="J41" i="1"/>
  <c r="J57" i="1"/>
  <c r="J73" i="1"/>
  <c r="I33" i="1"/>
  <c r="I49" i="1"/>
  <c r="I69" i="1"/>
  <c r="I45" i="1"/>
  <c r="I61" i="1"/>
  <c r="I65" i="1"/>
  <c r="I81" i="1"/>
  <c r="I25" i="1"/>
  <c r="I41" i="1"/>
  <c r="I57" i="1"/>
  <c r="I73" i="1"/>
  <c r="J45" i="1"/>
  <c r="J61" i="1"/>
  <c r="J77" i="1"/>
  <c r="J33" i="1"/>
  <c r="J49" i="1"/>
  <c r="J65" i="1"/>
  <c r="J81" i="1"/>
  <c r="J37" i="1"/>
  <c r="J53" i="1"/>
  <c r="J69" i="1"/>
  <c r="F5" i="1"/>
  <c r="H4" i="1" a="1"/>
  <c r="H4" i="1"/>
  <c r="F6" i="1"/>
  <c r="N5" i="1" a="1"/>
  <c r="N5" i="1"/>
  <c r="F7" i="1"/>
  <c r="F8" i="1"/>
  <c r="H5" i="1" a="1"/>
  <c r="H5" i="1"/>
  <c r="F9" i="1"/>
  <c r="N6" i="1" a="1"/>
  <c r="N6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R6" i="1" a="1"/>
  <c r="R6" i="1"/>
  <c r="H21" i="1" a="1"/>
  <c r="H21" i="1"/>
  <c r="T4" i="1" a="1"/>
  <c r="T4" i="1"/>
  <c r="H27" i="1" a="1"/>
  <c r="H27" i="1"/>
  <c r="R5" i="1" a="1"/>
  <c r="R5" i="1"/>
  <c r="H20" i="1" a="1"/>
  <c r="H20" i="1"/>
  <c r="T5" i="1" a="1"/>
  <c r="T5" i="1"/>
  <c r="H28" i="1" a="1"/>
  <c r="H28" i="1"/>
  <c r="R4" i="1" a="1"/>
  <c r="R4" i="1"/>
  <c r="H19" i="1" a="1"/>
  <c r="H19" i="1"/>
  <c r="T6" i="1" a="1"/>
  <c r="T6" i="1"/>
  <c r="H29" i="1" a="1"/>
  <c r="H29" i="1"/>
  <c r="Q5" i="1" a="1"/>
  <c r="Q5" i="1"/>
  <c r="H16" i="1" a="1"/>
  <c r="H16" i="1"/>
  <c r="P4" i="1" a="1"/>
  <c r="P4" i="1"/>
  <c r="H11" i="1" a="1"/>
  <c r="H11" i="1"/>
  <c r="O6" i="1" a="1"/>
  <c r="O6" i="1"/>
  <c r="H9" i="1" a="1"/>
  <c r="H9" i="1"/>
  <c r="Q6" i="1" a="1"/>
  <c r="Q6" i="1"/>
  <c r="H17" i="1" a="1"/>
  <c r="H17" i="1"/>
  <c r="P5" i="1" a="1"/>
  <c r="P5" i="1"/>
  <c r="H12" i="1" a="1"/>
  <c r="H12" i="1"/>
  <c r="Q4" i="1" a="1"/>
  <c r="Q4" i="1"/>
  <c r="H15" i="1" a="1"/>
  <c r="H15" i="1"/>
  <c r="P6" i="1" a="1"/>
  <c r="P6" i="1"/>
  <c r="H13" i="1" a="1"/>
  <c r="H13" i="1"/>
  <c r="O5" i="1" a="1"/>
  <c r="O5" i="1"/>
  <c r="H8" i="1" a="1"/>
  <c r="H8" i="1"/>
  <c r="O4" i="1" a="1"/>
  <c r="O4" i="1"/>
  <c r="H7" i="1" a="1"/>
  <c r="H7" i="1"/>
  <c r="F4" i="1"/>
  <c r="F3" i="1"/>
  <c r="F2" i="1"/>
  <c r="Q25" i="1"/>
  <c r="T23" i="1"/>
  <c r="U28" i="1"/>
  <c r="T25" i="1"/>
  <c r="R25" i="1"/>
  <c r="R23" i="1"/>
  <c r="S28" i="1"/>
  <c r="I29" i="1"/>
  <c r="J29" i="1"/>
  <c r="Q23" i="1"/>
  <c r="I21" i="1"/>
  <c r="J21" i="1"/>
  <c r="O23" i="1"/>
  <c r="O25" i="1"/>
  <c r="J17" i="1"/>
  <c r="I17" i="1"/>
  <c r="I13" i="1"/>
  <c r="J13" i="1"/>
  <c r="P25" i="1"/>
  <c r="P23" i="1"/>
  <c r="N4" i="1" a="1"/>
  <c r="N4" i="1"/>
  <c r="N23" i="1"/>
  <c r="O28" i="1"/>
  <c r="H3" i="1" a="1"/>
  <c r="H3" i="1"/>
  <c r="J9" i="1"/>
  <c r="I9" i="1"/>
  <c r="Q28" i="1"/>
  <c r="J5" i="1"/>
  <c r="I5" i="1"/>
  <c r="N25" i="1"/>
  <c r="L27" i="1" a="1"/>
  <c r="L27" i="1"/>
  <c r="L26" i="1" a="1"/>
  <c r="L26" i="1"/>
  <c r="L32" i="1" a="1"/>
  <c r="L32" i="1"/>
  <c r="L28" i="1" a="1"/>
  <c r="L28" i="1"/>
  <c r="L23" i="1" a="1"/>
  <c r="L23" i="1"/>
  <c r="L22" i="1" a="1"/>
  <c r="L22" i="1"/>
  <c r="L21" i="1" a="1"/>
  <c r="L21" i="1"/>
  <c r="L17" i="1" a="1"/>
  <c r="L17" i="1"/>
  <c r="L10" i="1" a="1"/>
  <c r="L10" i="1"/>
  <c r="L11" i="1" a="1"/>
  <c r="L11" i="1"/>
  <c r="L4" i="1" a="1"/>
  <c r="L4" i="1"/>
  <c r="L16" i="1" a="1"/>
  <c r="L16" i="1"/>
  <c r="L7" i="1" a="1"/>
  <c r="L7" i="1"/>
  <c r="L3" i="1" a="1"/>
  <c r="L3" i="1"/>
  <c r="L30" i="1" a="1"/>
  <c r="L30" i="1"/>
  <c r="L25" i="1" a="1"/>
  <c r="L25" i="1"/>
  <c r="L24" i="1" a="1"/>
  <c r="L24" i="1"/>
  <c r="L19" i="1" a="1"/>
  <c r="L19" i="1"/>
  <c r="L6" i="1" a="1"/>
  <c r="L6" i="1"/>
  <c r="L31" i="1" a="1"/>
  <c r="L31" i="1"/>
  <c r="L9" i="1" a="1"/>
  <c r="L9" i="1"/>
  <c r="L35" i="1" a="1"/>
  <c r="L35" i="1"/>
  <c r="L29" i="1" a="1"/>
  <c r="L29" i="1"/>
  <c r="L12" i="1" a="1"/>
  <c r="L12" i="1"/>
  <c r="L8" i="1" a="1"/>
  <c r="L8" i="1"/>
  <c r="L34" i="1" a="1"/>
  <c r="L34" i="1"/>
  <c r="L2" i="1" a="1"/>
  <c r="L2" i="1"/>
  <c r="L13" i="1" a="1"/>
  <c r="L13" i="1"/>
  <c r="L20" i="1" a="1"/>
  <c r="L20" i="1"/>
  <c r="L18" i="1" a="1"/>
  <c r="L18" i="1"/>
  <c r="L14" i="1" a="1"/>
  <c r="L14" i="1"/>
  <c r="L5" i="1" a="1"/>
  <c r="L5" i="1"/>
  <c r="L33" i="1" a="1"/>
  <c r="L33" i="1"/>
  <c r="L15" i="1" a="1"/>
  <c r="L15" i="1"/>
  <c r="K26" i="1" a="1"/>
  <c r="K26" i="1"/>
  <c r="K17" i="1" a="1"/>
  <c r="K17" i="1"/>
  <c r="K19" i="1" a="1"/>
  <c r="K19" i="1"/>
  <c r="K3" i="1" a="1"/>
  <c r="K3" i="1"/>
  <c r="K20" i="1" a="1"/>
  <c r="K20" i="1"/>
  <c r="K11" i="1" a="1"/>
  <c r="K11" i="1"/>
  <c r="K15" i="1" a="1"/>
  <c r="K15" i="1"/>
  <c r="K22" i="1" a="1"/>
  <c r="K22" i="1"/>
  <c r="K16" i="1" a="1"/>
  <c r="K16" i="1"/>
  <c r="K18" i="1" a="1"/>
  <c r="K18" i="1"/>
  <c r="K9" i="1" a="1"/>
  <c r="K9" i="1"/>
  <c r="K8" i="1" a="1"/>
  <c r="K8" i="1"/>
  <c r="K25" i="1" a="1"/>
  <c r="K25" i="1"/>
  <c r="K12" i="1" a="1"/>
  <c r="K12" i="1"/>
  <c r="K14" i="1" a="1"/>
  <c r="K14" i="1"/>
  <c r="K5" i="1" a="1"/>
  <c r="K5" i="1"/>
  <c r="K7" i="1" a="1"/>
  <c r="K7" i="1"/>
  <c r="K6" i="1" a="1"/>
  <c r="K6" i="1"/>
  <c r="K27" i="1" a="1"/>
  <c r="K27" i="1"/>
  <c r="K10" i="1" a="1"/>
  <c r="K10" i="1"/>
  <c r="K24" i="1" a="1"/>
  <c r="K24" i="1"/>
  <c r="K23" i="1" a="1"/>
  <c r="K23" i="1"/>
  <c r="K21" i="1" a="1"/>
  <c r="K21" i="1"/>
  <c r="K4" i="1" a="1"/>
  <c r="K4" i="1"/>
  <c r="K2" i="1" a="1"/>
  <c r="K2" i="1"/>
  <c r="K13" i="1" a="1"/>
  <c r="K13" i="1"/>
</calcChain>
</file>

<file path=xl/sharedStrings.xml><?xml version="1.0" encoding="utf-8"?>
<sst xmlns="http://schemas.openxmlformats.org/spreadsheetml/2006/main" count="944" uniqueCount="111">
  <si>
    <t>Treatment</t>
  </si>
  <si>
    <t>Dilution</t>
  </si>
  <si>
    <t>10^-4</t>
  </si>
  <si>
    <t>10^-5</t>
  </si>
  <si>
    <t>10^-3</t>
  </si>
  <si>
    <t>TMTC</t>
  </si>
  <si>
    <t>Technical Replicate 1</t>
  </si>
  <si>
    <t>Technical Replicate 2</t>
  </si>
  <si>
    <t>Biological Replicate</t>
  </si>
  <si>
    <t>CFU/ld</t>
  </si>
  <si>
    <t>Stdev</t>
  </si>
  <si>
    <t>Good Reps</t>
  </si>
  <si>
    <t>Plant 1</t>
  </si>
  <si>
    <t>Plant 2</t>
  </si>
  <si>
    <t>Plant 3</t>
  </si>
  <si>
    <t>Plant 4</t>
  </si>
  <si>
    <t>Plant 5</t>
  </si>
  <si>
    <t>Plant 6</t>
  </si>
  <si>
    <t>Plant 7</t>
  </si>
  <si>
    <t>Plant 8</t>
  </si>
  <si>
    <t>Plant 9</t>
  </si>
  <si>
    <t>Plant 10</t>
  </si>
  <si>
    <t>Plant 11</t>
  </si>
  <si>
    <t>Plant 12</t>
  </si>
  <si>
    <t>Plant 13</t>
  </si>
  <si>
    <t>Plant 14</t>
  </si>
  <si>
    <t>Plant 15</t>
  </si>
  <si>
    <t>Plant 16</t>
  </si>
  <si>
    <t>Plant 17</t>
  </si>
  <si>
    <t>Plant 18</t>
  </si>
  <si>
    <t>Plant 19</t>
  </si>
  <si>
    <t>Plant 20</t>
  </si>
  <si>
    <t>Plants</t>
  </si>
  <si>
    <t>Averages</t>
  </si>
  <si>
    <t>Averages Cut</t>
  </si>
  <si>
    <t>Stdev Cut</t>
  </si>
  <si>
    <t>AVG T1</t>
  </si>
  <si>
    <t>AVG T2</t>
  </si>
  <si>
    <t>AVGT3</t>
  </si>
  <si>
    <t>AVG T4</t>
  </si>
  <si>
    <t>AVG T5</t>
  </si>
  <si>
    <t>AVG T6</t>
  </si>
  <si>
    <t>AVG T7</t>
  </si>
  <si>
    <t>AVG T8</t>
  </si>
  <si>
    <t>STDEV T1</t>
  </si>
  <si>
    <t>STDEV T2</t>
  </si>
  <si>
    <t>STDEV T3</t>
  </si>
  <si>
    <t>STDEV T4</t>
  </si>
  <si>
    <t>STDEV T5</t>
  </si>
  <si>
    <t>STDEV T6</t>
  </si>
  <si>
    <t>STDEV T8</t>
  </si>
  <si>
    <t>STDEV T7</t>
  </si>
  <si>
    <t>Plant lower</t>
  </si>
  <si>
    <t>Plant higher</t>
  </si>
  <si>
    <t>Col-0 Young</t>
  </si>
  <si>
    <t>Col-0 Mature</t>
  </si>
  <si>
    <t>10^-2</t>
  </si>
  <si>
    <t>tmtc</t>
  </si>
  <si>
    <t>Y.Col</t>
  </si>
  <si>
    <t>M.Col</t>
  </si>
  <si>
    <t>Y.ald</t>
  </si>
  <si>
    <t>M.ald</t>
  </si>
  <si>
    <t>Y.bak1-3</t>
  </si>
  <si>
    <t>M.bak1-3</t>
  </si>
  <si>
    <t>Y.hsfb1</t>
  </si>
  <si>
    <t>M.hsfb1</t>
  </si>
  <si>
    <t>Col</t>
  </si>
  <si>
    <t>bak1-3</t>
  </si>
  <si>
    <t>hsfb1-1</t>
  </si>
  <si>
    <t>ald1</t>
  </si>
  <si>
    <t>ald1-T2 Young</t>
  </si>
  <si>
    <t>sard4 Young</t>
  </si>
  <si>
    <t>fmo1-1 Young</t>
  </si>
  <si>
    <t>ald1-T2 Mature</t>
  </si>
  <si>
    <t>sard4 Mature</t>
  </si>
  <si>
    <t>fmo1-1 mature</t>
  </si>
  <si>
    <t>TMTc</t>
  </si>
  <si>
    <t>TNTC</t>
  </si>
  <si>
    <t>tftc</t>
  </si>
  <si>
    <t>~1</t>
  </si>
  <si>
    <t>tntc</t>
  </si>
  <si>
    <t>Y.ald1-T2</t>
  </si>
  <si>
    <t>Y.fmo1-1</t>
  </si>
  <si>
    <t>M.ald1-T2</t>
  </si>
  <si>
    <t>M.fmo1-1</t>
  </si>
  <si>
    <t>Y.fmo1</t>
  </si>
  <si>
    <t>M.fmo1</t>
  </si>
  <si>
    <t>Average</t>
  </si>
  <si>
    <t>Col-0</t>
  </si>
  <si>
    <t>fmo1</t>
  </si>
  <si>
    <t>experiment</t>
  </si>
  <si>
    <t>Y_Col</t>
  </si>
  <si>
    <t>M_Col</t>
  </si>
  <si>
    <t>Y_ald1</t>
  </si>
  <si>
    <t>M_ald1</t>
  </si>
  <si>
    <t>Y_sard4</t>
  </si>
  <si>
    <t>M_sard4</t>
  </si>
  <si>
    <t>Y_fmo1</t>
  </si>
  <si>
    <t>M_fmo1</t>
  </si>
  <si>
    <t>ARR-PIP-21-1</t>
  </si>
  <si>
    <t>ARR-PIP-21-2</t>
  </si>
  <si>
    <t>ARR-PIP-21-3</t>
  </si>
  <si>
    <t>ARR-PIP-21-4</t>
  </si>
  <si>
    <t>ARR-PIP-22-1</t>
  </si>
  <si>
    <t>genotype</t>
  </si>
  <si>
    <t>age</t>
  </si>
  <si>
    <t>cfu</t>
  </si>
  <si>
    <t>Y</t>
  </si>
  <si>
    <t>M</t>
  </si>
  <si>
    <t>ald1-T2</t>
  </si>
  <si>
    <t>fmo1-1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</si>
</sst>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49" fontId="2" fillId="0" borderId="1" xfId="0" applyNumberFormat="1" applyFont="1" applyBorder="1" applyAlignment="1">
      <alignment wrapText="1"/>
    </xf>
    <xf numFmtId="1" fontId="2" fillId="0" borderId="9" xfId="0" applyNumberFormat="1" applyFont="1" applyBorder="1" applyAlignment="1">
      <alignment horizontal="center" wrapText="1"/>
    </xf>
    <xf numFmtId="1" fontId="2" fillId="0" borderId="2" xfId="0" applyNumberFormat="1" applyFont="1" applyBorder="1"/>
    <xf numFmtId="11" fontId="2" fillId="0" borderId="11" xfId="0" applyNumberFormat="1" applyFont="1" applyBorder="1"/>
    <xf numFmtId="11" fontId="3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3" xfId="0" applyNumberFormat="1" applyFont="1" applyBorder="1"/>
    <xf numFmtId="11" fontId="3" fillId="0" borderId="5" xfId="0" applyNumberFormat="1" applyFont="1" applyBorder="1"/>
    <xf numFmtId="11" fontId="3" fillId="0" borderId="17" xfId="0" applyNumberFormat="1" applyFont="1" applyBorder="1"/>
    <xf numFmtId="1" fontId="3" fillId="0" borderId="4" xfId="0" applyNumberFormat="1" applyFont="1" applyBorder="1"/>
    <xf numFmtId="1" fontId="3" fillId="0" borderId="16" xfId="0" applyNumberFormat="1" applyFont="1" applyBorder="1"/>
    <xf numFmtId="11" fontId="3" fillId="0" borderId="5" xfId="0" applyNumberFormat="1" applyFont="1" applyBorder="1" applyAlignment="1">
      <alignment horizontal="center" wrapText="1"/>
    </xf>
    <xf numFmtId="11" fontId="3" fillId="0" borderId="5" xfId="0" applyNumberFormat="1" applyFont="1" applyBorder="1" applyAlignment="1">
      <alignment wrapText="1"/>
    </xf>
    <xf numFmtId="0" fontId="4" fillId="0" borderId="8" xfId="0" applyFont="1" applyBorder="1" applyAlignment="1">
      <alignment horizontal="center"/>
    </xf>
    <xf numFmtId="0" fontId="3" fillId="0" borderId="7" xfId="0" applyFont="1" applyBorder="1"/>
    <xf numFmtId="1" fontId="3" fillId="4" borderId="3" xfId="0" applyNumberFormat="1" applyFont="1" applyFill="1" applyBorder="1"/>
    <xf numFmtId="1" fontId="3" fillId="4" borderId="4" xfId="0" applyNumberFormat="1" applyFont="1" applyFill="1" applyBorder="1"/>
    <xf numFmtId="1" fontId="3" fillId="4" borderId="16" xfId="0" applyNumberFormat="1" applyFont="1" applyFill="1" applyBorder="1"/>
    <xf numFmtId="1" fontId="3" fillId="3" borderId="3" xfId="0" applyNumberFormat="1" applyFont="1" applyFill="1" applyBorder="1"/>
    <xf numFmtId="11" fontId="3" fillId="0" borderId="0" xfId="0" applyNumberFormat="1" applyFont="1" applyAlignment="1">
      <alignment wrapText="1"/>
    </xf>
    <xf numFmtId="11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horizontal="center" wrapText="1"/>
    </xf>
    <xf numFmtId="1" fontId="3" fillId="0" borderId="0" xfId="0" applyNumberFormat="1" applyFont="1"/>
    <xf numFmtId="11" fontId="2" fillId="0" borderId="0" xfId="0" applyNumberFormat="1" applyFont="1"/>
    <xf numFmtId="0" fontId="2" fillId="0" borderId="17" xfId="0" applyFont="1" applyBorder="1"/>
    <xf numFmtId="0" fontId="3" fillId="0" borderId="19" xfId="0" applyFont="1" applyBorder="1"/>
    <xf numFmtId="0" fontId="3" fillId="0" borderId="4" xfId="0" applyFont="1" applyBorder="1"/>
    <xf numFmtId="1" fontId="3" fillId="0" borderId="22" xfId="0" applyNumberFormat="1" applyFont="1" applyBorder="1"/>
    <xf numFmtId="11" fontId="3" fillId="2" borderId="23" xfId="0" applyNumberFormat="1" applyFont="1" applyFill="1" applyBorder="1"/>
    <xf numFmtId="11" fontId="3" fillId="2" borderId="25" xfId="0" applyNumberFormat="1" applyFont="1" applyFill="1" applyBorder="1"/>
    <xf numFmtId="11" fontId="3" fillId="2" borderId="26" xfId="0" applyNumberFormat="1" applyFont="1" applyFill="1" applyBorder="1"/>
    <xf numFmtId="11" fontId="3" fillId="2" borderId="27" xfId="0" applyNumberFormat="1" applyFont="1" applyFill="1" applyBorder="1"/>
    <xf numFmtId="1" fontId="3" fillId="0" borderId="30" xfId="0" applyNumberFormat="1" applyFont="1" applyBorder="1"/>
    <xf numFmtId="11" fontId="3" fillId="2" borderId="31" xfId="0" applyNumberFormat="1" applyFont="1" applyFill="1" applyBorder="1"/>
    <xf numFmtId="1" fontId="3" fillId="3" borderId="22" xfId="0" applyNumberFormat="1" applyFont="1" applyFill="1" applyBorder="1"/>
    <xf numFmtId="11" fontId="0" fillId="0" borderId="18" xfId="0" quotePrefix="1" applyNumberFormat="1" applyBorder="1"/>
    <xf numFmtId="11" fontId="3" fillId="0" borderId="18" xfId="0" quotePrefix="1" applyNumberFormat="1" applyFont="1" applyBorder="1"/>
    <xf numFmtId="11" fontId="3" fillId="0" borderId="18" xfId="0" applyNumberFormat="1" applyFont="1" applyBorder="1" applyAlignment="1">
      <alignment wrapText="1"/>
    </xf>
    <xf numFmtId="11" fontId="3" fillId="0" borderId="5" xfId="0" quotePrefix="1" applyNumberFormat="1" applyFont="1" applyBorder="1"/>
    <xf numFmtId="11" fontId="3" fillId="0" borderId="6" xfId="0" applyNumberFormat="1" applyFont="1" applyBorder="1" applyAlignment="1">
      <alignment wrapText="1"/>
    </xf>
    <xf numFmtId="11" fontId="3" fillId="0" borderId="32" xfId="0" applyNumberFormat="1" applyFont="1" applyBorder="1"/>
    <xf numFmtId="11" fontId="3" fillId="0" borderId="7" xfId="0" applyNumberFormat="1" applyFont="1" applyBorder="1"/>
    <xf numFmtId="11" fontId="1" fillId="0" borderId="0" xfId="0" applyNumberFormat="1" applyFont="1"/>
    <xf numFmtId="11" fontId="1" fillId="0" borderId="5" xfId="0" applyNumberFormat="1" applyFont="1" applyBorder="1"/>
    <xf numFmtId="11" fontId="1" fillId="0" borderId="17" xfId="0" applyNumberFormat="1" applyFont="1" applyBorder="1"/>
    <xf numFmtId="11" fontId="1" fillId="0" borderId="0" xfId="0" applyNumberFormat="1" applyFont="1" applyAlignment="1">
      <alignment wrapText="1"/>
    </xf>
    <xf numFmtId="11" fontId="4" fillId="0" borderId="8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wrapText="1"/>
    </xf>
    <xf numFmtId="49" fontId="3" fillId="0" borderId="24" xfId="0" applyNumberFormat="1" applyFont="1" applyBorder="1" applyAlignment="1">
      <alignment wrapText="1"/>
    </xf>
    <xf numFmtId="49" fontId="3" fillId="0" borderId="28" xfId="0" applyNumberFormat="1" applyFont="1" applyBorder="1" applyAlignment="1">
      <alignment wrapText="1"/>
    </xf>
    <xf numFmtId="1" fontId="3" fillId="0" borderId="21" xfId="0" applyNumberFormat="1" applyFont="1" applyBorder="1" applyAlignment="1">
      <alignment wrapText="1"/>
    </xf>
    <xf numFmtId="1" fontId="3" fillId="0" borderId="14" xfId="0" applyNumberFormat="1" applyFont="1" applyBorder="1" applyAlignment="1">
      <alignment wrapText="1"/>
    </xf>
    <xf numFmtId="1" fontId="3" fillId="0" borderId="15" xfId="0" applyNumberFormat="1" applyFont="1" applyBorder="1" applyAlignment="1">
      <alignment wrapText="1"/>
    </xf>
    <xf numFmtId="1" fontId="3" fillId="0" borderId="13" xfId="0" applyNumberFormat="1" applyFont="1" applyBorder="1" applyAlignment="1">
      <alignment wrapText="1"/>
    </xf>
    <xf numFmtId="1" fontId="3" fillId="0" borderId="29" xfId="0" applyNumberFormat="1" applyFont="1" applyBorder="1" applyAlignment="1">
      <alignment wrapText="1"/>
    </xf>
    <xf numFmtId="1" fontId="0" fillId="0" borderId="22" xfId="0" applyNumberFormat="1" applyBorder="1"/>
    <xf numFmtId="1" fontId="0" fillId="0" borderId="3" xfId="0" applyNumberFormat="1" applyBorder="1"/>
    <xf numFmtId="0" fontId="3" fillId="0" borderId="0" xfId="0" applyFont="1" applyAlignment="1">
      <alignment wrapText="1"/>
    </xf>
    <xf numFmtId="0" fontId="3" fillId="0" borderId="5" xfId="0" applyFont="1" applyBorder="1"/>
    <xf numFmtId="0" fontId="3" fillId="0" borderId="17" xfId="0" applyFont="1" applyBorder="1"/>
    <xf numFmtId="0" fontId="0" fillId="0" borderId="0" xfId="0" quotePrefix="1"/>
    <xf numFmtId="0" fontId="3" fillId="0" borderId="5" xfId="0" quotePrefix="1" applyFont="1" applyBorder="1"/>
    <xf numFmtId="0" fontId="4" fillId="0" borderId="5" xfId="0" quotePrefix="1" applyFont="1" applyBorder="1"/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0" fillId="0" borderId="0" xfId="0" applyNumberFormat="1"/>
    <xf numFmtId="11" fontId="0" fillId="0" borderId="0" xfId="0" applyNumberFormat="1"/>
    <xf numFmtId="1" fontId="3" fillId="0" borderId="13" xfId="0" applyNumberFormat="1" applyFont="1" applyBorder="1" applyAlignment="1">
      <alignment horizontal="center" wrapText="1"/>
    </xf>
    <xf numFmtId="1" fontId="3" fillId="0" borderId="14" xfId="0" applyNumberFormat="1" applyFont="1" applyBorder="1" applyAlignment="1">
      <alignment horizontal="center" wrapText="1"/>
    </xf>
    <xf numFmtId="1" fontId="3" fillId="0" borderId="15" xfId="0" applyNumberFormat="1" applyFont="1" applyBorder="1" applyAlignment="1">
      <alignment horizontal="center" wrapText="1"/>
    </xf>
    <xf numFmtId="1" fontId="3" fillId="0" borderId="29" xfId="0" applyNumberFormat="1" applyFont="1" applyBorder="1" applyAlignment="1">
      <alignment horizontal="center" wrapText="1"/>
    </xf>
    <xf numFmtId="49" fontId="0" fillId="0" borderId="20" xfId="0" applyNumberFormat="1" applyBorder="1" applyAlignment="1">
      <alignment horizontal="center" wrapText="1"/>
    </xf>
    <xf numFmtId="49" fontId="3" fillId="0" borderId="24" xfId="0" applyNumberFormat="1" applyFont="1" applyBorder="1" applyAlignment="1">
      <alignment horizontal="center" wrapText="1"/>
    </xf>
    <xf numFmtId="49" fontId="3" fillId="0" borderId="28" xfId="0" applyNumberFormat="1" applyFont="1" applyBorder="1" applyAlignment="1">
      <alignment horizontal="center" wrapText="1"/>
    </xf>
    <xf numFmtId="1" fontId="3" fillId="0" borderId="2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1" fontId="3" fillId="0" borderId="12" xfId="0" applyNumberFormat="1" applyFont="1" applyBorder="1" applyAlignment="1">
      <alignment horizontal="center" wrapText="1"/>
    </xf>
    <xf numFmtId="1" fontId="3" fillId="0" borderId="33" xfId="0" applyNumberFormat="1" applyFont="1" applyBorder="1" applyAlignment="1">
      <alignment horizontal="center" wrapText="1"/>
    </xf>
    <xf numFmtId="1" fontId="3" fillId="0" borderId="10" xfId="0" applyNumberFormat="1" applyFont="1" applyBorder="1" applyAlignment="1">
      <alignment horizontal="center" wrapText="1"/>
    </xf>
    <xf numFmtId="1" fontId="3" fillId="0" borderId="34" xfId="0" applyNumberFormat="1" applyFont="1" applyBorder="1" applyAlignment="1">
      <alignment horizontal="center" wrapText="1"/>
    </xf>
    <xf numFmtId="49" fontId="3" fillId="0" borderId="2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7.499987203658047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823-485D-9C80-AB045246615D}"/>
              </c:ext>
            </c:extLst>
          </c:dPt>
          <c:errBars>
            <c:errBarType val="both"/>
            <c:errValType val="cust"/>
            <c:noEndCap val="0"/>
            <c:plus>
              <c:numRef>
                <c:f>('ARR-PIP-21-1'!$N$25,'ARR-PIP-21-1'!$P$25,'ARR-PIP-21-1'!$R$25,'ARR-PIP-21-1'!$T$25)</c:f>
                <c:numCache>
                  <c:formatCode>General</c:formatCode>
                  <c:ptCount val="4"/>
                  <c:pt idx="0">
                    <c:v>1588942.9138056936</c:v>
                  </c:pt>
                  <c:pt idx="1">
                    <c:v>1417432.3910978357</c:v>
                  </c:pt>
                  <c:pt idx="2">
                    <c:v>875743.73154098762</c:v>
                  </c:pt>
                  <c:pt idx="3">
                    <c:v>1254678.7437427957</c:v>
                  </c:pt>
                </c:numCache>
              </c:numRef>
            </c:plus>
            <c:minus>
              <c:numRef>
                <c:f>('ARR-PIP-21-1'!$N$25,'ARR-PIP-21-1'!$P$25,'ARR-PIP-21-1'!$R$25,'ARR-PIP-21-1'!$T$25)</c:f>
                <c:numCache>
                  <c:formatCode>General</c:formatCode>
                  <c:ptCount val="4"/>
                  <c:pt idx="0">
                    <c:v>1588942.9138056936</c:v>
                  </c:pt>
                  <c:pt idx="1">
                    <c:v>1417432.3910978357</c:v>
                  </c:pt>
                  <c:pt idx="2">
                    <c:v>875743.73154098762</c:v>
                  </c:pt>
                  <c:pt idx="3">
                    <c:v>1254678.7437427957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'ARR-PIP-21-1'!$M$22:$M$25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('ARR-PIP-21-1'!$N$23,'ARR-PIP-21-1'!$P$23,'ARR-PIP-21-1'!$R$23,'ARR-PIP-21-1'!$T$23)</c:f>
              <c:numCache>
                <c:formatCode>0.00E+00</c:formatCode>
                <c:ptCount val="4"/>
                <c:pt idx="0">
                  <c:v>8416666.666666666</c:v>
                </c:pt>
                <c:pt idx="1">
                  <c:v>7333333.333333333</c:v>
                </c:pt>
                <c:pt idx="2">
                  <c:v>7145833.333333333</c:v>
                </c:pt>
                <c:pt idx="3">
                  <c:v>8062500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CF-466A-A081-0C591E5916E4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('ARR-PIP-21-1'!$O$25,'ARR-PIP-21-1'!$Q$25,'ARR-PIP-21-1'!$S$25,'ARR-PIP-21-1'!$U$25)</c:f>
                <c:numCache>
                  <c:formatCode>General</c:formatCode>
                  <c:ptCount val="4"/>
                  <c:pt idx="0">
                    <c:v>40650.632938901894</c:v>
                  </c:pt>
                  <c:pt idx="1">
                    <c:v>411124.60094234208</c:v>
                  </c:pt>
                  <c:pt idx="2">
                    <c:v>215933.05289680258</c:v>
                  </c:pt>
                  <c:pt idx="3">
                    <c:v>309506.49562381319</c:v>
                  </c:pt>
                </c:numCache>
              </c:numRef>
            </c:plus>
            <c:minus>
              <c:numRef>
                <c:f>('ARR-PIP-21-1'!$O$25,'ARR-PIP-21-1'!$Q$25,'ARR-PIP-21-1'!$S$25,'ARR-PIP-21-1'!$U$25)</c:f>
                <c:numCache>
                  <c:formatCode>General</c:formatCode>
                  <c:ptCount val="4"/>
                  <c:pt idx="0">
                    <c:v>40650.632938901894</c:v>
                  </c:pt>
                  <c:pt idx="1">
                    <c:v>411124.60094234208</c:v>
                  </c:pt>
                  <c:pt idx="2">
                    <c:v>215933.05289680258</c:v>
                  </c:pt>
                  <c:pt idx="3">
                    <c:v>309506.49562381319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'ARR-PIP-21-1'!$M$22:$M$25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('ARR-PIP-21-1'!$O$23,'ARR-PIP-21-1'!$Q$23,'ARR-PIP-21-1'!$S$23,'ARR-PIP-21-1'!$U$23)</c:f>
              <c:numCache>
                <c:formatCode>0.00E+00</c:formatCode>
                <c:ptCount val="4"/>
                <c:pt idx="0">
                  <c:v>174791.66666666666</c:v>
                </c:pt>
                <c:pt idx="1">
                  <c:v>1425000</c:v>
                </c:pt>
                <c:pt idx="2">
                  <c:v>384166.66666666669</c:v>
                </c:pt>
                <c:pt idx="3">
                  <c:v>1335416.6666666667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CF-466A-A081-0C591E591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321-4411-A5E4-60A084A1C606}"/>
              </c:ext>
            </c:extLst>
          </c:dPt>
          <c:errBars>
            <c:errBarType val="both"/>
            <c:errValType val="cust"/>
            <c:noEndCap val="0"/>
            <c:plus>
              <c:numRef>
                <c:f>('ARR-PIP-21-2'!$N$25,'ARR-PIP-21-2'!$P$25,'ARR-PIP-21-2'!$R$25,'ARR-PIP-21-2'!$T$25)</c:f>
                <c:numCache>
                  <c:formatCode>General</c:formatCode>
                  <c:ptCount val="4"/>
                  <c:pt idx="0">
                    <c:v>308305.17889476544</c:v>
                  </c:pt>
                  <c:pt idx="1">
                    <c:v>125000</c:v>
                  </c:pt>
                  <c:pt idx="2">
                    <c:v>505181.48554092273</c:v>
                  </c:pt>
                  <c:pt idx="3">
                    <c:v>473242.36215002247</c:v>
                  </c:pt>
                </c:numCache>
              </c:numRef>
            </c:plus>
            <c:minus>
              <c:numRef>
                <c:f>('ARR-PIP-21-2'!$N$25,'ARR-PIP-21-2'!$P$25,'ARR-PIP-21-2'!$R$25,'ARR-PIP-21-2'!$T$25)</c:f>
                <c:numCache>
                  <c:formatCode>General</c:formatCode>
                  <c:ptCount val="4"/>
                  <c:pt idx="0">
                    <c:v>308305.17889476544</c:v>
                  </c:pt>
                  <c:pt idx="1">
                    <c:v>125000</c:v>
                  </c:pt>
                  <c:pt idx="2">
                    <c:v>505181.48554092273</c:v>
                  </c:pt>
                  <c:pt idx="3">
                    <c:v>473242.36215002247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'ARR-PIP-21-2'!$M$22:$M$25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('ARR-PIP-21-2'!$N$23,'ARR-PIP-21-2'!$P$23,'ARR-PIP-21-2'!$R$23,'ARR-PIP-21-2'!$T$23)</c:f>
              <c:numCache>
                <c:formatCode>0.00E+00</c:formatCode>
                <c:ptCount val="4"/>
                <c:pt idx="0">
                  <c:v>2666666.6666666665</c:v>
                </c:pt>
                <c:pt idx="1">
                  <c:v>2625000</c:v>
                </c:pt>
                <c:pt idx="2">
                  <c:v>1416666.6666666667</c:v>
                </c:pt>
                <c:pt idx="3">
                  <c:v>1729166.6666666667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1-4411-A5E4-60A084A1C606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('ARR-PIP-21-2'!$O$25,'ARR-PIP-21-2'!$Q$25,'ARR-PIP-21-2'!$S$25,'ARR-PIP-21-2'!$U$25)</c:f>
                <c:numCache>
                  <c:formatCode>General</c:formatCode>
                  <c:ptCount val="4"/>
                  <c:pt idx="0">
                    <c:v>76395.86458048629</c:v>
                  </c:pt>
                  <c:pt idx="1">
                    <c:v>153220.63340164078</c:v>
                  </c:pt>
                  <c:pt idx="2">
                    <c:v>85314.980122680267</c:v>
                  </c:pt>
                  <c:pt idx="3">
                    <c:v>516044.65246074781</c:v>
                  </c:pt>
                </c:numCache>
              </c:numRef>
            </c:plus>
            <c:minus>
              <c:numRef>
                <c:f>('ARR-PIP-21-2'!$O$25,'ARR-PIP-21-2'!$Q$25,'ARR-PIP-21-2'!$S$25,'ARR-PIP-21-2'!$U$25)</c:f>
                <c:numCache>
                  <c:formatCode>General</c:formatCode>
                  <c:ptCount val="4"/>
                  <c:pt idx="0">
                    <c:v>76395.86458048629</c:v>
                  </c:pt>
                  <c:pt idx="1">
                    <c:v>153220.63340164078</c:v>
                  </c:pt>
                  <c:pt idx="2">
                    <c:v>85314.980122680267</c:v>
                  </c:pt>
                  <c:pt idx="3">
                    <c:v>516044.65246074781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'ARR-PIP-21-2'!$M$22:$M$25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('ARR-PIP-21-2'!$O$23,'ARR-PIP-21-2'!$Q$23,'ARR-PIP-21-2'!$S$23,'ARR-PIP-21-2'!$U$23)</c:f>
              <c:numCache>
                <c:formatCode>0.00E+00</c:formatCode>
                <c:ptCount val="4"/>
                <c:pt idx="0">
                  <c:v>105625</c:v>
                </c:pt>
                <c:pt idx="1">
                  <c:v>2093750</c:v>
                </c:pt>
                <c:pt idx="2">
                  <c:v>235416.66666666666</c:v>
                </c:pt>
                <c:pt idx="3">
                  <c:v>2466666.6666666665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1-4411-A5E4-60A084A1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6AB-40EA-AC2B-E65AE033CC17}"/>
              </c:ext>
            </c:extLst>
          </c:dPt>
          <c:errBars>
            <c:errBarType val="both"/>
            <c:errValType val="cust"/>
            <c:noEndCap val="0"/>
            <c:plus>
              <c:numRef>
                <c:f>('ARR-PIP-21-2'!$N$25,'ARR-PIP-21-2'!$P$25,'ARR-PIP-21-2'!$T$25)</c:f>
                <c:numCache>
                  <c:formatCode>General</c:formatCode>
                  <c:ptCount val="3"/>
                  <c:pt idx="0">
                    <c:v>308305.17889476544</c:v>
                  </c:pt>
                  <c:pt idx="1">
                    <c:v>125000</c:v>
                  </c:pt>
                  <c:pt idx="2">
                    <c:v>473242.36215002247</c:v>
                  </c:pt>
                </c:numCache>
              </c:numRef>
            </c:plus>
            <c:minus>
              <c:numRef>
                <c:f>('ARR-PIP-21-2'!$N$25,'ARR-PIP-21-2'!$P$25,'ARR-PIP-21-2'!$T$25)</c:f>
                <c:numCache>
                  <c:formatCode>General</c:formatCode>
                  <c:ptCount val="3"/>
                  <c:pt idx="0">
                    <c:v>308305.17889476544</c:v>
                  </c:pt>
                  <c:pt idx="1">
                    <c:v>125000</c:v>
                  </c:pt>
                  <c:pt idx="2">
                    <c:v>473242.36215002247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'ARR-PIP-21-2'!$M$22:$M$25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('ARR-PIP-21-2'!$N$23,'ARR-PIP-21-2'!$P$23,'ARR-PIP-21-2'!$T$23)</c:f>
              <c:numCache>
                <c:formatCode>0.00E+00</c:formatCode>
                <c:ptCount val="3"/>
                <c:pt idx="0">
                  <c:v>2666666.6666666665</c:v>
                </c:pt>
                <c:pt idx="1">
                  <c:v>2625000</c:v>
                </c:pt>
                <c:pt idx="2">
                  <c:v>1729166.6666666667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B-40EA-AC2B-E65AE033CC17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('ARR-PIP-21-2'!$O$25,'ARR-PIP-21-2'!$Q$25,'ARR-PIP-21-2'!$U$25)</c:f>
                <c:numCache>
                  <c:formatCode>General</c:formatCode>
                  <c:ptCount val="3"/>
                  <c:pt idx="0">
                    <c:v>76395.86458048629</c:v>
                  </c:pt>
                  <c:pt idx="1">
                    <c:v>153220.63340164078</c:v>
                  </c:pt>
                  <c:pt idx="2">
                    <c:v>516044.65246074781</c:v>
                  </c:pt>
                </c:numCache>
              </c:numRef>
            </c:plus>
            <c:minus>
              <c:numRef>
                <c:f>('ARR-PIP-21-2'!$O$25,'ARR-PIP-21-2'!$Q$25,'ARR-PIP-21-2'!$U$25)</c:f>
                <c:numCache>
                  <c:formatCode>General</c:formatCode>
                  <c:ptCount val="3"/>
                  <c:pt idx="0">
                    <c:v>76395.86458048629</c:v>
                  </c:pt>
                  <c:pt idx="1">
                    <c:v>153220.63340164078</c:v>
                  </c:pt>
                  <c:pt idx="2">
                    <c:v>516044.65246074781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'ARR-PIP-21-2'!$M$22:$M$25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('ARR-PIP-21-2'!$O$23,'ARR-PIP-21-2'!$Q$23,'ARR-PIP-21-2'!$U$23)</c:f>
              <c:numCache>
                <c:formatCode>0.00E+00</c:formatCode>
                <c:ptCount val="3"/>
                <c:pt idx="0">
                  <c:v>105625</c:v>
                </c:pt>
                <c:pt idx="1">
                  <c:v>2093750</c:v>
                </c:pt>
                <c:pt idx="2">
                  <c:v>2466666.6666666665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AB-40EA-AC2B-E65AE033C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7C2-493C-837C-C89BB64D86A8}"/>
              </c:ext>
            </c:extLst>
          </c:dPt>
          <c:errBars>
            <c:errBarType val="both"/>
            <c:errValType val="cust"/>
            <c:noEndCap val="0"/>
            <c:plus>
              <c:numRef>
                <c:f>('ARR-PIP-21-3'!$N$25,'ARR-PIP-21-3'!$P$25,'ARR-PIP-21-3'!$R$25,'ARR-PIP-21-3'!$T$25)</c:f>
                <c:numCache>
                  <c:formatCode>General</c:formatCode>
                  <c:ptCount val="4"/>
                  <c:pt idx="0">
                    <c:v>914210.7251613274</c:v>
                  </c:pt>
                  <c:pt idx="1">
                    <c:v>555136.99510421208</c:v>
                  </c:pt>
                  <c:pt idx="2">
                    <c:v>437023.55009007693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('ARR-PIP-21-3'!$N$25,'ARR-PIP-21-3'!$P$25,'ARR-PIP-21-3'!$R$25,'ARR-PIP-21-3'!$T$25)</c:f>
                <c:numCache>
                  <c:formatCode>General</c:formatCode>
                  <c:ptCount val="4"/>
                  <c:pt idx="0">
                    <c:v>914210.7251613274</c:v>
                  </c:pt>
                  <c:pt idx="1">
                    <c:v>555136.99510421208</c:v>
                  </c:pt>
                  <c:pt idx="2">
                    <c:v>437023.55009007693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'ARR-PIP-21-3'!$M$22:$M$25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('ARR-PIP-21-3'!$N$23,'ARR-PIP-21-3'!$P$23,'ARR-PIP-21-3'!$R$23)</c:f>
              <c:numCache>
                <c:formatCode>0.00E+00</c:formatCode>
                <c:ptCount val="3"/>
                <c:pt idx="0">
                  <c:v>3212500</c:v>
                </c:pt>
                <c:pt idx="1">
                  <c:v>2545833.3333333335</c:v>
                </c:pt>
                <c:pt idx="2">
                  <c:v>2608333.3333333335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2-493C-837C-C89BB64D86A8}"/>
            </c:ext>
          </c:extLst>
        </c:ser>
        <c:ser>
          <c:idx val="2"/>
          <c:order val="1"/>
          <c:tx>
            <c:v>6.5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('ARR-PIP-21-3'!$O$25,'ARR-PIP-21-3'!$Q$25,'ARR-PIP-21-3'!$S$25,'ARR-PIP-21-3'!$U$25)</c:f>
                <c:numCache>
                  <c:formatCode>General</c:formatCode>
                  <c:ptCount val="4"/>
                  <c:pt idx="0">
                    <c:v>5671.1073286734199</c:v>
                  </c:pt>
                  <c:pt idx="1">
                    <c:v>399429.93232021714</c:v>
                  </c:pt>
                  <c:pt idx="2">
                    <c:v>355554.87738650589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('ARR-PIP-21-3'!$O$25,'ARR-PIP-21-3'!$Q$25,'ARR-PIP-21-3'!$S$25,'ARR-PIP-21-3'!$U$25)</c:f>
                <c:numCache>
                  <c:formatCode>General</c:formatCode>
                  <c:ptCount val="4"/>
                  <c:pt idx="0">
                    <c:v>5671.1073286734199</c:v>
                  </c:pt>
                  <c:pt idx="1">
                    <c:v>399429.93232021714</c:v>
                  </c:pt>
                  <c:pt idx="2">
                    <c:v>355554.87738650589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'ARR-PIP-21-3'!$M$22:$M$25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('ARR-PIP-21-3'!$O$23,'ARR-PIP-21-3'!$Q$23,'ARR-PIP-21-3'!$S$23)</c:f>
              <c:numCache>
                <c:formatCode>0.00E+00</c:formatCode>
                <c:ptCount val="3"/>
                <c:pt idx="0">
                  <c:v>25208.333333333332</c:v>
                </c:pt>
                <c:pt idx="1">
                  <c:v>927083.33333333337</c:v>
                </c:pt>
                <c:pt idx="2">
                  <c:v>985416.66666666663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2-493C-837C-C89BB64D8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465960226551"/>
          <c:y val="4.89978220245011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E34-4202-95F3-46C6EF88BD42}"/>
              </c:ext>
            </c:extLst>
          </c:dPt>
          <c:errBars>
            <c:errBarType val="both"/>
            <c:errValType val="cust"/>
            <c:noEndCap val="0"/>
            <c:plus>
              <c:numRef>
                <c:f>('ARR-PIP-21-3'!$N$25,'ARR-PIP-21-3'!$P$25,'ARR-PIP-21-3'!$R$25,'ARR-PIP-21-3'!$T$25)</c:f>
                <c:numCache>
                  <c:formatCode>General</c:formatCode>
                  <c:ptCount val="4"/>
                  <c:pt idx="0">
                    <c:v>914210.7251613274</c:v>
                  </c:pt>
                  <c:pt idx="1">
                    <c:v>555136.99510421208</c:v>
                  </c:pt>
                  <c:pt idx="2">
                    <c:v>437023.55009007693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('ARR-PIP-21-3'!$N$25,'ARR-PIP-21-3'!$P$25,'ARR-PIP-21-3'!$R$25,'ARR-PIP-21-3'!$T$25)</c:f>
                <c:numCache>
                  <c:formatCode>General</c:formatCode>
                  <c:ptCount val="4"/>
                  <c:pt idx="0">
                    <c:v>914210.7251613274</c:v>
                  </c:pt>
                  <c:pt idx="1">
                    <c:v>555136.99510421208</c:v>
                  </c:pt>
                  <c:pt idx="2">
                    <c:v>437023.55009007693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'ARR-PIP-21-3'!$M$22:$M$25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('ARR-PIP-21-3'!$N$23,'ARR-PIP-21-3'!$R$23)</c:f>
              <c:numCache>
                <c:formatCode>0.00E+00</c:formatCode>
                <c:ptCount val="2"/>
                <c:pt idx="0">
                  <c:v>3212500</c:v>
                </c:pt>
                <c:pt idx="1">
                  <c:v>2608333.3333333335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4-4202-95F3-46C6EF88BD42}"/>
            </c:ext>
          </c:extLst>
        </c:ser>
        <c:ser>
          <c:idx val="2"/>
          <c:order val="1"/>
          <c:tx>
            <c:v>6.5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('ARR-PIP-21-3'!$O$25,'ARR-PIP-21-3'!$Q$25,'ARR-PIP-21-3'!$S$25,'ARR-PIP-21-3'!$U$25)</c:f>
                <c:numCache>
                  <c:formatCode>General</c:formatCode>
                  <c:ptCount val="4"/>
                  <c:pt idx="0">
                    <c:v>5671.1073286734199</c:v>
                  </c:pt>
                  <c:pt idx="1">
                    <c:v>399429.93232021714</c:v>
                  </c:pt>
                  <c:pt idx="2">
                    <c:v>355554.87738650589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('ARR-PIP-21-3'!$O$25,'ARR-PIP-21-3'!$Q$25,'ARR-PIP-21-3'!$S$25,'ARR-PIP-21-3'!$U$25)</c:f>
                <c:numCache>
                  <c:formatCode>General</c:formatCode>
                  <c:ptCount val="4"/>
                  <c:pt idx="0">
                    <c:v>5671.1073286734199</c:v>
                  </c:pt>
                  <c:pt idx="1">
                    <c:v>399429.93232021714</c:v>
                  </c:pt>
                  <c:pt idx="2">
                    <c:v>355554.87738650589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'ARR-PIP-21-3'!$M$22:$M$25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('ARR-PIP-21-3'!$O$23,'ARR-PIP-21-3'!$S$23)</c:f>
              <c:numCache>
                <c:formatCode>0.00E+00</c:formatCode>
                <c:ptCount val="2"/>
                <c:pt idx="0">
                  <c:v>25208.333333333332</c:v>
                </c:pt>
                <c:pt idx="1">
                  <c:v>985416.66666666663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4-4202-95F3-46C6EF88B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E07-406A-AD48-9635BB1A6394}"/>
              </c:ext>
            </c:extLst>
          </c:dPt>
          <c:errBars>
            <c:errBarType val="both"/>
            <c:errValType val="cust"/>
            <c:noEndCap val="0"/>
            <c:plus>
              <c:numRef>
                <c:f>('ARR-PIP-21-4'!$N$25,'ARR-PIP-21-4'!$P$25,'ARR-PIP-21-4'!$R$25,'ARR-PIP-21-4'!$T$25)</c:f>
                <c:numCache>
                  <c:formatCode>General</c:formatCode>
                  <c:ptCount val="4"/>
                  <c:pt idx="0">
                    <c:v>395136.44795184361</c:v>
                  </c:pt>
                  <c:pt idx="1">
                    <c:v>976307.88347392448</c:v>
                  </c:pt>
                  <c:pt idx="2">
                    <c:v>979935.42516841379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('ARR-PIP-21-4'!$N$25,'ARR-PIP-21-4'!$P$25,'ARR-PIP-21-4'!$R$25,'ARR-PIP-21-4'!$T$25)</c:f>
                <c:numCache>
                  <c:formatCode>General</c:formatCode>
                  <c:ptCount val="4"/>
                  <c:pt idx="0">
                    <c:v>395136.44795184361</c:v>
                  </c:pt>
                  <c:pt idx="1">
                    <c:v>976307.88347392448</c:v>
                  </c:pt>
                  <c:pt idx="2">
                    <c:v>979935.42516841379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'ARR-PIP-21-4'!$M$22:$M$25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('ARR-PIP-21-4'!$N$23,'ARR-PIP-21-4'!$P$23,'ARR-PIP-21-4'!$R$23)</c:f>
              <c:numCache>
                <c:formatCode>0.00E+00</c:formatCode>
                <c:ptCount val="3"/>
                <c:pt idx="0">
                  <c:v>1275000</c:v>
                </c:pt>
                <c:pt idx="1">
                  <c:v>2495833.3333333335</c:v>
                </c:pt>
                <c:pt idx="2">
                  <c:v>1931250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07-406A-AD48-9635BB1A6394}"/>
            </c:ext>
          </c:extLst>
        </c:ser>
        <c:ser>
          <c:idx val="2"/>
          <c:order val="1"/>
          <c:tx>
            <c:v>6.5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('ARR-PIP-21-4'!$O$25,'ARR-PIP-21-4'!$Q$25,'ARR-PIP-21-4'!$S$25,'ARR-PIP-21-4'!$U$25)</c:f>
                <c:numCache>
                  <c:formatCode>General</c:formatCode>
                  <c:ptCount val="4"/>
                  <c:pt idx="0">
                    <c:v>42815.921396134872</c:v>
                  </c:pt>
                  <c:pt idx="1">
                    <c:v>272598.41495014844</c:v>
                  </c:pt>
                  <c:pt idx="2">
                    <c:v>276487.45450743329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('ARR-PIP-21-4'!$O$25,'ARR-PIP-21-4'!$Q$25,'ARR-PIP-21-4'!$S$25,'ARR-PIP-21-4'!$U$25)</c:f>
                <c:numCache>
                  <c:formatCode>General</c:formatCode>
                  <c:ptCount val="4"/>
                  <c:pt idx="0">
                    <c:v>42815.921396134872</c:v>
                  </c:pt>
                  <c:pt idx="1">
                    <c:v>272598.41495014844</c:v>
                  </c:pt>
                  <c:pt idx="2">
                    <c:v>276487.45450743329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'ARR-PIP-21-4'!$M$22:$M$25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('ARR-PIP-21-4'!$O$23,'ARR-PIP-21-4'!$Q$23,'ARR-PIP-21-4'!$S$23)</c:f>
              <c:numCache>
                <c:formatCode>0.00E+00</c:formatCode>
                <c:ptCount val="3"/>
                <c:pt idx="0">
                  <c:v>75625</c:v>
                </c:pt>
                <c:pt idx="1">
                  <c:v>477083.33333333331</c:v>
                </c:pt>
                <c:pt idx="2">
                  <c:v>512500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07-406A-AD48-9635BB1A6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EFD-4E69-A187-0A9EB663C459}"/>
              </c:ext>
            </c:extLst>
          </c:dPt>
          <c:errBars>
            <c:errBarType val="both"/>
            <c:errValType val="cust"/>
            <c:noEndCap val="0"/>
            <c:plus>
              <c:numRef>
                <c:f>('ARR-PIP-21-5'!$N$25,'ARR-PIP-21-5'!$P$25,'ARR-PIP-21-5'!$R$25,'ARR-PIP-21-5'!$T$25)</c:f>
                <c:numCache>
                  <c:formatCode>General</c:formatCode>
                  <c:ptCount val="4"/>
                  <c:pt idx="0">
                    <c:v>3656294.5153985219</c:v>
                  </c:pt>
                  <c:pt idx="1">
                    <c:v>2453738.6440559118</c:v>
                  </c:pt>
                  <c:pt idx="2">
                    <c:v>2433757.8111499394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('ARR-PIP-21-5'!$N$25,'ARR-PIP-21-5'!$P$25,'ARR-PIP-21-5'!$R$25,'ARR-PIP-21-5'!$T$25)</c:f>
                <c:numCache>
                  <c:formatCode>General</c:formatCode>
                  <c:ptCount val="4"/>
                  <c:pt idx="0">
                    <c:v>3656294.5153985219</c:v>
                  </c:pt>
                  <c:pt idx="1">
                    <c:v>2453738.6440559118</c:v>
                  </c:pt>
                  <c:pt idx="2">
                    <c:v>2433757.8111499394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'ARR-PIP-21-5'!$M$22:$M$25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('ARR-PIP-21-5'!$N$23,'ARR-PIP-21-5'!$P$23,'ARR-PIP-21-5'!$R$23)</c:f>
              <c:numCache>
                <c:formatCode>0.00E+00</c:formatCode>
                <c:ptCount val="3"/>
                <c:pt idx="0">
                  <c:v>18229166.666666668</c:v>
                </c:pt>
                <c:pt idx="1">
                  <c:v>11708333.333333334</c:v>
                </c:pt>
                <c:pt idx="2">
                  <c:v>11604166.666666666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FD-4E69-A187-0A9EB663C459}"/>
            </c:ext>
          </c:extLst>
        </c:ser>
        <c:ser>
          <c:idx val="2"/>
          <c:order val="1"/>
          <c:tx>
            <c:v>6.5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('ARR-PIP-21-5'!$O$25,'ARR-PIP-21-5'!$Q$25,'ARR-PIP-21-5'!$S$25,'ARR-PIP-21-5'!$U$25)</c:f>
                <c:numCache>
                  <c:formatCode>General</c:formatCode>
                  <c:ptCount val="4"/>
                  <c:pt idx="0">
                    <c:v>225722.22051303094</c:v>
                  </c:pt>
                  <c:pt idx="1">
                    <c:v>347779.41404478392</c:v>
                  </c:pt>
                  <c:pt idx="2">
                    <c:v>207320.45444994885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('ARR-PIP-21-5'!$O$25,'ARR-PIP-21-5'!$Q$25,'ARR-PIP-21-5'!$S$25,'ARR-PIP-21-5'!$U$25)</c:f>
                <c:numCache>
                  <c:formatCode>General</c:formatCode>
                  <c:ptCount val="4"/>
                  <c:pt idx="0">
                    <c:v>225722.22051303094</c:v>
                  </c:pt>
                  <c:pt idx="1">
                    <c:v>347779.41404478392</c:v>
                  </c:pt>
                  <c:pt idx="2">
                    <c:v>207320.45444994885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'ARR-PIP-21-5'!$M$22:$M$25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('ARR-PIP-21-5'!$O$23,'ARR-PIP-21-5'!$Q$23,'ARR-PIP-21-5'!$S$23)</c:f>
              <c:numCache>
                <c:formatCode>0.00E+00</c:formatCode>
                <c:ptCount val="3"/>
                <c:pt idx="0">
                  <c:v>754166.66666666663</c:v>
                </c:pt>
                <c:pt idx="1">
                  <c:v>889583.33333333337</c:v>
                </c:pt>
                <c:pt idx="2">
                  <c:v>447916.66666666669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FD-4E69-A187-0A9EB663C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3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79-4809-B701-4F61DD5CEADD}"/>
              </c:ext>
            </c:extLst>
          </c:dPt>
          <c:errBars>
            <c:errBarType val="both"/>
            <c:errValType val="cust"/>
            <c:noEndCap val="0"/>
            <c:plus>
              <c:numRef>
                <c:f>('ARR-PIP-22-1'!$N$25,'ARR-PIP-22-1'!$P$25,'ARR-PIP-22-1'!$R$25,'ARR-PIP-22-1'!$T$25)</c:f>
                <c:numCache>
                  <c:formatCode>General</c:formatCode>
                  <c:ptCount val="4"/>
                  <c:pt idx="0">
                    <c:v>2625000</c:v>
                  </c:pt>
                  <c:pt idx="1">
                    <c:v>962175.26989629073</c:v>
                  </c:pt>
                  <c:pt idx="2">
                    <c:v>718976.41361405829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('ARR-PIP-22-1'!$N$25,'ARR-PIP-22-1'!$P$25,'ARR-PIP-22-1'!$R$25,'ARR-PIP-22-1'!$T$25)</c:f>
                <c:numCache>
                  <c:formatCode>General</c:formatCode>
                  <c:ptCount val="4"/>
                  <c:pt idx="0">
                    <c:v>2625000</c:v>
                  </c:pt>
                  <c:pt idx="1">
                    <c:v>962175.26989629073</c:v>
                  </c:pt>
                  <c:pt idx="2">
                    <c:v>718976.41361405829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'ARR-PIP-22-1'!$M$22:$M$25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('ARR-PIP-22-1'!$N$23,'ARR-PIP-22-1'!$P$23,'ARR-PIP-22-1'!$R$23)</c:f>
              <c:numCache>
                <c:formatCode>0.00E+00</c:formatCode>
                <c:ptCount val="3"/>
                <c:pt idx="0">
                  <c:v>24500000</c:v>
                </c:pt>
                <c:pt idx="1">
                  <c:v>8312500</c:v>
                </c:pt>
                <c:pt idx="2">
                  <c:v>12916666.666666666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9-4809-B701-4F61DD5CEADD}"/>
            </c:ext>
          </c:extLst>
        </c:ser>
        <c:ser>
          <c:idx val="2"/>
          <c:order val="1"/>
          <c:tx>
            <c:v>7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('ARR-PIP-22-1'!$O$25,'ARR-PIP-22-1'!$Q$25,'ARR-PIP-22-1'!$S$25,'ARR-PIP-22-1'!$U$25)</c:f>
                <c:numCache>
                  <c:formatCode>General</c:formatCode>
                  <c:ptCount val="4"/>
                  <c:pt idx="0">
                    <c:v>30492.912427863183</c:v>
                  </c:pt>
                  <c:pt idx="1">
                    <c:v>181393.62125866878</c:v>
                  </c:pt>
                  <c:pt idx="2">
                    <c:v>502584.46636693156</c:v>
                  </c:pt>
                  <c:pt idx="3">
                    <c:v>0</c:v>
                  </c:pt>
                </c:numCache>
              </c:numRef>
            </c:plus>
            <c:minus>
              <c:numRef>
                <c:f>('ARR-PIP-22-1'!$O$25,'ARR-PIP-22-1'!$Q$25,'ARR-PIP-22-1'!$S$25,'ARR-PIP-22-1'!$U$25)</c:f>
                <c:numCache>
                  <c:formatCode>General</c:formatCode>
                  <c:ptCount val="4"/>
                  <c:pt idx="0">
                    <c:v>30492.912427863183</c:v>
                  </c:pt>
                  <c:pt idx="1">
                    <c:v>181393.62125866878</c:v>
                  </c:pt>
                  <c:pt idx="2">
                    <c:v>502584.46636693156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'ARR-PIP-22-1'!$M$22:$M$25</c:f>
              <c:strCache>
                <c:ptCount val="4"/>
                <c:pt idx="0">
                  <c:v>Col</c:v>
                </c:pt>
                <c:pt idx="1">
                  <c:v>ald1</c:v>
                </c:pt>
                <c:pt idx="2">
                  <c:v>hsfb1-1</c:v>
                </c:pt>
                <c:pt idx="3">
                  <c:v>bak1-3</c:v>
                </c:pt>
              </c:strCache>
            </c:strRef>
          </c:cat>
          <c:val>
            <c:numRef>
              <c:f>('ARR-PIP-22-1'!$O$23,'ARR-PIP-22-1'!$Q$23,'ARR-PIP-22-1'!$S$23)</c:f>
              <c:numCache>
                <c:formatCode>0.00E+00</c:formatCode>
                <c:ptCount val="3"/>
                <c:pt idx="0">
                  <c:v>70208.333333333328</c:v>
                </c:pt>
                <c:pt idx="1">
                  <c:v>616666.66666666663</c:v>
                </c:pt>
                <c:pt idx="2">
                  <c:v>739583.33333333337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9-4809-B701-4F61DD5C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3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45218317844055"/>
          <c:y val="0.11962011978080932"/>
          <c:w val="0.79295775628176313"/>
          <c:h val="0.773868109075911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9D2-4AA5-B1BC-B715B7F6FEE8}"/>
              </c:ext>
            </c:extLst>
          </c:dPt>
          <c:errBars>
            <c:errBarType val="both"/>
            <c:errValType val="cust"/>
            <c:noEndCap val="0"/>
            <c:plus>
              <c:numRef>
                <c:f>'ARR-PIP-22-1'!$N$25:$O$25</c:f>
                <c:numCache>
                  <c:formatCode>General</c:formatCode>
                  <c:ptCount val="2"/>
                  <c:pt idx="0">
                    <c:v>2625000</c:v>
                  </c:pt>
                  <c:pt idx="1">
                    <c:v>30492.912427863183</c:v>
                  </c:pt>
                </c:numCache>
              </c:numRef>
            </c:plus>
            <c:minus>
              <c:numRef>
                <c:f>'ARR-PIP-22-1'!$N$25:$O$25</c:f>
                <c:numCache>
                  <c:formatCode>General</c:formatCode>
                  <c:ptCount val="2"/>
                  <c:pt idx="0">
                    <c:v>2625000</c:v>
                  </c:pt>
                  <c:pt idx="1">
                    <c:v>30492.912427863183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Lit>
              <c:formatCode>General</c:formatCode>
              <c:ptCount val="2"/>
              <c:pt idx="0">
                <c:v>3</c:v>
              </c:pt>
              <c:pt idx="1">
                <c:v>7</c:v>
              </c:pt>
            </c:numLit>
          </c:cat>
          <c:val>
            <c:numRef>
              <c:f>('ARR-PIP-22-1'!$N$23,'ARR-PIP-22-1'!$O$23)</c:f>
              <c:numCache>
                <c:formatCode>0.00E+00</c:formatCode>
                <c:ptCount val="2"/>
                <c:pt idx="0">
                  <c:v>24500000</c:v>
                </c:pt>
                <c:pt idx="1">
                  <c:v>70208.333333333328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2-4AA5-B1BC-B715B7F6F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49154840"/>
        <c:axId val="849155496"/>
      </c:barChart>
      <c:catAx>
        <c:axId val="849154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Age</a:t>
                </a:r>
                <a:r>
                  <a:rPr lang="en-CA" baseline="0">
                    <a:solidFill>
                      <a:sysClr val="windowText" lastClr="000000"/>
                    </a:solidFill>
                  </a:rPr>
                  <a:t> (wpg)</a:t>
                </a:r>
                <a:endParaRPr lang="en-CA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155496"/>
        <c:crosses val="autoZero"/>
        <c:auto val="1"/>
        <c:lblAlgn val="ctr"/>
        <c:lblOffset val="100"/>
        <c:noMultiLvlLbl val="0"/>
      </c:catAx>
      <c:valAx>
        <c:axId val="849155496"/>
        <c:scaling>
          <c:logBase val="10"/>
          <c:orientation val="minMax"/>
          <c:max val="3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Bacterial</a:t>
                </a:r>
                <a:r>
                  <a:rPr lang="en-CA" baseline="0">
                    <a:solidFill>
                      <a:sysClr val="windowText" lastClr="000000"/>
                    </a:solidFill>
                  </a:rPr>
                  <a:t> level (CFU leaf disc</a:t>
                </a:r>
                <a:r>
                  <a:rPr lang="en-CA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CA" baseline="0">
                    <a:solidFill>
                      <a:sysClr val="windowText" lastClr="000000"/>
                    </a:solidFill>
                  </a:rPr>
                  <a:t>)</a:t>
                </a:r>
                <a:endParaRPr lang="en-CA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9627636806197089E-2"/>
              <c:y val="0.14079655966414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154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0-4F54-8BF7-2A12709D3716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('ARR-PIP-22-1'!$N$25,'ARR-PIP-22-1'!$P$25,'ARR-PIP-22-1'!$R$25,'ARR-PIP-22-1'!$T$25)</c15:sqref>
                    </c15:fullRef>
                  </c:ext>
                </c:extLst>
                <c:f>('ARR-PIP-22-1'!$N$25,'ARR-PIP-22-1'!$R$25,'ARR-PIP-22-1'!$T$25)</c:f>
                <c:numCache>
                  <c:formatCode>General</c:formatCode>
                  <c:ptCount val="3"/>
                  <c:pt idx="0">
                    <c:v>2625000</c:v>
                  </c:pt>
                  <c:pt idx="1">
                    <c:v>718976.41361405829</c:v>
                  </c:pt>
                  <c:pt idx="2">
                    <c:v>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('ARR-PIP-22-1'!$N$25,'ARR-PIP-22-1'!$P$25,'ARR-PIP-22-1'!$R$25,'ARR-PIP-22-1'!$T$25)</c15:sqref>
                    </c15:fullRef>
                  </c:ext>
                </c:extLst>
                <c:f>('ARR-PIP-22-1'!$N$25,'ARR-PIP-22-1'!$R$25,'ARR-PIP-22-1'!$T$25)</c:f>
                <c:numCache>
                  <c:formatCode>General</c:formatCode>
                  <c:ptCount val="3"/>
                  <c:pt idx="0">
                    <c:v>2625000</c:v>
                  </c:pt>
                  <c:pt idx="1">
                    <c:v>718976.41361405829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'ARR-PIP-22-1'!$M$22:$M$25</c15:sqref>
                  </c15:fullRef>
                </c:ext>
              </c:extLst>
              <c:f>('ARR-PIP-22-1'!$M$22,'ARR-PIP-22-1'!$M$24:$M$25)</c:f>
              <c:strCache>
                <c:ptCount val="3"/>
                <c:pt idx="0">
                  <c:v>Col</c:v>
                </c:pt>
                <c:pt idx="1">
                  <c:v>hsfb1-1</c:v>
                </c:pt>
                <c:pt idx="2">
                  <c:v>bak1-3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('ARR-PIP-22-1'!$N$23,'ARR-PIP-22-1'!$P$23,'ARR-PIP-22-1'!$R$23)</c15:sqref>
                  </c15:fullRef>
                </c:ext>
              </c:extLst>
              <c:f>('ARR-PIP-22-1'!$N$23,'ARR-PIP-22-1'!$R$23)</c:f>
              <c:numCache>
                <c:formatCode>0.00E+00</c:formatCode>
                <c:ptCount val="2"/>
                <c:pt idx="0">
                  <c:v>24500000</c:v>
                </c:pt>
                <c:pt idx="1">
                  <c:v>12916666.666666666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0-4F54-8BF7-2A12709D3716}"/>
            </c:ext>
          </c:extLst>
        </c:ser>
        <c:ser>
          <c:idx val="2"/>
          <c:order val="1"/>
          <c:tx>
            <c:v>7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('ARR-PIP-22-1'!$O$25,'ARR-PIP-22-1'!$Q$25,'ARR-PIP-22-1'!$S$25,'ARR-PIP-22-1'!$U$25)</c15:sqref>
                    </c15:fullRef>
                  </c:ext>
                </c:extLst>
                <c:f>('ARR-PIP-22-1'!$O$25,'ARR-PIP-22-1'!$S$25,'ARR-PIP-22-1'!$U$25)</c:f>
                <c:numCache>
                  <c:formatCode>General</c:formatCode>
                  <c:ptCount val="3"/>
                  <c:pt idx="0">
                    <c:v>30492.912427863183</c:v>
                  </c:pt>
                  <c:pt idx="1">
                    <c:v>502584.46636693156</c:v>
                  </c:pt>
                  <c:pt idx="2">
                    <c:v>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('ARR-PIP-22-1'!$O$25,'ARR-PIP-22-1'!$Q$25,'ARR-PIP-22-1'!$S$25,'ARR-PIP-22-1'!$U$25)</c15:sqref>
                    </c15:fullRef>
                  </c:ext>
                </c:extLst>
                <c:f>('ARR-PIP-22-1'!$O$25,'ARR-PIP-22-1'!$S$25,'ARR-PIP-22-1'!$U$25)</c:f>
                <c:numCache>
                  <c:formatCode>General</c:formatCode>
                  <c:ptCount val="3"/>
                  <c:pt idx="0">
                    <c:v>30492.912427863183</c:v>
                  </c:pt>
                  <c:pt idx="1">
                    <c:v>502584.46636693156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'ARR-PIP-22-1'!$M$22:$M$25</c15:sqref>
                  </c15:fullRef>
                </c:ext>
              </c:extLst>
              <c:f>('ARR-PIP-22-1'!$M$22,'ARR-PIP-22-1'!$M$24:$M$25)</c:f>
              <c:strCache>
                <c:ptCount val="3"/>
                <c:pt idx="0">
                  <c:v>Col</c:v>
                </c:pt>
                <c:pt idx="1">
                  <c:v>hsfb1-1</c:v>
                </c:pt>
                <c:pt idx="2">
                  <c:v>bak1-3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('ARR-PIP-22-1'!$O$23,'ARR-PIP-22-1'!$Q$23,'ARR-PIP-22-1'!$S$23)</c15:sqref>
                  </c15:fullRef>
                </c:ext>
              </c:extLst>
              <c:f>('ARR-PIP-22-1'!$O$23,'ARR-PIP-22-1'!$S$23)</c:f>
              <c:numCache>
                <c:formatCode>0.00E+00</c:formatCode>
                <c:ptCount val="2"/>
                <c:pt idx="0">
                  <c:v>70208.333333333328</c:v>
                </c:pt>
                <c:pt idx="1">
                  <c:v>739583.33333333337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B0-4F54-8BF7-2A12709D3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5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Young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(summary!$B$19,summary!$D$19,summary!$H$19)</c:f>
                <c:numCache>
                  <c:formatCode>General</c:formatCode>
                  <c:ptCount val="3"/>
                  <c:pt idx="0">
                    <c:v>8976330.6274188738</c:v>
                  </c:pt>
                  <c:pt idx="1">
                    <c:v>2800123.5623246548</c:v>
                  </c:pt>
                  <c:pt idx="2">
                    <c:v>4610278.4929696051</c:v>
                  </c:pt>
                </c:numCache>
              </c:numRef>
            </c:plus>
            <c:minus>
              <c:numRef>
                <c:f>(summary!$B$19,summary!$D$19,summary!$H$19)</c:f>
                <c:numCache>
                  <c:formatCode>General</c:formatCode>
                  <c:ptCount val="3"/>
                  <c:pt idx="0">
                    <c:v>8976330.6274188738</c:v>
                  </c:pt>
                  <c:pt idx="1">
                    <c:v>2800123.5623246548</c:v>
                  </c:pt>
                  <c:pt idx="2">
                    <c:v>4610278.4929696051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(summary!$B$18,summary!$D$18,summary!$H$18)</c:f>
              <c:numCache>
                <c:formatCode>0.00E+00</c:formatCode>
                <c:ptCount val="3"/>
                <c:pt idx="0">
                  <c:v>8014166.666666667</c:v>
                </c:pt>
                <c:pt idx="1">
                  <c:v>4662500</c:v>
                </c:pt>
                <c:pt idx="2">
                  <c:v>5449583.333333333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3-4DFC-9E9B-26032D545FFC}"/>
            </c:ext>
          </c:extLst>
        </c:ser>
        <c:ser>
          <c:idx val="1"/>
          <c:order val="1"/>
          <c:tx>
            <c:v>Mature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(summary!$C$19,summary!$E$19,summary!$I$19)</c:f>
                <c:numCache>
                  <c:formatCode>General</c:formatCode>
                  <c:ptCount val="3"/>
                  <c:pt idx="0">
                    <c:v>63951.39174367029</c:v>
                  </c:pt>
                  <c:pt idx="1">
                    <c:v>662876.68985444109</c:v>
                  </c:pt>
                  <c:pt idx="2">
                    <c:v>788061.26068678068</c:v>
                  </c:pt>
                </c:numCache>
              </c:numRef>
            </c:plus>
            <c:minus>
              <c:numRef>
                <c:f>(summary!$C$19,summary!$E$19,summary!$I$19)</c:f>
                <c:numCache>
                  <c:formatCode>General</c:formatCode>
                  <c:ptCount val="3"/>
                  <c:pt idx="0">
                    <c:v>63951.39174367029</c:v>
                  </c:pt>
                  <c:pt idx="1">
                    <c:v>662876.68985444109</c:v>
                  </c:pt>
                  <c:pt idx="2">
                    <c:v>788061.26068678068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(summary!$C$18,summary!$E$18,summary!$I$18)</c:f>
              <c:numCache>
                <c:formatCode>0.00E+00</c:formatCode>
                <c:ptCount val="3"/>
                <c:pt idx="0">
                  <c:v>90291.666666666672</c:v>
                </c:pt>
                <c:pt idx="1">
                  <c:v>1107916.6666666667</c:v>
                </c:pt>
                <c:pt idx="2">
                  <c:v>1207916.6666666667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E3-4DFC-9E9B-26032D545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331064"/>
        <c:axId val="555328112"/>
      </c:barChart>
      <c:catAx>
        <c:axId val="555331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28112"/>
        <c:crosses val="autoZero"/>
        <c:auto val="1"/>
        <c:lblAlgn val="ctr"/>
        <c:lblOffset val="100"/>
        <c:noMultiLvlLbl val="0"/>
      </c:catAx>
      <c:valAx>
        <c:axId val="5553281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3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165099</xdr:rowOff>
    </xdr:from>
    <xdr:to>
      <xdr:col>18</xdr:col>
      <xdr:colOff>149225</xdr:colOff>
      <xdr:row>50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89251-B6AF-4FC8-966E-172F51814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127900</xdr:colOff>
      <xdr:row>28</xdr:row>
      <xdr:rowOff>19050</xdr:rowOff>
    </xdr:from>
    <xdr:ext cx="263149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F51657A-1B32-4B27-9CD0-04D81D1D6270}"/>
            </a:ext>
          </a:extLst>
        </xdr:cNvPr>
        <xdr:cNvSpPr txBox="1"/>
      </xdr:nvSpPr>
      <xdr:spPr>
        <a:xfrm>
          <a:off x="13586725" y="5676900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CA" sz="1100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0" y="139700"/>
          <a:ext cx="2762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0.02507</cdr:y>
    </cdr:from>
    <cdr:to>
      <cdr:x>0.12582</cdr:x>
      <cdr:y>0.15202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9" y="73473"/>
          <a:ext cx="361954" cy="37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0.28944</cdr:y>
    </cdr:from>
    <cdr:to>
      <cdr:x>0.12582</cdr:x>
      <cdr:y>0.41639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9" y="848216"/>
          <a:ext cx="361954" cy="37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0.5474</cdr:y>
    </cdr:from>
    <cdr:to>
      <cdr:x>0.12582</cdr:x>
      <cdr:y>0.67435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9" y="1604174"/>
          <a:ext cx="361954" cy="37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0.80473</cdr:y>
    </cdr:from>
    <cdr:to>
      <cdr:x>0.12582</cdr:x>
      <cdr:y>0.93168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9" y="2358286"/>
          <a:ext cx="361954" cy="37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0.16073</cdr:x>
      <cdr:y>0.84724</cdr:y>
    </cdr:from>
    <cdr:to>
      <cdr:x>0.28291</cdr:x>
      <cdr:y>0.92849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701675" y="2482863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0.33309</cdr:x>
      <cdr:y>0.84724</cdr:y>
    </cdr:from>
    <cdr:to>
      <cdr:x>0.45528</cdr:x>
      <cdr:y>0.92849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624A009-AC9A-45F4-A240-D7D494A75A73}"/>
            </a:ext>
          </a:extLst>
        </cdr:cNvPr>
        <cdr:cNvSpPr txBox="1"/>
      </cdr:nvSpPr>
      <cdr:spPr>
        <a:xfrm xmlns:a="http://schemas.openxmlformats.org/drawingml/2006/main">
          <a:off x="1454134" y="2482863"/>
          <a:ext cx="533436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ald1</a:t>
          </a:r>
        </a:p>
      </cdr:txBody>
    </cdr:sp>
  </cdr:relSizeAnchor>
  <cdr:relSizeAnchor xmlns:cdr="http://schemas.openxmlformats.org/drawingml/2006/chartDrawing">
    <cdr:from>
      <cdr:x>0.68001</cdr:x>
      <cdr:y>0.86024</cdr:y>
    </cdr:from>
    <cdr:to>
      <cdr:x>0.80219</cdr:x>
      <cdr:y>0.94149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968657" y="2520960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0.49891</cdr:x>
      <cdr:y>0.85374</cdr:y>
    </cdr:from>
    <cdr:to>
      <cdr:x>0.6211</cdr:x>
      <cdr:y>0.93499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BB618CC6-D026-4069-A640-C560C3A382E4}"/>
            </a:ext>
          </a:extLst>
        </cdr:cNvPr>
        <cdr:cNvSpPr txBox="1"/>
      </cdr:nvSpPr>
      <cdr:spPr>
        <a:xfrm xmlns:a="http://schemas.openxmlformats.org/drawingml/2006/main">
          <a:off x="2178042" y="2501911"/>
          <a:ext cx="533436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sard4</a:t>
          </a:r>
        </a:p>
      </cdr:txBody>
    </cdr:sp>
  </cdr:relSizeAnchor>
  <cdr:relSizeAnchor xmlns:cdr="http://schemas.openxmlformats.org/drawingml/2006/chartDrawing">
    <cdr:from>
      <cdr:x>0.13891</cdr:x>
      <cdr:y>0.04117</cdr:y>
    </cdr:from>
    <cdr:to>
      <cdr:x>0.34836</cdr:x>
      <cdr:y>0.3532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6F89134-4F5C-4C4D-9308-0C5EE8372C50}"/>
            </a:ext>
          </a:extLst>
        </cdr:cNvPr>
        <cdr:cNvSpPr txBox="1"/>
      </cdr:nvSpPr>
      <cdr:spPr>
        <a:xfrm xmlns:a="http://schemas.openxmlformats.org/drawingml/2006/main">
          <a:off x="606425" y="1206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0.152</cdr:x>
      <cdr:y>0</cdr:y>
    </cdr:from>
    <cdr:to>
      <cdr:x>0.23055</cdr:x>
      <cdr:y>0.10943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2C859F2-0315-483F-8697-3D4FA25C2E85}"/>
            </a:ext>
          </a:extLst>
        </cdr:cNvPr>
        <cdr:cNvSpPr txBox="1"/>
      </cdr:nvSpPr>
      <cdr:spPr>
        <a:xfrm xmlns:a="http://schemas.openxmlformats.org/drawingml/2006/main">
          <a:off x="663575" y="0"/>
          <a:ext cx="342900" cy="320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200" b="1"/>
            <a:t>a</a:t>
          </a:r>
        </a:p>
      </cdr:txBody>
    </cdr:sp>
  </cdr:relSizeAnchor>
  <cdr:relSizeAnchor xmlns:cdr="http://schemas.openxmlformats.org/drawingml/2006/chartDrawing">
    <cdr:from>
      <cdr:x>0.31927</cdr:x>
      <cdr:y>0</cdr:y>
    </cdr:from>
    <cdr:to>
      <cdr:x>0.39782</cdr:x>
      <cdr:y>0.10943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ABC95623-28E6-404C-A745-ACEAE3C18C44}"/>
            </a:ext>
          </a:extLst>
        </cdr:cNvPr>
        <cdr:cNvSpPr txBox="1"/>
      </cdr:nvSpPr>
      <cdr:spPr>
        <a:xfrm xmlns:a="http://schemas.openxmlformats.org/drawingml/2006/main">
          <a:off x="1393825" y="0"/>
          <a:ext cx="342900" cy="320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200" b="1"/>
            <a:t>a</a:t>
          </a:r>
        </a:p>
      </cdr:txBody>
    </cdr:sp>
  </cdr:relSizeAnchor>
  <cdr:relSizeAnchor xmlns:cdr="http://schemas.openxmlformats.org/drawingml/2006/chartDrawing">
    <cdr:from>
      <cdr:x>0.496</cdr:x>
      <cdr:y>0</cdr:y>
    </cdr:from>
    <cdr:to>
      <cdr:x>0.57455</cdr:x>
      <cdr:y>0.10943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ABC95623-28E6-404C-A745-ACEAE3C18C44}"/>
            </a:ext>
          </a:extLst>
        </cdr:cNvPr>
        <cdr:cNvSpPr txBox="1"/>
      </cdr:nvSpPr>
      <cdr:spPr>
        <a:xfrm xmlns:a="http://schemas.openxmlformats.org/drawingml/2006/main">
          <a:off x="2165350" y="0"/>
          <a:ext cx="342900" cy="320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200" b="1"/>
            <a:t>a</a:t>
          </a:r>
        </a:p>
      </cdr:txBody>
    </cdr:sp>
  </cdr:relSizeAnchor>
  <cdr:relSizeAnchor xmlns:cdr="http://schemas.openxmlformats.org/drawingml/2006/chartDrawing">
    <cdr:from>
      <cdr:x>0.67273</cdr:x>
      <cdr:y>0</cdr:y>
    </cdr:from>
    <cdr:to>
      <cdr:x>0.75127</cdr:x>
      <cdr:y>0.10943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ABC95623-28E6-404C-A745-ACEAE3C18C44}"/>
            </a:ext>
          </a:extLst>
        </cdr:cNvPr>
        <cdr:cNvSpPr txBox="1"/>
      </cdr:nvSpPr>
      <cdr:spPr>
        <a:xfrm xmlns:a="http://schemas.openxmlformats.org/drawingml/2006/main">
          <a:off x="2936875" y="0"/>
          <a:ext cx="342900" cy="320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200" b="1"/>
            <a:t>a</a:t>
          </a:r>
        </a:p>
      </cdr:txBody>
    </cdr:sp>
  </cdr:relSizeAnchor>
  <cdr:relSizeAnchor xmlns:cdr="http://schemas.openxmlformats.org/drawingml/2006/chartDrawing">
    <cdr:from>
      <cdr:x>0.37382</cdr:x>
      <cdr:y>0.1701</cdr:y>
    </cdr:from>
    <cdr:to>
      <cdr:x>0.45236</cdr:x>
      <cdr:y>0.27952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ABC95623-28E6-404C-A745-ACEAE3C18C44}"/>
            </a:ext>
          </a:extLst>
        </cdr:cNvPr>
        <cdr:cNvSpPr txBox="1"/>
      </cdr:nvSpPr>
      <cdr:spPr>
        <a:xfrm xmlns:a="http://schemas.openxmlformats.org/drawingml/2006/main">
          <a:off x="1631950" y="498475"/>
          <a:ext cx="342900" cy="320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200" b="1"/>
            <a:t>b</a:t>
          </a:r>
        </a:p>
      </cdr:txBody>
    </cdr:sp>
  </cdr:relSizeAnchor>
  <cdr:relSizeAnchor xmlns:cdr="http://schemas.openxmlformats.org/drawingml/2006/chartDrawing">
    <cdr:from>
      <cdr:x>0.72073</cdr:x>
      <cdr:y>0.18635</cdr:y>
    </cdr:from>
    <cdr:to>
      <cdr:x>0.79927</cdr:x>
      <cdr:y>0.29577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B5AC1E3-3D65-468F-B82A-D63E43824BA5}"/>
            </a:ext>
          </a:extLst>
        </cdr:cNvPr>
        <cdr:cNvSpPr txBox="1"/>
      </cdr:nvSpPr>
      <cdr:spPr>
        <a:xfrm xmlns:a="http://schemas.openxmlformats.org/drawingml/2006/main">
          <a:off x="3146425" y="546100"/>
          <a:ext cx="342900" cy="320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200" b="1"/>
            <a:t>b</a:t>
          </a:r>
        </a:p>
      </cdr:txBody>
    </cdr:sp>
  </cdr:relSizeAnchor>
  <cdr:relSizeAnchor xmlns:cdr="http://schemas.openxmlformats.org/drawingml/2006/chartDrawing">
    <cdr:from>
      <cdr:x>0.54836</cdr:x>
      <cdr:y>0.30336</cdr:y>
    </cdr:from>
    <cdr:to>
      <cdr:x>0.62691</cdr:x>
      <cdr:y>0.41278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BB5AC1E3-3D65-468F-B82A-D63E43824BA5}"/>
            </a:ext>
          </a:extLst>
        </cdr:cNvPr>
        <cdr:cNvSpPr txBox="1"/>
      </cdr:nvSpPr>
      <cdr:spPr>
        <a:xfrm xmlns:a="http://schemas.openxmlformats.org/drawingml/2006/main">
          <a:off x="2393950" y="889000"/>
          <a:ext cx="342900" cy="320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200" b="1"/>
            <a:t>c</a:t>
          </a:r>
        </a:p>
      </cdr:txBody>
    </cdr:sp>
  </cdr:relSizeAnchor>
  <cdr:relSizeAnchor xmlns:cdr="http://schemas.openxmlformats.org/drawingml/2006/chartDrawing">
    <cdr:from>
      <cdr:x>0.20145</cdr:x>
      <cdr:y>0.41712</cdr:y>
    </cdr:from>
    <cdr:to>
      <cdr:x>0.28</cdr:x>
      <cdr:y>0.52654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BB5AC1E3-3D65-468F-B82A-D63E43824BA5}"/>
            </a:ext>
          </a:extLst>
        </cdr:cNvPr>
        <cdr:cNvSpPr txBox="1"/>
      </cdr:nvSpPr>
      <cdr:spPr>
        <a:xfrm xmlns:a="http://schemas.openxmlformats.org/drawingml/2006/main">
          <a:off x="879475" y="1222375"/>
          <a:ext cx="342900" cy="320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200" b="1"/>
            <a:t>c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12699</xdr:rowOff>
    </xdr:from>
    <xdr:to>
      <xdr:col>18</xdr:col>
      <xdr:colOff>149225</xdr:colOff>
      <xdr:row>49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60DB0-0592-41CE-B91E-35EAC011C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177800</xdr:colOff>
      <xdr:row>52</xdr:row>
      <xdr:rowOff>57150</xdr:rowOff>
    </xdr:from>
    <xdr:to>
      <xdr:col>18</xdr:col>
      <xdr:colOff>304800</xdr:colOff>
      <xdr:row>67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1745AD-8F8F-414B-BC76-5CD0B3A1D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0.152</cdr:x>
      <cdr:y>0.82774</cdr:y>
    </cdr:from>
    <cdr:to>
      <cdr:x>0.27418</cdr:x>
      <cdr:y>0.90899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663575" y="2425701"/>
          <a:ext cx="533400" cy="238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0.32436</cdr:x>
      <cdr:y>0.82774</cdr:y>
    </cdr:from>
    <cdr:to>
      <cdr:x>0.44655</cdr:x>
      <cdr:y>0.90899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624A009-AC9A-45F4-A240-D7D494A75A73}"/>
            </a:ext>
          </a:extLst>
        </cdr:cNvPr>
        <cdr:cNvSpPr txBox="1"/>
      </cdr:nvSpPr>
      <cdr:spPr>
        <a:xfrm xmlns:a="http://schemas.openxmlformats.org/drawingml/2006/main">
          <a:off x="1416050" y="2425701"/>
          <a:ext cx="533400" cy="238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ald1-T2</a:t>
          </a:r>
        </a:p>
      </cdr:txBody>
    </cdr:sp>
  </cdr:relSizeAnchor>
  <cdr:relSizeAnchor xmlns:cdr="http://schemas.openxmlformats.org/drawingml/2006/chartDrawing">
    <cdr:from>
      <cdr:x>0.67128</cdr:x>
      <cdr:y>0.84074</cdr:y>
    </cdr:from>
    <cdr:to>
      <cdr:x>0.79346</cdr:x>
      <cdr:y>0.92199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930545" y="2463813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0.49018</cdr:x>
      <cdr:y>0.83424</cdr:y>
    </cdr:from>
    <cdr:to>
      <cdr:x>0.61237</cdr:x>
      <cdr:y>0.91549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BB618CC6-D026-4069-A640-C560C3A382E4}"/>
            </a:ext>
          </a:extLst>
        </cdr:cNvPr>
        <cdr:cNvSpPr txBox="1"/>
      </cdr:nvSpPr>
      <cdr:spPr>
        <a:xfrm xmlns:a="http://schemas.openxmlformats.org/drawingml/2006/main">
          <a:off x="2139930" y="2444763"/>
          <a:ext cx="533436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sard4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0.71855</cdr:x>
      <cdr:y>0.08234</cdr:y>
    </cdr:from>
    <cdr:to>
      <cdr:x>0.784</cdr:x>
      <cdr:y>0.17985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3136900" y="2413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0.152</cdr:x>
      <cdr:y>0.82774</cdr:y>
    </cdr:from>
    <cdr:to>
      <cdr:x>0.27418</cdr:x>
      <cdr:y>0.90899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663575" y="2425701"/>
          <a:ext cx="533400" cy="238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0.41186</cdr:x>
      <cdr:y>0.82774</cdr:y>
    </cdr:from>
    <cdr:to>
      <cdr:x>0.53405</cdr:x>
      <cdr:y>0.90899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624A009-AC9A-45F4-A240-D7D494A75A73}"/>
            </a:ext>
          </a:extLst>
        </cdr:cNvPr>
        <cdr:cNvSpPr txBox="1"/>
      </cdr:nvSpPr>
      <cdr:spPr>
        <a:xfrm xmlns:a="http://schemas.openxmlformats.org/drawingml/2006/main">
          <a:off x="1883024" y="2328474"/>
          <a:ext cx="558653" cy="228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ald1-T2</a:t>
          </a:r>
        </a:p>
      </cdr:txBody>
    </cdr:sp>
  </cdr:relSizeAnchor>
  <cdr:relSizeAnchor xmlns:cdr="http://schemas.openxmlformats.org/drawingml/2006/chartDrawing">
    <cdr:from>
      <cdr:x>0.65184</cdr:x>
      <cdr:y>0.83848</cdr:y>
    </cdr:from>
    <cdr:to>
      <cdr:x>0.77402</cdr:x>
      <cdr:y>0.91973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980192" y="2358694"/>
          <a:ext cx="558607" cy="228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0.18057</cdr:x>
      <cdr:y>0.06943</cdr:y>
    </cdr:from>
    <cdr:to>
      <cdr:x>0.24603</cdr:x>
      <cdr:y>0.16694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825561" y="195303"/>
          <a:ext cx="299283" cy="274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0.41014</cdr:x>
      <cdr:y>0.08658</cdr:y>
    </cdr:from>
    <cdr:to>
      <cdr:x>0.4756</cdr:x>
      <cdr:y>0.18409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875150" y="243561"/>
          <a:ext cx="299283" cy="2743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0.47342</cdr:x>
      <cdr:y>0.11258</cdr:y>
    </cdr:from>
    <cdr:to>
      <cdr:x>0.53888</cdr:x>
      <cdr:y>0.21009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64456" y="316701"/>
          <a:ext cx="299283" cy="274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0.63602</cdr:x>
      <cdr:y>0.11159</cdr:y>
    </cdr:from>
    <cdr:to>
      <cdr:x>0.70147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07889" y="313908"/>
          <a:ext cx="299237" cy="2743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0.70327</cdr:x>
      <cdr:y>0.0846</cdr:y>
    </cdr:from>
    <cdr:to>
      <cdr:x>0.76872</cdr:x>
      <cdr:y>0.18211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3215361" y="237977"/>
          <a:ext cx="299237" cy="274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0.24689</cdr:x>
      <cdr:y>0.3848</cdr:y>
    </cdr:from>
    <cdr:to>
      <cdr:x>0.31234</cdr:x>
      <cdr:y>0.48231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128776" y="1082452"/>
          <a:ext cx="299237" cy="2743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12699</xdr:rowOff>
    </xdr:from>
    <xdr:to>
      <xdr:col>18</xdr:col>
      <xdr:colOff>149225</xdr:colOff>
      <xdr:row>49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B28007-2D4E-4E53-92C7-5AF5396DD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</xdr:colOff>
      <xdr:row>32</xdr:row>
      <xdr:rowOff>0</xdr:rowOff>
    </xdr:from>
    <xdr:to>
      <xdr:col>13</xdr:col>
      <xdr:colOff>218364</xdr:colOff>
      <xdr:row>46</xdr:row>
      <xdr:rowOff>170976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D69FD1-BB2C-4BF2-9A8A-1E4EF5C00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0.82449</cdr:y>
    </cdr:from>
    <cdr:to>
      <cdr:x>0.31127</cdr:x>
      <cdr:y>0.90574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825500" y="2416188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0.40945</cdr:x>
      <cdr:y>0.83099</cdr:y>
    </cdr:from>
    <cdr:to>
      <cdr:x>0.53164</cdr:x>
      <cdr:y>0.91224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624A009-AC9A-45F4-A240-D7D494A75A73}"/>
            </a:ext>
          </a:extLst>
        </cdr:cNvPr>
        <cdr:cNvSpPr txBox="1"/>
      </cdr:nvSpPr>
      <cdr:spPr>
        <a:xfrm xmlns:a="http://schemas.openxmlformats.org/drawingml/2006/main">
          <a:off x="1787509" y="2435238"/>
          <a:ext cx="533436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ald1-T2</a:t>
          </a:r>
        </a:p>
      </cdr:txBody>
    </cdr:sp>
  </cdr:relSizeAnchor>
  <cdr:relSizeAnchor xmlns:cdr="http://schemas.openxmlformats.org/drawingml/2006/chartDrawing">
    <cdr:from>
      <cdr:x>0.64946</cdr:x>
      <cdr:y>0.83099</cdr:y>
    </cdr:from>
    <cdr:to>
      <cdr:x>0.77164</cdr:x>
      <cdr:y>0.91224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835307" y="2435235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0.176</cdr:x>
      <cdr:y>0.05417</cdr:y>
    </cdr:from>
    <cdr:to>
      <cdr:x>0.24146</cdr:x>
      <cdr:y>0.15168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768342" y="158743"/>
          <a:ext cx="285774" cy="28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0.70546</cdr:x>
      <cdr:y>0.1636</cdr:y>
    </cdr:from>
    <cdr:to>
      <cdr:x>0.77091</cdr:x>
      <cdr:y>0.26111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3079754" y="479424"/>
          <a:ext cx="285730" cy="28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  <cdr:relSizeAnchor xmlns:cdr="http://schemas.openxmlformats.org/drawingml/2006/chartDrawing">
    <cdr:from>
      <cdr:x>0.40654</cdr:x>
      <cdr:y>0.07909</cdr:y>
    </cdr:from>
    <cdr:to>
      <cdr:x>0.472</cdr:x>
      <cdr:y>0.1766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774809" y="231773"/>
          <a:ext cx="285774" cy="28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0.47854</cdr:x>
      <cdr:y>0.17659</cdr:y>
    </cdr:from>
    <cdr:to>
      <cdr:x>0.544</cdr:x>
      <cdr:y>0.27411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089134" y="517516"/>
          <a:ext cx="285774" cy="28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  <cdr:relSizeAnchor xmlns:cdr="http://schemas.openxmlformats.org/drawingml/2006/chartDrawing">
    <cdr:from>
      <cdr:x>0.63563</cdr:x>
      <cdr:y>0.08234</cdr:y>
    </cdr:from>
    <cdr:to>
      <cdr:x>0.70109</cdr:x>
      <cdr:y>0.17985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774934" y="241287"/>
          <a:ext cx="285774" cy="28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0.24291</cdr:x>
      <cdr:y>0.60889</cdr:y>
    </cdr:from>
    <cdr:to>
      <cdr:x>0.30836</cdr:x>
      <cdr:y>0.7064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060450" y="1784358"/>
          <a:ext cx="285730" cy="28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c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0.27626</cdr:x>
      <cdr:y>0.82449</cdr:y>
    </cdr:from>
    <cdr:to>
      <cdr:x>0.39844</cdr:x>
      <cdr:y>0.90574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778565" y="2239549"/>
          <a:ext cx="344335" cy="220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0.64946</cdr:x>
      <cdr:y>0.83099</cdr:y>
    </cdr:from>
    <cdr:to>
      <cdr:x>0.77164</cdr:x>
      <cdr:y>0.91224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835307" y="2435235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0.24458</cdr:x>
      <cdr:y>0.03407</cdr:y>
    </cdr:from>
    <cdr:to>
      <cdr:x>0.31004</cdr:x>
      <cdr:y>0.13158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89297" y="92550"/>
          <a:ext cx="184483" cy="264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0.73131</cdr:x>
      <cdr:y>0.1636</cdr:y>
    </cdr:from>
    <cdr:to>
      <cdr:x>0.79676</cdr:x>
      <cdr:y>0.26111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061019" y="444384"/>
          <a:ext cx="184456" cy="264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  <cdr:relSizeAnchor xmlns:cdr="http://schemas.openxmlformats.org/drawingml/2006/chartDrawing">
    <cdr:from>
      <cdr:x>0.58373</cdr:x>
      <cdr:y>0.06978</cdr:y>
    </cdr:from>
    <cdr:to>
      <cdr:x>0.64919</cdr:x>
      <cdr:y>0.16729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45106" y="189540"/>
          <a:ext cx="184483" cy="264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0.38369</cdr:x>
      <cdr:y>0.5833</cdr:y>
    </cdr:from>
    <cdr:to>
      <cdr:x>0.44914</cdr:x>
      <cdr:y>0.68081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081346" y="1584406"/>
          <a:ext cx="184456" cy="264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c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12699</xdr:rowOff>
    </xdr:from>
    <xdr:to>
      <xdr:col>18</xdr:col>
      <xdr:colOff>149225</xdr:colOff>
      <xdr:row>49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DAC7D-6C86-4BBC-922D-BF90CBEF5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0.82449</cdr:y>
    </cdr:from>
    <cdr:to>
      <cdr:x>0.31127</cdr:x>
      <cdr:y>0.90574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825500" y="2416188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0.40945</cdr:x>
      <cdr:y>0.83099</cdr:y>
    </cdr:from>
    <cdr:to>
      <cdr:x>0.53164</cdr:x>
      <cdr:y>0.91224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624A009-AC9A-45F4-A240-D7D494A75A73}"/>
            </a:ext>
          </a:extLst>
        </cdr:cNvPr>
        <cdr:cNvSpPr txBox="1"/>
      </cdr:nvSpPr>
      <cdr:spPr>
        <a:xfrm xmlns:a="http://schemas.openxmlformats.org/drawingml/2006/main">
          <a:off x="1787509" y="2435238"/>
          <a:ext cx="533436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ald1-T2</a:t>
          </a:r>
        </a:p>
      </cdr:txBody>
    </cdr:sp>
  </cdr:relSizeAnchor>
  <cdr:relSizeAnchor xmlns:cdr="http://schemas.openxmlformats.org/drawingml/2006/chartDrawing">
    <cdr:from>
      <cdr:x>0.64946</cdr:x>
      <cdr:y>0.83099</cdr:y>
    </cdr:from>
    <cdr:to>
      <cdr:x>0.77164</cdr:x>
      <cdr:y>0.91224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835307" y="2435235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0.17818</cdr:x>
      <cdr:y>0.11918</cdr:y>
    </cdr:from>
    <cdr:to>
      <cdr:x>0.24364</cdr:x>
      <cdr:y>0.21669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777875" y="349247"/>
          <a:ext cx="285774" cy="28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0.70764</cdr:x>
      <cdr:y>0.23511</cdr:y>
    </cdr:from>
    <cdr:to>
      <cdr:x>0.77309</cdr:x>
      <cdr:y>0.33262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3089299" y="688984"/>
          <a:ext cx="285730" cy="28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  <cdr:relSizeAnchor xmlns:cdr="http://schemas.openxmlformats.org/drawingml/2006/chartDrawing">
    <cdr:from>
      <cdr:x>0.40654</cdr:x>
      <cdr:y>0.07909</cdr:y>
    </cdr:from>
    <cdr:to>
      <cdr:x>0.472</cdr:x>
      <cdr:y>0.1766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774809" y="231773"/>
          <a:ext cx="285774" cy="28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0.47854</cdr:x>
      <cdr:y>0.22209</cdr:y>
    </cdr:from>
    <cdr:to>
      <cdr:x>0.544</cdr:x>
      <cdr:y>0.31961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089126" y="650851"/>
          <a:ext cx="285774" cy="285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  <cdr:relSizeAnchor xmlns:cdr="http://schemas.openxmlformats.org/drawingml/2006/chartDrawing">
    <cdr:from>
      <cdr:x>0.63563</cdr:x>
      <cdr:y>0.08234</cdr:y>
    </cdr:from>
    <cdr:to>
      <cdr:x>0.70109</cdr:x>
      <cdr:y>0.17985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774934" y="241287"/>
          <a:ext cx="285774" cy="28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0.24291</cdr:x>
      <cdr:y>0.43338</cdr:y>
    </cdr:from>
    <cdr:to>
      <cdr:x>0.30836</cdr:x>
      <cdr:y>0.53089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060454" y="1270017"/>
          <a:ext cx="285730" cy="28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c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542925</xdr:colOff>
      <xdr:row>34</xdr:row>
      <xdr:rowOff>69849</xdr:rowOff>
    </xdr:from>
    <xdr:to>
      <xdr:col>16</xdr:col>
      <xdr:colOff>669925</xdr:colOff>
      <xdr:row>49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C370F-B746-438C-BEC6-684273329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0.04708</cdr:x>
      <cdr:y>0.11392</cdr:y>
    </cdr:from>
    <cdr:to>
      <cdr:x>0.12999</cdr:x>
      <cdr:y>0.24087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15235" y="3204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0.33992</cdr:y>
    </cdr:from>
    <cdr:to>
      <cdr:x>0.12582</cdr:x>
      <cdr:y>0.46687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96185" y="9562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0.5595</cdr:y>
    </cdr:from>
    <cdr:to>
      <cdr:x>0.12582</cdr:x>
      <cdr:y>0.68645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96185" y="15739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0.82449</cdr:y>
    </cdr:from>
    <cdr:to>
      <cdr:x>0.31127</cdr:x>
      <cdr:y>0.90574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825500" y="2416188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0.40945</cdr:x>
      <cdr:y>0.83099</cdr:y>
    </cdr:from>
    <cdr:to>
      <cdr:x>0.53164</cdr:x>
      <cdr:y>0.91224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624A009-AC9A-45F4-A240-D7D494A75A73}"/>
            </a:ext>
          </a:extLst>
        </cdr:cNvPr>
        <cdr:cNvSpPr txBox="1"/>
      </cdr:nvSpPr>
      <cdr:spPr>
        <a:xfrm xmlns:a="http://schemas.openxmlformats.org/drawingml/2006/main">
          <a:off x="1787509" y="2435238"/>
          <a:ext cx="533436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ald1-T2</a:t>
          </a:r>
        </a:p>
      </cdr:txBody>
    </cdr:sp>
  </cdr:relSizeAnchor>
  <cdr:relSizeAnchor xmlns:cdr="http://schemas.openxmlformats.org/drawingml/2006/chartDrawing">
    <cdr:from>
      <cdr:x>0.64946</cdr:x>
      <cdr:y>0.83099</cdr:y>
    </cdr:from>
    <cdr:to>
      <cdr:x>0.77164</cdr:x>
      <cdr:y>0.91224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835307" y="2435235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542925</xdr:colOff>
      <xdr:row>34</xdr:row>
      <xdr:rowOff>69849</xdr:rowOff>
    </xdr:from>
    <xdr:to>
      <xdr:col>16</xdr:col>
      <xdr:colOff>669925</xdr:colOff>
      <xdr:row>49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A523B-EDF7-4946-8F31-8C3D53614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453446</xdr:colOff>
      <xdr:row>50</xdr:row>
      <xdr:rowOff>82853</xdr:rowOff>
    </xdr:from>
    <xdr:to>
      <xdr:col>15</xdr:col>
      <xdr:colOff>65301</xdr:colOff>
      <xdr:row>65</xdr:row>
      <xdr:rowOff>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0555B6-F2A2-4DAC-2C85-67F0CE9AA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398623</xdr:colOff>
      <xdr:row>65</xdr:row>
      <xdr:rowOff>87832</xdr:rowOff>
    </xdr:from>
    <xdr:to>
      <xdr:col>16</xdr:col>
      <xdr:colOff>525623</xdr:colOff>
      <xdr:row>80</xdr:row>
      <xdr:rowOff>88644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48A0EF-96CB-4509-AC3F-872B24DDE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0.04708</cdr:x>
      <cdr:y>0.11392</cdr:y>
    </cdr:from>
    <cdr:to>
      <cdr:x>0.12999</cdr:x>
      <cdr:y>0.24087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15235" y="3204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0.33992</cdr:y>
    </cdr:from>
    <cdr:to>
      <cdr:x>0.12582</cdr:x>
      <cdr:y>0.46687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96185" y="9562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0.5595</cdr:y>
    </cdr:from>
    <cdr:to>
      <cdr:x>0.12582</cdr:x>
      <cdr:y>0.68645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96185" y="15739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0.82449</cdr:y>
    </cdr:from>
    <cdr:to>
      <cdr:x>0.31127</cdr:x>
      <cdr:y>0.90574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825500" y="2416188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0.40945</cdr:x>
      <cdr:y>0.83099</cdr:y>
    </cdr:from>
    <cdr:to>
      <cdr:x>0.53164</cdr:x>
      <cdr:y>0.91224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624A009-AC9A-45F4-A240-D7D494A75A73}"/>
            </a:ext>
          </a:extLst>
        </cdr:cNvPr>
        <cdr:cNvSpPr txBox="1"/>
      </cdr:nvSpPr>
      <cdr:spPr>
        <a:xfrm xmlns:a="http://schemas.openxmlformats.org/drawingml/2006/main">
          <a:off x="1787509" y="2435238"/>
          <a:ext cx="533436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ald1-T2</a:t>
          </a:r>
        </a:p>
      </cdr:txBody>
    </cdr:sp>
  </cdr:relSizeAnchor>
  <cdr:relSizeAnchor xmlns:cdr="http://schemas.openxmlformats.org/drawingml/2006/chartDrawing">
    <cdr:from>
      <cdr:x>0.64946</cdr:x>
      <cdr:y>0.83099</cdr:y>
    </cdr:from>
    <cdr:to>
      <cdr:x>0.77164</cdr:x>
      <cdr:y>0.91224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835307" y="2435235"/>
          <a:ext cx="533392" cy="238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0.21319</cdr:x>
      <cdr:y>0.02709</cdr:y>
    </cdr:from>
    <cdr:to>
      <cdr:x>0.29375</cdr:x>
      <cdr:y>0.23476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72713E9-BFBC-4E9E-831A-525710DA491D}"/>
            </a:ext>
          </a:extLst>
        </cdr:cNvPr>
        <cdr:cNvSpPr txBox="1"/>
      </cdr:nvSpPr>
      <cdr:spPr>
        <a:xfrm xmlns:a="http://schemas.openxmlformats.org/drawingml/2006/main">
          <a:off x="974725" y="76201"/>
          <a:ext cx="368300" cy="584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0.16458</cdr:x>
      <cdr:y>0</cdr:y>
    </cdr:from>
    <cdr:to>
      <cdr:x>0.26181</cdr:x>
      <cdr:y>0.15801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43DED494-72BB-4D22-BABC-C41251B44810}"/>
            </a:ext>
          </a:extLst>
        </cdr:cNvPr>
        <cdr:cNvSpPr txBox="1"/>
      </cdr:nvSpPr>
      <cdr:spPr>
        <a:xfrm xmlns:a="http://schemas.openxmlformats.org/drawingml/2006/main">
          <a:off x="752475" y="0"/>
          <a:ext cx="4445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0.61944</cdr:x>
      <cdr:y>0.02483</cdr:y>
    </cdr:from>
    <cdr:to>
      <cdr:x>0.71667</cdr:x>
      <cdr:y>0.18284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A374325-CEE0-47AD-A95B-8155F6A78074}"/>
            </a:ext>
          </a:extLst>
        </cdr:cNvPr>
        <cdr:cNvSpPr txBox="1"/>
      </cdr:nvSpPr>
      <cdr:spPr>
        <a:xfrm xmlns:a="http://schemas.openxmlformats.org/drawingml/2006/main">
          <a:off x="2832100" y="69850"/>
          <a:ext cx="4445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ab</a:t>
          </a:r>
        </a:p>
      </cdr:txBody>
    </cdr:sp>
  </cdr:relSizeAnchor>
  <cdr:relSizeAnchor xmlns:cdr="http://schemas.openxmlformats.org/drawingml/2006/chartDrawing">
    <cdr:from>
      <cdr:x>0.39028</cdr:x>
      <cdr:y>0.06095</cdr:y>
    </cdr:from>
    <cdr:to>
      <cdr:x>0.4875</cdr:x>
      <cdr:y>0.21896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A374325-CEE0-47AD-A95B-8155F6A78074}"/>
            </a:ext>
          </a:extLst>
        </cdr:cNvPr>
        <cdr:cNvSpPr txBox="1"/>
      </cdr:nvSpPr>
      <cdr:spPr>
        <a:xfrm xmlns:a="http://schemas.openxmlformats.org/drawingml/2006/main">
          <a:off x="1784350" y="171450"/>
          <a:ext cx="4445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b</a:t>
          </a:r>
        </a:p>
      </cdr:txBody>
    </cdr:sp>
  </cdr:relSizeAnchor>
  <cdr:relSizeAnchor xmlns:cdr="http://schemas.openxmlformats.org/drawingml/2006/chartDrawing">
    <cdr:from>
      <cdr:x>0.22917</cdr:x>
      <cdr:y>0.52144</cdr:y>
    </cdr:from>
    <cdr:to>
      <cdr:x>0.32639</cdr:x>
      <cdr:y>0.67946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A374325-CEE0-47AD-A95B-8155F6A78074}"/>
            </a:ext>
          </a:extLst>
        </cdr:cNvPr>
        <cdr:cNvSpPr txBox="1"/>
      </cdr:nvSpPr>
      <cdr:spPr>
        <a:xfrm xmlns:a="http://schemas.openxmlformats.org/drawingml/2006/main">
          <a:off x="1047750" y="1466850"/>
          <a:ext cx="4445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d</a:t>
          </a:r>
        </a:p>
      </cdr:txBody>
    </cdr:sp>
  </cdr:relSizeAnchor>
  <cdr:relSizeAnchor xmlns:cdr="http://schemas.openxmlformats.org/drawingml/2006/chartDrawing">
    <cdr:from>
      <cdr:x>0.45694</cdr:x>
      <cdr:y>0.31828</cdr:y>
    </cdr:from>
    <cdr:to>
      <cdr:x>0.55417</cdr:x>
      <cdr:y>0.4763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C9E1124E-9AA3-4C0E-A7C9-CA7D69E222BD}"/>
            </a:ext>
          </a:extLst>
        </cdr:cNvPr>
        <cdr:cNvSpPr txBox="1"/>
      </cdr:nvSpPr>
      <cdr:spPr>
        <a:xfrm xmlns:a="http://schemas.openxmlformats.org/drawingml/2006/main">
          <a:off x="2089150" y="895350"/>
          <a:ext cx="4445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c</a:t>
          </a:r>
        </a:p>
      </cdr:txBody>
    </cdr:sp>
  </cdr:relSizeAnchor>
  <cdr:relSizeAnchor xmlns:cdr="http://schemas.openxmlformats.org/drawingml/2006/chartDrawing">
    <cdr:from>
      <cdr:x>0.68889</cdr:x>
      <cdr:y>0.26862</cdr:y>
    </cdr:from>
    <cdr:to>
      <cdr:x>0.78611</cdr:x>
      <cdr:y>0.42664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E09406A9-0C0B-458C-8585-F17F6BCE6B60}"/>
            </a:ext>
          </a:extLst>
        </cdr:cNvPr>
        <cdr:cNvSpPr txBox="1"/>
      </cdr:nvSpPr>
      <cdr:spPr>
        <a:xfrm xmlns:a="http://schemas.openxmlformats.org/drawingml/2006/main">
          <a:off x="3149600" y="755650"/>
          <a:ext cx="4445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c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0.06678</cdr:x>
      <cdr:y>0.18865</cdr:y>
    </cdr:from>
    <cdr:to>
      <cdr:x>0.14969</cdr:x>
      <cdr:y>0.31838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474A54-641C-AE74-FB8C-100186C55B52}"/>
            </a:ext>
          </a:extLst>
        </cdr:cNvPr>
        <cdr:cNvSpPr txBox="1"/>
      </cdr:nvSpPr>
      <cdr:spPr>
        <a:xfrm xmlns:a="http://schemas.openxmlformats.org/drawingml/2006/main">
          <a:off x="212022" y="518689"/>
          <a:ext cx="263231" cy="3567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0.06261</cdr:x>
      <cdr:y>0.41666</cdr:y>
    </cdr:from>
    <cdr:to>
      <cdr:x>0.14552</cdr:x>
      <cdr:y>0.5464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C5DCF19-20E4-3C2E-7A8E-41C5C2DD1375}"/>
            </a:ext>
          </a:extLst>
        </cdr:cNvPr>
        <cdr:cNvSpPr txBox="1"/>
      </cdr:nvSpPr>
      <cdr:spPr>
        <a:xfrm xmlns:a="http://schemas.openxmlformats.org/drawingml/2006/main">
          <a:off x="198782" y="1145617"/>
          <a:ext cx="263232" cy="3567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0.06122</cdr:x>
      <cdr:y>0.62864</cdr:y>
    </cdr:from>
    <cdr:to>
      <cdr:x>0.14413</cdr:x>
      <cdr:y>0.75838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8EA0D4F-04D4-4F9D-A46A-66C3AE1C6079}"/>
            </a:ext>
          </a:extLst>
        </cdr:cNvPr>
        <cdr:cNvSpPr txBox="1"/>
      </cdr:nvSpPr>
      <cdr:spPr>
        <a:xfrm xmlns:a="http://schemas.openxmlformats.org/drawingml/2006/main">
          <a:off x="194372" y="1728449"/>
          <a:ext cx="263232" cy="356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0.05705</cdr:x>
      <cdr:y>0.84703</cdr:y>
    </cdr:from>
    <cdr:to>
      <cdr:x>0.13996</cdr:x>
      <cdr:y>0.97677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376EA5F-B40E-8D7C-10F0-9A44CF5FB09A}"/>
            </a:ext>
          </a:extLst>
        </cdr:cNvPr>
        <cdr:cNvSpPr txBox="1"/>
      </cdr:nvSpPr>
      <cdr:spPr>
        <a:xfrm xmlns:a="http://schemas.openxmlformats.org/drawingml/2006/main">
          <a:off x="181143" y="2328918"/>
          <a:ext cx="263232" cy="356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0.04708</cdr:x>
      <cdr:y>0.11392</cdr:y>
    </cdr:from>
    <cdr:to>
      <cdr:x>0.12999</cdr:x>
      <cdr:y>0.24087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15235" y="3204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0.33992</cdr:y>
    </cdr:from>
    <cdr:to>
      <cdr:x>0.12582</cdr:x>
      <cdr:y>0.46687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96185" y="9562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0.5595</cdr:y>
    </cdr:from>
    <cdr:to>
      <cdr:x>0.12582</cdr:x>
      <cdr:y>0.68645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96185" y="15739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0.24981</cdr:x>
      <cdr:y>0.82449</cdr:y>
    </cdr:from>
    <cdr:to>
      <cdr:x>0.37199</cdr:x>
      <cdr:y>0.90574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1111901" y="2217735"/>
          <a:ext cx="543828" cy="218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0.59785</cdr:x>
      <cdr:y>0.82345</cdr:y>
    </cdr:from>
    <cdr:to>
      <cdr:x>0.72003</cdr:x>
      <cdr:y>0.9047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D780211-03B4-4702-933F-B15B906B7ED7}"/>
            </a:ext>
          </a:extLst>
        </cdr:cNvPr>
        <cdr:cNvSpPr txBox="1"/>
      </cdr:nvSpPr>
      <cdr:spPr>
        <a:xfrm xmlns:a="http://schemas.openxmlformats.org/drawingml/2006/main">
          <a:off x="2661059" y="2214950"/>
          <a:ext cx="543829" cy="218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fmo1-1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0.21319</cdr:x>
      <cdr:y>0.02709</cdr:y>
    </cdr:from>
    <cdr:to>
      <cdr:x>0.29375</cdr:x>
      <cdr:y>0.23476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72713E9-BFBC-4E9E-831A-525710DA491D}"/>
            </a:ext>
          </a:extLst>
        </cdr:cNvPr>
        <cdr:cNvSpPr txBox="1"/>
      </cdr:nvSpPr>
      <cdr:spPr>
        <a:xfrm xmlns:a="http://schemas.openxmlformats.org/drawingml/2006/main">
          <a:off x="974725" y="76201"/>
          <a:ext cx="368300" cy="584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0.22153</cdr:x>
      <cdr:y>3.71771E-7</cdr:y>
    </cdr:from>
    <cdr:to>
      <cdr:x>0.27171</cdr:x>
      <cdr:y>0.09796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43DED494-72BB-4D22-BABC-C41251B44810}"/>
            </a:ext>
          </a:extLst>
        </cdr:cNvPr>
        <cdr:cNvSpPr txBox="1"/>
      </cdr:nvSpPr>
      <cdr:spPr>
        <a:xfrm xmlns:a="http://schemas.openxmlformats.org/drawingml/2006/main">
          <a:off x="986051" y="1"/>
          <a:ext cx="223329" cy="263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t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0.54506</cdr:x>
      <cdr:y>0.04995</cdr:y>
    </cdr:from>
    <cdr:to>
      <cdr:x>0.64229</cdr:x>
      <cdr:y>0.20796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A374325-CEE0-47AD-A95B-8155F6A78074}"/>
            </a:ext>
          </a:extLst>
        </cdr:cNvPr>
        <cdr:cNvSpPr txBox="1"/>
      </cdr:nvSpPr>
      <cdr:spPr>
        <a:xfrm xmlns:a="http://schemas.openxmlformats.org/drawingml/2006/main">
          <a:off x="2426095" y="134351"/>
          <a:ext cx="432775" cy="425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0.29899</cdr:x>
      <cdr:y>0.50888</cdr:y>
    </cdr:from>
    <cdr:to>
      <cdr:x>0.39621</cdr:x>
      <cdr:y>0.6669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A374325-CEE0-47AD-A95B-8155F6A78074}"/>
            </a:ext>
          </a:extLst>
        </cdr:cNvPr>
        <cdr:cNvSpPr txBox="1"/>
      </cdr:nvSpPr>
      <cdr:spPr>
        <a:xfrm xmlns:a="http://schemas.openxmlformats.org/drawingml/2006/main">
          <a:off x="1330837" y="1368802"/>
          <a:ext cx="432730" cy="425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c</a:t>
          </a:r>
        </a:p>
      </cdr:txBody>
    </cdr:sp>
  </cdr:relSizeAnchor>
  <cdr:relSizeAnchor xmlns:cdr="http://schemas.openxmlformats.org/drawingml/2006/chartDrawing">
    <cdr:from>
      <cdr:x>0.64487</cdr:x>
      <cdr:y>0.27113</cdr:y>
    </cdr:from>
    <cdr:to>
      <cdr:x>0.74209</cdr:x>
      <cdr:y>0.42915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E09406A9-0C0B-458C-8585-F17F6BCE6B60}"/>
            </a:ext>
          </a:extLst>
        </cdr:cNvPr>
        <cdr:cNvSpPr txBox="1"/>
      </cdr:nvSpPr>
      <cdr:spPr>
        <a:xfrm xmlns:a="http://schemas.openxmlformats.org/drawingml/2006/main">
          <a:off x="2870346" y="729298"/>
          <a:ext cx="432730" cy="425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b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263525</xdr:colOff>
      <xdr:row>2</xdr:row>
      <xdr:rowOff>152400</xdr:rowOff>
    </xdr:from>
    <xdr:to>
      <xdr:col>17</xdr:col>
      <xdr:colOff>568325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9FDEB-144F-48B6-A0AB-FE5A45B3A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2"/>
  <sheetViews>
    <sheetView topLeftCell="M20" zoomScaleNormal="100" workbookViewId="0">
      <selection activeCell="R4" sqref="R4:S6"/>
    </sheetView>
  </sheetViews>
  <sheetFormatPr defaultColWidth="9.109375" defaultRowHeight="14.4" x14ac:dyDescent="0.3"/>
  <cols>
    <col min="1" max="1" width="10.6640625" style="23" customWidth="1"/>
    <col min="2" max="2" width="10.6640625" style="24" customWidth="1"/>
    <col min="3" max="3" width="12.6640625" style="25" bestFit="1" customWidth="1"/>
    <col min="4" max="4" width="20.33203125" style="25" customWidth="1"/>
    <col min="5" max="5" width="21" style="25" customWidth="1"/>
    <col min="6" max="6" width="11.44140625" style="5" customWidth="1"/>
    <col min="7" max="7" width="11.44140625" style="29" customWidth="1"/>
    <col min="8" max="8" width="14.44140625" style="5" customWidth="1"/>
    <col min="9" max="9" width="12.6640625" style="5" bestFit="1" customWidth="1"/>
    <col min="10" max="12" width="12.6640625" style="5" customWidth="1"/>
    <col min="13" max="13" width="12.6640625" style="7" customWidth="1"/>
    <col min="14" max="15" width="12.6640625" style="21" customWidth="1"/>
    <col min="16" max="19" width="12.6640625" style="5" customWidth="1"/>
    <col min="20" max="20" width="11.88671875" style="5" customWidth="1"/>
    <col min="21" max="21" width="12.44140625" style="5" customWidth="1"/>
    <col min="22" max="22" width="13.109375" style="7" customWidth="1"/>
    <col min="23" max="16384" width="9.109375" style="7"/>
  </cols>
  <sheetData>
    <row r="1" spans="1:22" ht="28.5" thickBot="1" x14ac:dyDescent="0.35">
      <c r="A1" s="1" t="s">
        <v>0</v>
      </c>
      <c r="B1" s="2" t="s">
        <v>8</v>
      </c>
      <c r="C1" s="3" t="s">
        <v>1</v>
      </c>
      <c r="D1" s="3" t="s">
        <v>6</v>
      </c>
      <c r="E1" s="3" t="s">
        <v>7</v>
      </c>
      <c r="F1" s="4" t="s">
        <v>9</v>
      </c>
      <c r="G1" s="27" t="s">
        <v>11</v>
      </c>
      <c r="H1" s="26" t="s">
        <v>32</v>
      </c>
      <c r="I1" s="26" t="s">
        <v>33</v>
      </c>
      <c r="J1" s="26" t="s">
        <v>10</v>
      </c>
      <c r="K1" s="26" t="s">
        <v>34</v>
      </c>
      <c r="L1" s="26" t="s">
        <v>35</v>
      </c>
      <c r="M1" s="6"/>
      <c r="N1" s="48" t="s">
        <v>58</v>
      </c>
      <c r="O1" s="48" t="s">
        <v>59</v>
      </c>
      <c r="P1" s="48" t="s">
        <v>60</v>
      </c>
      <c r="Q1" s="48" t="s">
        <v>61</v>
      </c>
      <c r="R1" s="48" t="s">
        <v>62</v>
      </c>
      <c r="S1" s="48" t="s">
        <v>63</v>
      </c>
      <c r="T1" s="45" t="s">
        <v>64</v>
      </c>
      <c r="U1" s="45" t="s">
        <v>65</v>
      </c>
      <c r="V1" s="6"/>
    </row>
    <row r="2" spans="1:22" ht="15.75" customHeight="1" thickTop="1" x14ac:dyDescent="0.3">
      <c r="A2" s="74" t="s">
        <v>54</v>
      </c>
      <c r="B2" s="77">
        <v>1</v>
      </c>
      <c r="C2" s="30" t="s">
        <v>4</v>
      </c>
      <c r="D2" s="58" t="s">
        <v>5</v>
      </c>
      <c r="E2" s="58"/>
      <c r="F2" s="31" t="e">
        <f>(AVERAGEIF(D2:E2,"&gt;0",D2:E2))*10^3*100/8</f>
        <v>#DIV/0!</v>
      </c>
      <c r="G2" s="7"/>
      <c r="H2" s="5" t="s">
        <v>12</v>
      </c>
      <c r="J2" s="38"/>
      <c r="K2" s="41">
        <f t="array" ref="K2">IFERROR(INDEX($I$2:$I$81,SMALL(IF(ISNUMBER($I$2:$I$81),ROW($A$1:$A$80),""),ROW(A1))),"")</f>
        <v>8416666.666666666</v>
      </c>
      <c r="L2" s="41">
        <f t="array" ref="L2">IFERROR(INDEX($J$2:$J$81,SMALL(IF(ISNUMBER($J$2:$J$81),ROW($A$1:$A$80),""),ROW(A1))),"")</f>
        <v>1588942.9138056936</v>
      </c>
      <c r="M2" s="63" t="s">
        <v>52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75"/>
      <c r="B3" s="71"/>
      <c r="C3" s="11" t="s">
        <v>2</v>
      </c>
      <c r="D3" s="11">
        <v>85</v>
      </c>
      <c r="E3" s="11">
        <v>72</v>
      </c>
      <c r="F3" s="32">
        <f>(AVERAGEIF(D3:E3,"&gt;0",D3:E3))*10^4*100/8</f>
        <v>9812500</v>
      </c>
      <c r="G3" s="7">
        <v>1</v>
      </c>
      <c r="H3" s="5">
        <f t="array" ref="H3">IFERROR(INDEX($F$2:$F$181,SMALL(IF($G$2:$G$181=1,ROW($A$1:$A$163),""),ROW(A1))),"")</f>
        <v>9812500</v>
      </c>
      <c r="J3" s="39"/>
      <c r="K3" s="41">
        <f t="array" ref="K3">IFERROR(INDEX($I$2:$I$81,SMALL(IF(ISNUMBER($I$2:$I$81),ROW($A$1:$A$80),""),ROW(A2))),"")</f>
        <v>174791.66666666666</v>
      </c>
      <c r="L3" s="41">
        <f t="array" ref="L3">IFERROR(INDEX($J$2:$J$81,SMALL(IF(ISNUMBER($J$2:$J$81),ROW($A$1:$A$80),""),ROW(A2))),"")</f>
        <v>40650.632938901894</v>
      </c>
      <c r="M3" s="63" t="s">
        <v>53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5" thickBot="1" x14ac:dyDescent="0.35">
      <c r="A4" s="75"/>
      <c r="B4" s="72"/>
      <c r="C4" s="12" t="s">
        <v>3</v>
      </c>
      <c r="D4" s="12">
        <v>6</v>
      </c>
      <c r="E4" s="12">
        <v>6</v>
      </c>
      <c r="F4" s="33">
        <f>(AVERAGEIF(D4:E4,"&gt;0",D4:E4))*10^5*100/8</f>
        <v>7500000</v>
      </c>
      <c r="G4" s="7"/>
      <c r="H4" s="5">
        <f t="array" ref="H4">IFERROR(INDEX($F$2:$F$181,SMALL(IF($G$2:$G$181=1,ROW($A$1:$A$163),""),ROW(A2))),"")</f>
        <v>8750000</v>
      </c>
      <c r="J4" s="39"/>
      <c r="K4" s="41">
        <f t="array" ref="K4">IFERROR(INDEX($I$2:$I$81,SMALL(IF(ISNUMBER($I$2:$I$81),ROW($A$1:$A$80),""),ROW(A3))),"")</f>
        <v>7333333.333333333</v>
      </c>
      <c r="L4" s="41">
        <f t="array" ref="L4">IFERROR(INDEX($J$2:$J$81,SMALL(IF(ISNUMBER($J$2:$J$81),ROW($A$1:$A$80),""),ROW(A3))),"")</f>
        <v>1417432.3910978357</v>
      </c>
      <c r="M4" s="64"/>
      <c r="N4" s="9">
        <f t="array" ref="N4">IFERROR(INDEX($F$2:$F$181,SMALL(_xlfn.IFS($G$2:$G$181&lt;$N$2,"",$G$2:$G$181&gt;$N$3,"",ISNUMBER($G$2:$G$181),ROW($A$1:$A$180)),ROW(A1))),"")</f>
        <v>9812500</v>
      </c>
      <c r="O4" s="9">
        <f t="array" ref="O4">IFERROR(INDEX($F$2:$F$181,SMALL(_xlfn.IFS($G$2:$G$181&lt;$O$2,"",$G$2:$G$181&gt;$O$3,"",ISNUMBER($G$2:$G$181),ROW($A$1:$A$180)),ROW(A1))),"")</f>
        <v>218125</v>
      </c>
      <c r="P4" s="9">
        <f t="array" ref="P4">IFERROR(INDEX($F$2:$F$181,SMALL(_xlfn.IFS($G$2:$G$181&lt;$P$2,"",$G$2:$G$181&gt;$P$3,"",ISNUMBER($G$2:$G$181),ROW($A$1:$A$180)),ROW(A1))),"")</f>
        <v>6250000</v>
      </c>
      <c r="Q4" s="9">
        <f t="array" ref="Q4">IFERROR(INDEX($F$2:$F$181,SMALL(_xlfn.IFS($G$2:$G$181&lt;$Q$2,"",$G$2:$G$181&gt;$Q$3,"",ISNUMBER($G$2:$G$181),ROW($A$1:$A$180)),ROW(A1))),"")</f>
        <v>1037500</v>
      </c>
      <c r="R4" s="9">
        <f t="array" ref="R4">IFERROR(INDEX($F$2:$F$181,SMALL(_xlfn.IFS($G$2:$G$181&lt;$R$2,"",$G$2:$G$181&gt;$R$3,"",ISNUMBER($G$2:$G$181),ROW($A$1:$A$180)),ROW(A1))),"")</f>
        <v>6437500</v>
      </c>
      <c r="S4" s="10">
        <f t="array" ref="S4">IFERROR(INDEX($F$2:$F$181,SMALL(_xlfn.IFS($G$2:$G$181&lt;$S$2,"",$G$2:$G$181&gt;$S$3,"",ISNUMBER($G$2:$G$181),ROW($A$1:$A$180)),ROW(A1))),"")</f>
        <v>140000</v>
      </c>
      <c r="T4" s="5">
        <f t="array" ref="T4">IFERROR(INDEX($F$2:$F$181,SMALL(_xlfn.IFS($G$2:$G$181&lt;$T$2,"",$G$2:$G$181&gt;$T$3,"",ISNUMBER($G$2:$G$181),ROW($A$1:$A$180)),ROW(A1))),"")</f>
        <v>6875000</v>
      </c>
      <c r="U4" s="5">
        <f t="array" ref="U4">IFERROR(INDEX($F$2:$F$181,SMALL(_xlfn.IFS($G$2:$G$181&lt;$U$2,"",$G$2:$G$181&gt;$U$3,"",ISNUMBER($G$2:$G$181),ROW($A$1:$A$180)),ROW(A1))),"")</f>
        <v>1031250</v>
      </c>
    </row>
    <row r="5" spans="1:22" x14ac:dyDescent="0.3">
      <c r="A5" s="75"/>
      <c r="B5" s="70">
        <v>2</v>
      </c>
      <c r="C5" s="8" t="s">
        <v>4</v>
      </c>
      <c r="D5" s="59" t="s">
        <v>76</v>
      </c>
      <c r="E5" s="59"/>
      <c r="F5" s="34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6687500</v>
      </c>
      <c r="I5" s="5">
        <f>AVERAGE(H3:H5)</f>
        <v>8416666.666666666</v>
      </c>
      <c r="J5" s="39">
        <f>STDEV(H3:H5)</f>
        <v>1588942.9138056936</v>
      </c>
      <c r="K5" s="41">
        <f t="array" ref="K5">IFERROR(INDEX($I$2:$I$81,SMALL(IF(ISNUMBER($I$2:$I$81),ROW($A$1:$A$80),""),ROW(A4))),"")</f>
        <v>1425000</v>
      </c>
      <c r="L5" s="41">
        <f t="array" ref="L5">IFERROR(INDEX($J$2:$J$81,SMALL(IF(ISNUMBER($J$2:$J$81),ROW($A$1:$A$80),""),ROW(A4))),"")</f>
        <v>411124.60094234208</v>
      </c>
      <c r="M5" s="64"/>
      <c r="N5" s="9">
        <f t="array" ref="N5">IFERROR(INDEX($F$2:$F$181,SMALL(_xlfn.IFS($G$2:$G$181&lt;$N$2,"",$G$2:$G$181&gt;$N$3,"",ISNUMBER($G$2:$G$181),ROW($A$1:$A$180)),ROW(A2))),"")</f>
        <v>8750000</v>
      </c>
      <c r="O5" s="9">
        <f t="array" ref="O5">IFERROR(INDEX($F$2:$F$181,SMALL(_xlfn.IFS($G$2:$G$181&lt;$O$2,"",$G$2:$G$181&gt;$O$3,"",ISNUMBER($G$2:$G$181),ROW($A$1:$A$180)),ROW(A2))),"")</f>
        <v>168750</v>
      </c>
      <c r="P5" s="9">
        <f t="array" ref="P5">IFERROR(INDEX($F$2:$F$181,SMALL(_xlfn.IFS($G$2:$G$181&lt;$P$2,"",$G$2:$G$181&gt;$P$3,"",ISNUMBER($G$2:$G$181),ROW($A$1:$A$180)),ROW(A2))),"")</f>
        <v>6812500</v>
      </c>
      <c r="Q5" s="9">
        <f t="array" ref="Q5">IFERROR(INDEX($F$2:$F$181,SMALL(_xlfn.IFS($G$2:$G$181&lt;$Q$2,"",$G$2:$G$181&gt;$Q$3,"",ISNUMBER($G$2:$G$181),ROW($A$1:$A$180)),ROW(A2))),"")</f>
        <v>1381250</v>
      </c>
      <c r="R5" s="9">
        <f t="array" ref="R5">IFERROR(INDEX($F$2:$F$181,SMALL(_xlfn.IFS($G$2:$G$181&lt;$R$2,"",$G$2:$G$181&gt;$R$3,"",ISNUMBER($G$2:$G$181),ROW($A$1:$A$180)),ROW(A2))),"")</f>
        <v>8125000</v>
      </c>
      <c r="S5" s="10">
        <f t="array" ref="S5">IFERROR(INDEX($F$2:$F$181,SMALL(_xlfn.IFS($G$2:$G$181&lt;$S$2,"",$G$2:$G$181&gt;$S$3,"",ISNUMBER($G$2:$G$181),ROW($A$1:$A$180)),ROW(A2))),"")</f>
        <v>550000</v>
      </c>
      <c r="T5" s="5">
        <f t="array" ref="T5">IFERROR(INDEX($F$2:$F$181,SMALL(_xlfn.IFS($G$2:$G$181&lt;$T$2,"",$G$2:$G$181&gt;$T$3,"",ISNUMBER($G$2:$G$181),ROW($A$1:$A$180)),ROW(A2))),"")</f>
        <v>7937500</v>
      </c>
      <c r="U5" s="5">
        <f t="array" ref="U5">IFERROR(INDEX($F$2:$F$181,SMALL(_xlfn.IFS($G$2:$G$181&lt;$U$2,"",$G$2:$G$181&gt;$U$3,"",ISNUMBER($G$2:$G$181),ROW($A$1:$A$180)),ROW(A2))),"")</f>
        <v>1650000</v>
      </c>
    </row>
    <row r="6" spans="1:22" x14ac:dyDescent="0.3">
      <c r="A6" s="75"/>
      <c r="B6" s="71"/>
      <c r="C6" s="11" t="s">
        <v>2</v>
      </c>
      <c r="D6" s="11">
        <v>60</v>
      </c>
      <c r="E6" s="11">
        <v>70</v>
      </c>
      <c r="F6" s="32">
        <f t="shared" ref="F6" si="1">(AVERAGEIF(D6:E6,"&gt;0",D6:E6))*10^4*100/8</f>
        <v>8125000</v>
      </c>
      <c r="G6" s="7"/>
      <c r="H6" s="5" t="s">
        <v>13</v>
      </c>
      <c r="J6" s="39"/>
      <c r="K6" s="41">
        <f t="array" ref="K6">IFERROR(INDEX($I$2:$I$81,SMALL(IF(ISNUMBER($I$2:$I$81),ROW($A$1:$A$80),""),ROW(A5))),"")</f>
        <v>7145833.333333333</v>
      </c>
      <c r="L6" s="41">
        <f t="array" ref="L6">IFERROR(INDEX($J$2:$J$81,SMALL(IF(ISNUMBER($J$2:$J$81),ROW($A$1:$A$80),""),ROW(A5))),"")</f>
        <v>875743.73154098762</v>
      </c>
      <c r="M6" s="64"/>
      <c r="N6" s="9">
        <f t="array" ref="N6">IFERROR(INDEX($F$2:$F$181,SMALL(_xlfn.IFS($G$2:$G$181&lt;$N$2,"",$G$2:$G$181&gt;$N$3,"",ISNUMBER($G$2:$G$181),ROW($A$1:$A$180)),ROW(A3))),"")</f>
        <v>6687500</v>
      </c>
      <c r="O6" s="9">
        <f t="array" ref="O6">IFERROR(INDEX($F$2:$F$181,SMALL(_xlfn.IFS($G$2:$G$181&lt;$O$2,"",$G$2:$G$181&gt;$O$3,"",ISNUMBER($G$2:$G$181),ROW($A$1:$A$180)),ROW(A3))),"")</f>
        <v>137500</v>
      </c>
      <c r="P6" s="9">
        <f t="array" ref="P6">IFERROR(INDEX($F$2:$F$181,SMALL(_xlfn.IFS($G$2:$G$181&lt;$P$2,"",$G$2:$G$181&gt;$P$3,"",ISNUMBER($G$2:$G$181),ROW($A$1:$A$180)),ROW(A3))),"")</f>
        <v>8937500</v>
      </c>
      <c r="Q6" s="9">
        <f t="array" ref="Q6">IFERROR(INDEX($F$2:$F$181,SMALL(_xlfn.IFS($G$2:$G$181&lt;$Q$2,"",$G$2:$G$181&gt;$Q$3,"",ISNUMBER($G$2:$G$181),ROW($A$1:$A$180)),ROW(A3))),"")</f>
        <v>1856250</v>
      </c>
      <c r="R6" s="9">
        <f t="array" ref="R6">IFERROR(INDEX($F$2:$F$181,SMALL(_xlfn.IFS($G$2:$G$181&lt;$R$2,"",$G$2:$G$181&gt;$R$3,"",ISNUMBER($G$2:$G$181),ROW($A$1:$A$180)),ROW(A3))),"")</f>
        <v>6875000</v>
      </c>
      <c r="S6" s="10">
        <f t="array" ref="S6">IFERROR(INDEX($F$2:$F$181,SMALL(_xlfn.IFS($G$2:$G$181&lt;$S$2,"",$G$2:$G$181&gt;$S$3,"",ISNUMBER($G$2:$G$181),ROW($A$1:$A$180)),ROW(A3))),"")</f>
        <v>462500</v>
      </c>
      <c r="T6" s="5">
        <f t="array" ref="T6">IFERROR(INDEX($F$2:$F$181,SMALL(_xlfn.IFS($G$2:$G$181&lt;$T$2,"",$G$2:$G$181&gt;$T$3,"",ISNUMBER($G$2:$G$181),ROW($A$1:$A$180)),ROW(A3))),"")</f>
        <v>9375000</v>
      </c>
      <c r="U6" s="5">
        <f t="array" ref="U6">IFERROR(INDEX($F$2:$F$181,SMALL(_xlfn.IFS($G$2:$G$181&lt;$U$2,"",$G$2:$G$181&gt;$U$3,"",ISNUMBER($G$2:$G$181),ROW($A$1:$A$180)),ROW(A3))),"")</f>
        <v>1325000</v>
      </c>
    </row>
    <row r="7" spans="1:22" ht="15" thickBot="1" x14ac:dyDescent="0.35">
      <c r="A7" s="75"/>
      <c r="B7" s="72"/>
      <c r="C7" s="12" t="s">
        <v>3</v>
      </c>
      <c r="D7" s="12">
        <v>7</v>
      </c>
      <c r="E7" s="12"/>
      <c r="F7" s="33">
        <f t="shared" ref="F7" si="2">(AVERAGEIF(D7:E7,"&gt;0",D7:E7))*10^5*100/8</f>
        <v>8750000</v>
      </c>
      <c r="G7" s="7">
        <v>1</v>
      </c>
      <c r="H7" s="5">
        <f t="array" ref="H7">IFERROR(INDEX($F$2:$F$181,SMALL(IF($G$2:$G$181=2,ROW($A$1:$A$163),""),ROW(A1))),"")</f>
        <v>218125</v>
      </c>
      <c r="J7" s="39"/>
      <c r="K7" s="41">
        <f t="array" ref="K7">IFERROR(INDEX($I$2:$I$81,SMALL(IF(ISNUMBER($I$2:$I$81),ROW($A$1:$A$80),""),ROW(A6))),"")</f>
        <v>384166.66666666669</v>
      </c>
      <c r="L7" s="41">
        <f t="array" ref="L7">IFERROR(INDEX($J$2:$J$81,SMALL(IF(ISNUMBER($J$2:$J$81),ROW($A$1:$A$80),""),ROW(A6))),"")</f>
        <v>215933.05289680258</v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x14ac:dyDescent="0.3">
      <c r="A8" s="75"/>
      <c r="B8" s="70">
        <v>3</v>
      </c>
      <c r="C8" s="8" t="s">
        <v>4</v>
      </c>
      <c r="D8" s="59" t="s">
        <v>57</v>
      </c>
      <c r="E8" s="59"/>
      <c r="F8" s="34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168750</v>
      </c>
      <c r="J8" s="39"/>
      <c r="K8" s="41">
        <f t="array" ref="K8">IFERROR(INDEX($I$2:$I$81,SMALL(IF(ISNUMBER($I$2:$I$81),ROW($A$1:$A$80),""),ROW(A7))),"")</f>
        <v>8062500</v>
      </c>
      <c r="L8" s="41">
        <f t="array" ref="L8">IFERROR(INDEX($J$2:$J$81,SMALL(IF(ISNUMBER($J$2:$J$81),ROW($A$1:$A$80),""),ROW(A7))),"")</f>
        <v>1254678.7437427957</v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75"/>
      <c r="B9" s="71"/>
      <c r="C9" s="11" t="s">
        <v>2</v>
      </c>
      <c r="D9" s="11">
        <v>55</v>
      </c>
      <c r="E9" s="11">
        <v>52</v>
      </c>
      <c r="F9" s="32">
        <f t="shared" ref="F9" si="4">(AVERAGEIF(D9:E9,"&gt;0",D9:E9))*10^4*100/8</f>
        <v>6687500</v>
      </c>
      <c r="G9" s="7">
        <v>1</v>
      </c>
      <c r="H9" s="5">
        <f t="array" ref="H9">IFERROR(INDEX($F$2:$F$181,SMALL(IF($G$2:$G$181=2,ROW($A$1:$A$163),""),ROW(A3))),"")</f>
        <v>137500</v>
      </c>
      <c r="I9" s="5">
        <f>AVERAGE(H7:H9)</f>
        <v>174791.66666666666</v>
      </c>
      <c r="J9" s="39">
        <f>STDEV(H7:H9)</f>
        <v>40650.632938901894</v>
      </c>
      <c r="K9" s="41">
        <f t="array" ref="K9">IFERROR(INDEX($I$2:$I$81,SMALL(IF(ISNUMBER($I$2:$I$81),ROW($A$1:$A$80),""),ROW(A8))),"")</f>
        <v>1335416.6666666667</v>
      </c>
      <c r="L9" s="41">
        <f t="array" ref="L9">IFERROR(INDEX($J$2:$J$81,SMALL(IF(ISNUMBER($J$2:$J$81),ROW($A$1:$A$80),""),ROW(A8))),"")</f>
        <v>309506.49562381319</v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5" thickBot="1" x14ac:dyDescent="0.35">
      <c r="A10" s="76"/>
      <c r="B10" s="73"/>
      <c r="C10" s="35" t="s">
        <v>3</v>
      </c>
      <c r="D10" s="35">
        <v>5</v>
      </c>
      <c r="E10" s="35">
        <v>2</v>
      </c>
      <c r="F10" s="36">
        <f t="shared" ref="F10" si="5">(AVERAGEIF(D10:E10,"&gt;0",D10:E10))*10^5*100/8</f>
        <v>4375000</v>
      </c>
      <c r="G10" s="7"/>
      <c r="H10" s="5" t="s">
        <v>14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" customHeight="1" thickTop="1" x14ac:dyDescent="0.3">
      <c r="A11" s="74" t="s">
        <v>70</v>
      </c>
      <c r="B11" s="77">
        <v>1</v>
      </c>
      <c r="C11" s="30" t="s">
        <v>4</v>
      </c>
      <c r="D11" s="30" t="s">
        <v>57</v>
      </c>
      <c r="E11" s="30"/>
      <c r="F11" s="31" t="e">
        <f t="shared" ref="F11" si="6">(AVERAGEIF(D11:E11,"&gt;0",D11:E11))*10^3*100/8</f>
        <v>#DIV/0!</v>
      </c>
      <c r="G11" s="7"/>
      <c r="H11" s="5">
        <f t="array" ref="H11">IFERROR(INDEX($F$2:$F$181,SMALL(IF($G$2:$G$181=3,ROW($A$1:$A$163),""),ROW(A1))),"")</f>
        <v>6250000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75"/>
      <c r="B12" s="71"/>
      <c r="C12" s="11" t="s">
        <v>2</v>
      </c>
      <c r="D12" s="11">
        <v>44</v>
      </c>
      <c r="E12" s="11">
        <v>45</v>
      </c>
      <c r="F12" s="32">
        <f t="shared" ref="F12" si="7">(AVERAGEIF(D12:E12,"&gt;0",D12:E12))*10^4*100/8</f>
        <v>5562500</v>
      </c>
      <c r="G12" s="7"/>
      <c r="H12" s="5">
        <f t="array" ref="H12">IFERROR(INDEX($F$2:$F$181,SMALL(IF($G$2:$G$181=3,ROW($A$1:$A$163),""),ROW(A2))),"")</f>
        <v>6812500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5" thickBot="1" x14ac:dyDescent="0.35">
      <c r="A13" s="75"/>
      <c r="B13" s="72"/>
      <c r="C13" s="12" t="s">
        <v>3</v>
      </c>
      <c r="D13" s="12">
        <v>7</v>
      </c>
      <c r="E13" s="12">
        <v>3</v>
      </c>
      <c r="F13" s="33">
        <f t="shared" ref="F13" si="8">(AVERAGEIF(D13:E13,"&gt;0",D13:E13))*10^5*100/8</f>
        <v>6250000</v>
      </c>
      <c r="G13" s="7">
        <v>3</v>
      </c>
      <c r="H13" s="5">
        <f t="array" ref="H13">IFERROR(INDEX($F$2:$F$181,SMALL(IF($G$2:$G$181=3,ROW($A$1:$A$163),""),ROW(A3))),"")</f>
        <v>8937500</v>
      </c>
      <c r="I13" s="5">
        <f>AVERAGE(H11:H13)</f>
        <v>7333333.333333333</v>
      </c>
      <c r="J13" s="39">
        <f>STDEV(H11:H13)</f>
        <v>1417432.3910978357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75"/>
      <c r="B14" s="70">
        <v>2</v>
      </c>
      <c r="C14" s="8" t="s">
        <v>4</v>
      </c>
      <c r="D14" s="8" t="s">
        <v>57</v>
      </c>
      <c r="E14" s="8"/>
      <c r="F14" s="34" t="e">
        <f t="shared" ref="F14" si="9">(AVERAGEIF(D14:E14,"&gt;0",D14:E14))*10^3*100/8</f>
        <v>#DIV/0!</v>
      </c>
      <c r="G14" s="7"/>
      <c r="H14" s="5" t="s">
        <v>15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75"/>
      <c r="B15" s="71"/>
      <c r="C15" s="11" t="s">
        <v>2</v>
      </c>
      <c r="D15" s="11">
        <v>61</v>
      </c>
      <c r="E15" s="11">
        <v>48</v>
      </c>
      <c r="F15" s="32">
        <f t="shared" ref="F15" si="10">(AVERAGEIF(D15:E15,"&gt;0",D15:E15))*10^4*100/8</f>
        <v>6812500</v>
      </c>
      <c r="G15" s="7">
        <v>3</v>
      </c>
      <c r="H15" s="5">
        <f t="array" ref="H15">IFERROR(INDEX($F$2:$F$181,SMALL(IF($G$2:$G$181=4,ROW($A$1:$A$163),""),ROW(A1))),"")</f>
        <v>1037500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5" thickBot="1" x14ac:dyDescent="0.35">
      <c r="A16" s="75"/>
      <c r="B16" s="72"/>
      <c r="C16" s="12" t="s">
        <v>3</v>
      </c>
      <c r="D16" s="12">
        <v>6</v>
      </c>
      <c r="E16" s="12">
        <v>3</v>
      </c>
      <c r="F16" s="33">
        <f t="shared" ref="F16" si="11">(AVERAGEIF(D16:E16,"&gt;0",D16:E16))*10^5*100/8</f>
        <v>5625000</v>
      </c>
      <c r="G16" s="7"/>
      <c r="H16" s="5">
        <f t="array" ref="H16">IFERROR(INDEX($F$2:$F$181,SMALL(IF($G$2:$G$181=4,ROW($A$1:$A$163),""),ROW(A2))),"")</f>
        <v>1381250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75"/>
      <c r="B17" s="70">
        <v>3</v>
      </c>
      <c r="C17" s="8" t="s">
        <v>4</v>
      </c>
      <c r="D17" s="8" t="s">
        <v>57</v>
      </c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1856250</v>
      </c>
      <c r="I17" s="5">
        <f>AVERAGE(H15:H17)</f>
        <v>1425000</v>
      </c>
      <c r="J17" s="39">
        <f>STDEV(H15:H17)</f>
        <v>411124.60094234208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75"/>
      <c r="B18" s="71"/>
      <c r="C18" s="11" t="s">
        <v>2</v>
      </c>
      <c r="D18" s="11">
        <v>78</v>
      </c>
      <c r="E18" s="11">
        <v>65</v>
      </c>
      <c r="F18" s="32">
        <f t="shared" ref="F18" si="13">(AVERAGEIF(D18:E18,"&gt;0",D18:E18))*10^4*100/8</f>
        <v>8937500</v>
      </c>
      <c r="G18" s="7">
        <v>3</v>
      </c>
      <c r="H18" s="5" t="s">
        <v>16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5" thickBot="1" x14ac:dyDescent="0.35">
      <c r="A19" s="76"/>
      <c r="B19" s="73"/>
      <c r="C19" s="35" t="s">
        <v>3</v>
      </c>
      <c r="D19" s="35">
        <v>8</v>
      </c>
      <c r="E19" s="35">
        <v>7</v>
      </c>
      <c r="F19" s="36">
        <f t="shared" ref="F19" si="14">(AVERAGEIF(D19:E19,"&gt;0",D19:E19))*10^5*100/8</f>
        <v>9375000</v>
      </c>
      <c r="G19" s="7"/>
      <c r="H19" s="5">
        <f t="array" ref="H19">IFERROR(INDEX($F$2:$F$181,SMALL(IF($G$2:$G$181=5,ROW($A$1:$A$163),""),ROW(A1))),"")</f>
        <v>6437500</v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5" thickTop="1" x14ac:dyDescent="0.3">
      <c r="A20" s="74" t="s">
        <v>71</v>
      </c>
      <c r="B20" s="77">
        <v>1</v>
      </c>
      <c r="C20" s="30" t="s">
        <v>4</v>
      </c>
      <c r="D20" s="58" t="s">
        <v>57</v>
      </c>
      <c r="E20" s="58"/>
      <c r="F20" s="31" t="e">
        <f t="shared" ref="F20" si="15">(AVERAGEIF(D20:E20,"&gt;0",D20:E20))*10^3*100/8</f>
        <v>#DIV/0!</v>
      </c>
      <c r="G20" s="7"/>
      <c r="H20" s="5">
        <f t="array" ref="H20">IFERROR(INDEX($F$2:$F$181,SMALL(IF($G$2:$G$181=5,ROW($A$1:$A$163),""),ROW(A2))),"")</f>
        <v>8125000</v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75"/>
      <c r="B21" s="71"/>
      <c r="C21" s="11" t="s">
        <v>2</v>
      </c>
      <c r="D21" s="11">
        <v>45</v>
      </c>
      <c r="E21" s="11">
        <v>58</v>
      </c>
      <c r="F21" s="32">
        <f t="shared" ref="F21" si="16">(AVERAGEIF(D21:E21,"&gt;0",D21:E21))*10^4*100/8</f>
        <v>6437500</v>
      </c>
      <c r="G21" s="7">
        <v>5</v>
      </c>
      <c r="H21" s="5">
        <f t="array" ref="H21">IFERROR(INDEX($F$2:$F$181,SMALL(IF($G$2:$G$181=5,ROW($A$1:$A$163),""),ROW(A3))),"")</f>
        <v>6875000</v>
      </c>
      <c r="I21" s="5">
        <f>AVERAGE(H19:H21)</f>
        <v>7145833.333333333</v>
      </c>
      <c r="J21" s="39">
        <f>STDEV(H19:H21)</f>
        <v>875743.73154098762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5" thickBot="1" x14ac:dyDescent="0.35">
      <c r="A22" s="75"/>
      <c r="B22" s="72"/>
      <c r="C22" s="12" t="s">
        <v>3</v>
      </c>
      <c r="D22" s="12">
        <v>7</v>
      </c>
      <c r="E22" s="12">
        <v>2</v>
      </c>
      <c r="F22" s="33">
        <f t="shared" ref="F22" si="17">(AVERAGEIF(D22:E22,"&gt;0",D22:E22))*10^5*100/8</f>
        <v>5625000</v>
      </c>
      <c r="G22" s="7"/>
      <c r="H22" s="5" t="s">
        <v>17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65" t="s">
        <v>66</v>
      </c>
      <c r="N22" s="46" t="s">
        <v>36</v>
      </c>
      <c r="O22" s="46" t="s">
        <v>37</v>
      </c>
      <c r="P22" s="46" t="s">
        <v>38</v>
      </c>
      <c r="Q22" s="46" t="s">
        <v>39</v>
      </c>
      <c r="R22" s="47" t="s">
        <v>40</v>
      </c>
      <c r="S22" s="47" t="s">
        <v>41</v>
      </c>
      <c r="T22" s="45" t="s">
        <v>42</v>
      </c>
      <c r="U22" s="45" t="s">
        <v>43</v>
      </c>
    </row>
    <row r="23" spans="1:21" x14ac:dyDescent="0.3">
      <c r="A23" s="75"/>
      <c r="B23" s="70">
        <v>2</v>
      </c>
      <c r="C23" s="8" t="s">
        <v>4</v>
      </c>
      <c r="D23" s="59" t="s">
        <v>57</v>
      </c>
      <c r="E23" s="59"/>
      <c r="F23" s="34" t="e">
        <f t="shared" ref="F23" si="18">(AVERAGEIF(D23:E23,"&gt;0",D23:E23))*10^3*100/8</f>
        <v>#DIV/0!</v>
      </c>
      <c r="G23" s="7"/>
      <c r="H23" s="5">
        <f t="array" ref="H23">IFERROR(INDEX($F$2:$F$181,SMALL(IF($G$2:$G$181=6,ROW($A$1:$A$163),""),ROW(A1))),"")</f>
        <v>140000</v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65" t="s">
        <v>69</v>
      </c>
      <c r="N23" s="9">
        <f>AVERAGE(N4:N21)</f>
        <v>8416666.666666666</v>
      </c>
      <c r="O23" s="9">
        <f t="shared" ref="O23:U23" si="19">AVERAGE(O4:O21)</f>
        <v>174791.66666666666</v>
      </c>
      <c r="P23" s="9">
        <f t="shared" si="19"/>
        <v>7333333.333333333</v>
      </c>
      <c r="Q23" s="9">
        <f t="shared" si="19"/>
        <v>1425000</v>
      </c>
      <c r="R23" s="9">
        <f t="shared" si="19"/>
        <v>7145833.333333333</v>
      </c>
      <c r="S23" s="9">
        <f t="shared" si="19"/>
        <v>384166.66666666669</v>
      </c>
      <c r="T23" s="9">
        <f t="shared" si="19"/>
        <v>8062500</v>
      </c>
      <c r="U23" s="9">
        <f t="shared" si="19"/>
        <v>1335416.6666666667</v>
      </c>
    </row>
    <row r="24" spans="1:21" x14ac:dyDescent="0.3">
      <c r="A24" s="75"/>
      <c r="B24" s="71"/>
      <c r="C24" s="11" t="s">
        <v>2</v>
      </c>
      <c r="D24" s="11">
        <v>42</v>
      </c>
      <c r="E24" s="11">
        <v>67</v>
      </c>
      <c r="F24" s="32">
        <f t="shared" ref="F24" si="20">(AVERAGEIF(D24:E24,"&gt;0",D24:E24))*10^4*100/8</f>
        <v>6812500</v>
      </c>
      <c r="G24" s="7"/>
      <c r="H24" s="5">
        <f t="array" ref="H24">IFERROR(INDEX($F$2:$F$181,SMALL(IF($G$2:$G$181=6,ROW($A$1:$A$163),""),ROW(A2))),"")</f>
        <v>550000</v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65" t="s">
        <v>68</v>
      </c>
      <c r="N24" s="46" t="s">
        <v>44</v>
      </c>
      <c r="O24" s="46" t="s">
        <v>45</v>
      </c>
      <c r="P24" s="46" t="s">
        <v>46</v>
      </c>
      <c r="Q24" s="46" t="s">
        <v>47</v>
      </c>
      <c r="R24" s="47" t="s">
        <v>48</v>
      </c>
      <c r="S24" s="47" t="s">
        <v>49</v>
      </c>
      <c r="T24" s="45" t="s">
        <v>51</v>
      </c>
      <c r="U24" s="45" t="s">
        <v>50</v>
      </c>
    </row>
    <row r="25" spans="1:21" ht="15" thickBot="1" x14ac:dyDescent="0.35">
      <c r="A25" s="75"/>
      <c r="B25" s="72"/>
      <c r="C25" s="12" t="s">
        <v>3</v>
      </c>
      <c r="D25" s="12">
        <v>10</v>
      </c>
      <c r="E25" s="12">
        <v>3</v>
      </c>
      <c r="F25" s="33">
        <f t="shared" ref="F25" si="21">(AVERAGEIF(D25:E25,"&gt;0",D25:E25))*10^5*100/8</f>
        <v>8125000</v>
      </c>
      <c r="G25" s="7">
        <v>5</v>
      </c>
      <c r="H25" s="5">
        <f t="array" ref="H25">IFERROR(INDEX($F$2:$F$181,SMALL(IF($G$2:$G$181=6,ROW($A$1:$A$163),""),ROW(A3))),"")</f>
        <v>462500</v>
      </c>
      <c r="I25" s="5">
        <f>AVERAGE(H23:H25)</f>
        <v>384166.66666666669</v>
      </c>
      <c r="J25" s="39">
        <f>STDEV(H23:H25)</f>
        <v>215933.05289680258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65" t="s">
        <v>67</v>
      </c>
      <c r="N25" s="14">
        <f t="shared" ref="N25:P25" si="22">STDEV(N4:N21)</f>
        <v>1588942.9138056936</v>
      </c>
      <c r="O25" s="14">
        <f t="shared" si="22"/>
        <v>40650.632938901894</v>
      </c>
      <c r="P25" s="14">
        <f t="shared" si="22"/>
        <v>1417432.3910978357</v>
      </c>
      <c r="Q25" s="14">
        <f>STDEV(Q4:Q21)</f>
        <v>411124.60094234208</v>
      </c>
      <c r="R25" s="14">
        <f t="shared" ref="R25:U25" si="23">STDEV(R4:R21)</f>
        <v>875743.73154098762</v>
      </c>
      <c r="S25" s="14">
        <f t="shared" si="23"/>
        <v>215933.05289680258</v>
      </c>
      <c r="T25" s="14">
        <f t="shared" si="23"/>
        <v>1254678.7437427957</v>
      </c>
      <c r="U25" s="14">
        <f t="shared" si="23"/>
        <v>309506.49562381319</v>
      </c>
    </row>
    <row r="26" spans="1:21" x14ac:dyDescent="0.3">
      <c r="A26" s="75"/>
      <c r="B26" s="70">
        <v>3</v>
      </c>
      <c r="C26" s="8" t="s">
        <v>4</v>
      </c>
      <c r="D26" s="59" t="s">
        <v>57</v>
      </c>
      <c r="E26" s="59"/>
      <c r="F26" s="34" t="e">
        <f t="shared" ref="F26" si="24">(AVERAGEIF(D26:E26,"&gt;0",D26:E26))*10^3*100/8</f>
        <v>#DIV/0!</v>
      </c>
      <c r="G26" s="7"/>
      <c r="H26" s="5" t="s">
        <v>18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64"/>
      <c r="N26" s="14"/>
      <c r="O26" s="9"/>
      <c r="P26" s="9"/>
      <c r="Q26" s="9"/>
      <c r="R26" s="10"/>
      <c r="S26" s="10"/>
    </row>
    <row r="27" spans="1:21" x14ac:dyDescent="0.3">
      <c r="A27" s="75"/>
      <c r="B27" s="71"/>
      <c r="C27" s="11" t="s">
        <v>2</v>
      </c>
      <c r="D27" s="11">
        <v>39</v>
      </c>
      <c r="E27" s="11">
        <v>48</v>
      </c>
      <c r="F27" s="32">
        <f t="shared" ref="F27" si="25">(AVERAGEIF(D27:E27,"&gt;0",D27:E27))*10^4*100/8</f>
        <v>5437500</v>
      </c>
      <c r="G27" s="7"/>
      <c r="H27" s="5">
        <f t="array" ref="H27">IFERROR(INDEX($F$2:$F$181,SMALL(IF($G$2:$G$181=7,ROW($A$1:$A$163),""),ROW(A1))),"")</f>
        <v>6875000</v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5" thickBot="1" x14ac:dyDescent="0.35">
      <c r="A28" s="76"/>
      <c r="B28" s="73"/>
      <c r="C28" s="35" t="s">
        <v>3</v>
      </c>
      <c r="D28" s="35">
        <v>8</v>
      </c>
      <c r="E28" s="35">
        <v>3</v>
      </c>
      <c r="F28" s="36">
        <f t="shared" ref="F28" si="26">(AVERAGEIF(D28:E28,"&gt;0",D28:E28))*10^5*100/8</f>
        <v>6875000</v>
      </c>
      <c r="G28" s="7">
        <v>5</v>
      </c>
      <c r="H28" s="5">
        <f t="array" ref="H28">IFERROR(INDEX($F$2:$F$181,SMALL(IF($G$2:$G$181=7,ROW($A$1:$A$163),""),ROW(A2))),"")</f>
        <v>7937500</v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48.152562574493444</v>
      </c>
      <c r="P28" s="9"/>
      <c r="Q28" s="9">
        <f t="shared" ref="Q28:U28" si="27">P23/Q23</f>
        <v>5.1461988304093564</v>
      </c>
      <c r="R28" s="9"/>
      <c r="S28" s="9">
        <f t="shared" si="27"/>
        <v>18.600867678958785</v>
      </c>
      <c r="T28" s="9"/>
      <c r="U28" s="9">
        <f t="shared" si="27"/>
        <v>6.0374414976599065</v>
      </c>
    </row>
    <row r="29" spans="1:21" ht="15" thickTop="1" x14ac:dyDescent="0.3">
      <c r="A29" s="74" t="s">
        <v>72</v>
      </c>
      <c r="B29" s="77">
        <v>1</v>
      </c>
      <c r="C29" s="30" t="s">
        <v>4</v>
      </c>
      <c r="D29" s="58" t="s">
        <v>57</v>
      </c>
      <c r="E29" s="58"/>
      <c r="F29" s="31" t="e">
        <f t="shared" ref="F29" si="28">(AVERAGEIF(D29:E29,"&gt;0",D29:E29))*10^3*100/8</f>
        <v>#DIV/0!</v>
      </c>
      <c r="G29" s="7"/>
      <c r="H29" s="5">
        <f t="array" ref="H29">IFERROR(INDEX($F$2:$F$181,SMALL(IF($G$2:$G$181=7,ROW($A$1:$A$163),""),ROW(A3))),"")</f>
        <v>9375000</v>
      </c>
      <c r="I29" s="5">
        <f>AVERAGE(H27:H29)</f>
        <v>8062500</v>
      </c>
      <c r="J29" s="39">
        <f>STDEV(H27:H29)</f>
        <v>1254678.7437427957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75"/>
      <c r="B30" s="71"/>
      <c r="C30" s="11" t="s">
        <v>2</v>
      </c>
      <c r="D30" s="11">
        <v>61</v>
      </c>
      <c r="E30" s="11">
        <v>49</v>
      </c>
      <c r="F30" s="32">
        <f t="shared" ref="F30" si="29">(AVERAGEIF(D30:E30,"&gt;0",D30:E30))*10^4*100/8</f>
        <v>6875000</v>
      </c>
      <c r="G30" s="7">
        <v>7</v>
      </c>
      <c r="H30" s="5" t="s">
        <v>19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5" thickBot="1" x14ac:dyDescent="0.35">
      <c r="A31" s="75"/>
      <c r="B31" s="72"/>
      <c r="C31" s="12" t="s">
        <v>3</v>
      </c>
      <c r="D31" s="12">
        <v>8</v>
      </c>
      <c r="E31" s="12">
        <v>2</v>
      </c>
      <c r="F31" s="33">
        <f t="shared" ref="F31" si="30">(AVERAGEIF(D31:E31,"&gt;0",D31:E31))*10^5*100/8</f>
        <v>6250000</v>
      </c>
      <c r="G31" s="7"/>
      <c r="H31" s="5">
        <f t="array" ref="H31">IFERROR(INDEX($F$2:$F$181,SMALL(IF($G$2:$G$181=8,ROW($A$1:$A$163),""),ROW(A1))),"")</f>
        <v>1031250</v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x14ac:dyDescent="0.3">
      <c r="A32" s="75"/>
      <c r="B32" s="70">
        <v>2</v>
      </c>
      <c r="C32" s="8" t="s">
        <v>4</v>
      </c>
      <c r="D32" s="59" t="s">
        <v>57</v>
      </c>
      <c r="E32" s="59"/>
      <c r="F32" s="34" t="e">
        <f t="shared" ref="F32" si="31">(AVERAGEIF(D32:E32,"&gt;0",D32:E32))*10^3*100/8</f>
        <v>#DIV/0!</v>
      </c>
      <c r="G32" s="7"/>
      <c r="H32" s="5">
        <f t="array" ref="H32">IFERROR(INDEX($F$2:$F$181,SMALL(IF($G$2:$G$181=8,ROW($A$1:$A$163),""),ROW(A2))),"")</f>
        <v>1650000</v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75"/>
      <c r="B33" s="71"/>
      <c r="C33" s="11" t="s">
        <v>2</v>
      </c>
      <c r="D33" s="11">
        <v>60</v>
      </c>
      <c r="E33" s="11">
        <v>67</v>
      </c>
      <c r="F33" s="32">
        <f t="shared" ref="F33" si="32">(AVERAGEIF(D33:E33,"&gt;0",D33:E33))*10^4*100/8</f>
        <v>7937500</v>
      </c>
      <c r="G33" s="7">
        <v>7</v>
      </c>
      <c r="H33" s="5">
        <f t="array" ref="H33">IFERROR(INDEX($F$2:$F$181,SMALL(IF($G$2:$G$181=8,ROW($A$1:$A$163),""),ROW(A3))),"")</f>
        <v>1325000</v>
      </c>
      <c r="I33" s="5">
        <f>AVERAGE(H31:H33)</f>
        <v>1335416.6666666667</v>
      </c>
      <c r="J33" s="39">
        <f>STDEV(H31:H33)</f>
        <v>309506.49562381319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5" thickBot="1" x14ac:dyDescent="0.35">
      <c r="A34" s="75"/>
      <c r="B34" s="72"/>
      <c r="C34" s="12" t="s">
        <v>3</v>
      </c>
      <c r="D34" s="12">
        <v>9</v>
      </c>
      <c r="E34" s="12">
        <v>2</v>
      </c>
      <c r="F34" s="33">
        <f t="shared" ref="F34" si="33">(AVERAGEIF(D34:E34,"&gt;0",D34:E34))*10^5*100/8</f>
        <v>6875000</v>
      </c>
      <c r="G34" s="7"/>
      <c r="H34" s="5" t="s">
        <v>20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x14ac:dyDescent="0.3">
      <c r="A35" s="75"/>
      <c r="B35" s="70">
        <v>3</v>
      </c>
      <c r="C35" s="8" t="s">
        <v>4</v>
      </c>
      <c r="D35" s="59" t="s">
        <v>57</v>
      </c>
      <c r="E35" s="59"/>
      <c r="F35" s="34" t="e">
        <f t="shared" ref="F35" si="34">(AVERAGEIF(D35:E35,"&gt;0",D35:E35))*10^3*100/8</f>
        <v>#DIV/0!</v>
      </c>
      <c r="G35" s="7"/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75"/>
      <c r="B36" s="71"/>
      <c r="C36" s="11" t="s">
        <v>2</v>
      </c>
      <c r="D36" s="11">
        <v>49</v>
      </c>
      <c r="E36" s="11">
        <v>40</v>
      </c>
      <c r="F36" s="32">
        <f t="shared" ref="F36" si="35">(AVERAGEIF(D36:E36,"&gt;0",D36:E36))*10^4*100/8</f>
        <v>5562500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6"/>
      <c r="N36" s="14"/>
      <c r="O36" s="9"/>
      <c r="P36" s="9"/>
      <c r="Q36" s="9"/>
      <c r="R36" s="10"/>
      <c r="S36" s="10"/>
    </row>
    <row r="37" spans="1:19" ht="15" thickBot="1" x14ac:dyDescent="0.35">
      <c r="A37" s="76"/>
      <c r="B37" s="73"/>
      <c r="C37" s="35" t="s">
        <v>3</v>
      </c>
      <c r="D37" s="35">
        <v>7</v>
      </c>
      <c r="E37" s="35">
        <v>8</v>
      </c>
      <c r="F37" s="36">
        <f t="shared" ref="F37" si="36">(AVERAGEIF(D37:E37,"&gt;0",D37:E37))*10^5*100/8</f>
        <v>9375000</v>
      </c>
      <c r="G37" s="7">
        <v>7</v>
      </c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6"/>
      <c r="N37" s="14"/>
      <c r="O37" s="9"/>
      <c r="P37" s="9"/>
      <c r="Q37" s="9"/>
      <c r="R37" s="10"/>
      <c r="S37" s="10"/>
    </row>
    <row r="38" spans="1:19" ht="15" thickTop="1" x14ac:dyDescent="0.3">
      <c r="A38" s="83" t="s">
        <v>55</v>
      </c>
      <c r="B38" s="82">
        <v>1</v>
      </c>
      <c r="C38" s="30" t="s">
        <v>56</v>
      </c>
      <c r="D38" s="30">
        <v>184</v>
      </c>
      <c r="E38" s="30">
        <v>165</v>
      </c>
      <c r="F38" s="34">
        <f>(AVERAGEIF(D38:E38,"&gt;0",D38:E38))*10^2*100/8</f>
        <v>218125</v>
      </c>
      <c r="G38" s="7">
        <v>2</v>
      </c>
      <c r="H38" s="5" t="s">
        <v>21</v>
      </c>
      <c r="J38" s="40"/>
      <c r="K38" s="13"/>
      <c r="L38" s="13"/>
      <c r="M38" s="66"/>
      <c r="N38" s="14"/>
      <c r="O38" s="9"/>
      <c r="P38" s="14"/>
      <c r="Q38" s="14"/>
      <c r="R38" s="10"/>
      <c r="S38" s="10"/>
    </row>
    <row r="39" spans="1:19" x14ac:dyDescent="0.3">
      <c r="A39" s="75"/>
      <c r="B39" s="79"/>
      <c r="C39" s="11" t="s">
        <v>4</v>
      </c>
      <c r="D39" s="11">
        <v>18</v>
      </c>
      <c r="E39" s="11">
        <v>20</v>
      </c>
      <c r="F39" s="32">
        <f>(AVERAGEIF(D39:E39,"&gt;0",D39:E39))*10^3*100/8</f>
        <v>237500</v>
      </c>
      <c r="G39" s="7"/>
      <c r="H39" s="5" t="str">
        <f t="array" ref="H39">IFERROR(INDEX($F$2:$F$181,SMALL(IF($G$2:$G$181=10,ROW($A$1:$A$163),""),ROW(A1))),"")</f>
        <v/>
      </c>
      <c r="J39" s="40"/>
      <c r="K39" s="13"/>
      <c r="L39" s="13"/>
      <c r="M39" s="66"/>
      <c r="N39" s="14"/>
      <c r="O39" s="9"/>
      <c r="P39" s="14"/>
      <c r="Q39" s="14"/>
      <c r="R39" s="10"/>
      <c r="S39" s="10"/>
    </row>
    <row r="40" spans="1:19" ht="15" thickBot="1" x14ac:dyDescent="0.35">
      <c r="A40" s="75"/>
      <c r="B40" s="81"/>
      <c r="C40" s="12" t="s">
        <v>2</v>
      </c>
      <c r="D40" s="12" t="s">
        <v>78</v>
      </c>
      <c r="E40" s="12"/>
      <c r="F40" s="36" t="e">
        <f>(AVERAGEIF(D40:E40,"&gt;0",D40:E40))*10^4*100/8</f>
        <v>#DIV/0!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6"/>
      <c r="N40" s="14"/>
      <c r="O40" s="9"/>
      <c r="P40" s="14"/>
      <c r="Q40" s="14"/>
      <c r="R40" s="10"/>
      <c r="S40" s="10"/>
    </row>
    <row r="41" spans="1:19" ht="15" thickTop="1" x14ac:dyDescent="0.3">
      <c r="A41" s="75"/>
      <c r="B41" s="78">
        <v>2</v>
      </c>
      <c r="C41" s="30" t="s">
        <v>56</v>
      </c>
      <c r="D41" s="8">
        <v>155</v>
      </c>
      <c r="E41" s="8">
        <v>165</v>
      </c>
      <c r="F41" s="34">
        <f t="shared" ref="F41" si="37">(AVERAGEIF(D41:E41,"&gt;0",D41:E41))*10^2*100/8</f>
        <v>200000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6"/>
      <c r="N41" s="14"/>
      <c r="O41" s="9"/>
      <c r="P41" s="14"/>
      <c r="Q41" s="14"/>
      <c r="R41" s="10"/>
      <c r="S41" s="10"/>
    </row>
    <row r="42" spans="1:19" x14ac:dyDescent="0.3">
      <c r="A42" s="75"/>
      <c r="B42" s="79"/>
      <c r="C42" s="11" t="s">
        <v>4</v>
      </c>
      <c r="D42" s="11">
        <v>8</v>
      </c>
      <c r="E42" s="11">
        <v>19</v>
      </c>
      <c r="F42" s="32">
        <f t="shared" ref="F42" si="38">(AVERAGEIF(D42:E42,"&gt;0",D42:E42))*10^3*100/8</f>
        <v>168750</v>
      </c>
      <c r="G42" s="7">
        <v>2</v>
      </c>
      <c r="H42" s="5" t="s">
        <v>22</v>
      </c>
      <c r="J42" s="40"/>
      <c r="K42" s="13"/>
      <c r="L42" s="13"/>
      <c r="M42" s="66"/>
      <c r="N42" s="14"/>
      <c r="O42" s="9"/>
      <c r="P42" s="14"/>
      <c r="Q42" s="14"/>
      <c r="R42" s="10"/>
      <c r="S42" s="10"/>
    </row>
    <row r="43" spans="1:19" ht="15" thickBot="1" x14ac:dyDescent="0.35">
      <c r="A43" s="75"/>
      <c r="B43" s="81"/>
      <c r="C43" s="12" t="s">
        <v>2</v>
      </c>
      <c r="D43" s="12" t="s">
        <v>78</v>
      </c>
      <c r="E43" s="12"/>
      <c r="F43" s="36" t="e">
        <f t="shared" ref="F43" si="39">(AVERAGEIF(D43:E43,"&gt;0",D43:E43))*10^4*100/8</f>
        <v>#DIV/0!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6"/>
      <c r="N43" s="14"/>
      <c r="O43" s="9"/>
      <c r="P43" s="14"/>
      <c r="Q43" s="14"/>
      <c r="R43" s="10"/>
      <c r="S43" s="10"/>
    </row>
    <row r="44" spans="1:19" ht="15" thickTop="1" x14ac:dyDescent="0.3">
      <c r="A44" s="75"/>
      <c r="B44" s="78">
        <v>3</v>
      </c>
      <c r="C44" s="30" t="s">
        <v>56</v>
      </c>
      <c r="D44" s="8">
        <v>125</v>
      </c>
      <c r="E44" s="8">
        <v>119</v>
      </c>
      <c r="F44" s="34">
        <f t="shared" ref="F44" si="40">(AVERAGEIF(D44:E44,"&gt;0",D44:E44))*10^2*100/8</f>
        <v>152500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6"/>
      <c r="N44" s="14"/>
      <c r="O44" s="9"/>
      <c r="P44" s="14"/>
      <c r="Q44" s="14"/>
      <c r="R44" s="10"/>
      <c r="S44" s="10"/>
    </row>
    <row r="45" spans="1:19" x14ac:dyDescent="0.3">
      <c r="A45" s="75"/>
      <c r="B45" s="79"/>
      <c r="C45" s="11" t="s">
        <v>4</v>
      </c>
      <c r="D45" s="11" t="s">
        <v>79</v>
      </c>
      <c r="E45" s="11">
        <v>11</v>
      </c>
      <c r="F45" s="32">
        <f t="shared" ref="F45" si="41">(AVERAGEIF(D45:E45,"&gt;0",D45:E45))*10^3*100/8</f>
        <v>137500</v>
      </c>
      <c r="G45" s="7">
        <v>2</v>
      </c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6"/>
      <c r="N45" s="14"/>
      <c r="O45" s="9"/>
      <c r="P45" s="14"/>
      <c r="Q45" s="14"/>
      <c r="R45" s="10"/>
      <c r="S45" s="10"/>
    </row>
    <row r="46" spans="1:19" ht="15" thickBot="1" x14ac:dyDescent="0.35">
      <c r="A46" s="76"/>
      <c r="B46" s="80"/>
      <c r="C46" s="12" t="s">
        <v>2</v>
      </c>
      <c r="D46" s="35" t="s">
        <v>78</v>
      </c>
      <c r="E46" s="35"/>
      <c r="F46" s="36" t="e">
        <f t="shared" ref="F46" si="42">(AVERAGEIF(D46:E46,"&gt;0",D46:E46))*10^4*100/8</f>
        <v>#DIV/0!</v>
      </c>
      <c r="G46" s="7"/>
      <c r="H46" s="5" t="s">
        <v>23</v>
      </c>
      <c r="J46" s="40"/>
      <c r="K46" s="13"/>
      <c r="L46" s="13"/>
      <c r="M46" s="66"/>
      <c r="N46" s="14"/>
      <c r="O46" s="9"/>
      <c r="P46" s="14"/>
      <c r="Q46" s="14"/>
      <c r="R46" s="10"/>
      <c r="S46" s="10"/>
    </row>
    <row r="47" spans="1:19" ht="15" thickTop="1" x14ac:dyDescent="0.3">
      <c r="A47" s="83" t="s">
        <v>73</v>
      </c>
      <c r="B47" s="82">
        <v>1</v>
      </c>
      <c r="C47" s="30" t="s">
        <v>56</v>
      </c>
      <c r="D47" s="30" t="s">
        <v>57</v>
      </c>
      <c r="E47" s="30"/>
      <c r="F47" s="34" t="e">
        <f t="shared" ref="F47" si="43">(AVERAGEIF(D47:E47,"&gt;0",D47:E47))*10^2*100/8</f>
        <v>#DIV/0!</v>
      </c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6"/>
      <c r="N47" s="14"/>
      <c r="O47" s="9"/>
      <c r="P47" s="14"/>
      <c r="Q47" s="14"/>
      <c r="R47" s="10"/>
      <c r="S47" s="10"/>
    </row>
    <row r="48" spans="1:19" x14ac:dyDescent="0.3">
      <c r="A48" s="75"/>
      <c r="B48" s="79"/>
      <c r="C48" s="11" t="s">
        <v>4</v>
      </c>
      <c r="D48" s="11">
        <v>89</v>
      </c>
      <c r="E48" s="11">
        <v>77</v>
      </c>
      <c r="F48" s="32">
        <f t="shared" ref="F48" si="44">(AVERAGEIF(D48:E48,"&gt;0",D48:E48))*10^3*100/8</f>
        <v>1037500</v>
      </c>
      <c r="G48" s="7">
        <v>4</v>
      </c>
      <c r="H48" s="5" t="str">
        <f t="array" ref="H48">IFERROR(INDEX($F$2:$F$181,SMALL(IF($G$2:$G$181=12,ROW($A$1:$A$163),""),ROW(A2))),"")</f>
        <v/>
      </c>
      <c r="J48" s="40"/>
      <c r="K48" s="13"/>
      <c r="L48" s="13"/>
      <c r="M48" s="66"/>
      <c r="N48" s="14"/>
      <c r="O48" s="9"/>
      <c r="P48" s="14"/>
      <c r="Q48" s="14"/>
      <c r="R48" s="10"/>
      <c r="S48" s="10"/>
    </row>
    <row r="49" spans="1:21" ht="15" thickBot="1" x14ac:dyDescent="0.35">
      <c r="A49" s="75"/>
      <c r="B49" s="81"/>
      <c r="C49" s="12" t="s">
        <v>2</v>
      </c>
      <c r="D49" s="12">
        <v>7</v>
      </c>
      <c r="E49" s="12">
        <v>9</v>
      </c>
      <c r="F49" s="36">
        <f t="shared" ref="F49" si="45">(AVERAGEIF(D49:E49,"&gt;0",D49:E49))*10^4*100/8</f>
        <v>1000000</v>
      </c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6"/>
      <c r="N49" s="14"/>
      <c r="O49" s="9"/>
      <c r="P49" s="14"/>
      <c r="Q49" s="14"/>
      <c r="R49" s="10"/>
      <c r="S49" s="10"/>
    </row>
    <row r="50" spans="1:21" ht="15" thickTop="1" x14ac:dyDescent="0.3">
      <c r="A50" s="75"/>
      <c r="B50" s="78">
        <v>2</v>
      </c>
      <c r="C50" s="30" t="s">
        <v>56</v>
      </c>
      <c r="D50" s="8" t="s">
        <v>57</v>
      </c>
      <c r="E50" s="8"/>
      <c r="F50" s="34" t="e">
        <f t="shared" ref="F50" si="46">(AVERAGEIF(D50:E50,"&gt;0",D50:E50))*10^2*100/8</f>
        <v>#DIV/0!</v>
      </c>
      <c r="G50" s="7"/>
      <c r="H50" s="5" t="s">
        <v>24</v>
      </c>
      <c r="J50" s="40"/>
      <c r="K50" s="13"/>
      <c r="L50" s="13"/>
      <c r="M50" s="66"/>
      <c r="N50" s="14"/>
      <c r="O50" s="9"/>
      <c r="P50" s="14"/>
      <c r="Q50" s="14"/>
      <c r="R50" s="10"/>
      <c r="S50" s="10"/>
    </row>
    <row r="51" spans="1:21" x14ac:dyDescent="0.3">
      <c r="A51" s="75"/>
      <c r="B51" s="79"/>
      <c r="C51" s="11" t="s">
        <v>4</v>
      </c>
      <c r="D51" s="11">
        <v>115</v>
      </c>
      <c r="E51" s="11">
        <v>106</v>
      </c>
      <c r="F51" s="32">
        <f t="shared" ref="F51" si="47">(AVERAGEIF(D51:E51,"&gt;0",D51:E51))*10^3*100/8</f>
        <v>1381250</v>
      </c>
      <c r="G51" s="7">
        <v>4</v>
      </c>
      <c r="H51" s="5" t="str">
        <f t="array" ref="H51">IFERROR(INDEX($F$2:$F$181,SMALL(IF($G$2:$G$181=13,ROW($A$1:$A$163),""),ROW(A1))),"")</f>
        <v/>
      </c>
      <c r="J51" s="40"/>
      <c r="K51" s="13"/>
      <c r="L51" s="13"/>
      <c r="M51" s="66"/>
      <c r="N51" s="14"/>
      <c r="O51" s="9"/>
      <c r="P51" s="14"/>
      <c r="Q51" s="14"/>
      <c r="R51" s="10"/>
      <c r="S51" s="10"/>
    </row>
    <row r="52" spans="1:21" ht="15" thickBot="1" x14ac:dyDescent="0.35">
      <c r="A52" s="75"/>
      <c r="B52" s="81"/>
      <c r="C52" s="12" t="s">
        <v>2</v>
      </c>
      <c r="D52" s="12">
        <v>8</v>
      </c>
      <c r="E52" s="12">
        <v>10</v>
      </c>
      <c r="F52" s="36">
        <f t="shared" ref="F52" si="48">(AVERAGEIF(D52:E52,"&gt;0",D52:E52))*10^4*100/8</f>
        <v>1125000</v>
      </c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6"/>
      <c r="N52" s="14"/>
      <c r="O52" s="9"/>
      <c r="P52" s="14"/>
      <c r="Q52" s="14"/>
      <c r="R52" s="10"/>
      <c r="S52" s="10"/>
    </row>
    <row r="53" spans="1:21" ht="15" thickTop="1" x14ac:dyDescent="0.3">
      <c r="A53" s="75"/>
      <c r="B53" s="78">
        <v>3</v>
      </c>
      <c r="C53" s="30" t="s">
        <v>56</v>
      </c>
      <c r="D53" s="8" t="s">
        <v>57</v>
      </c>
      <c r="E53" s="8"/>
      <c r="F53" s="34" t="e">
        <f t="shared" ref="F53" si="49">(AVERAGEIF(D53:E53,"&gt;0",D53:E53))*10^2*100/8</f>
        <v>#DIV/0!</v>
      </c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6"/>
      <c r="N53" s="14"/>
      <c r="O53" s="9"/>
      <c r="P53" s="14"/>
      <c r="Q53" s="14"/>
      <c r="R53" s="10"/>
      <c r="S53" s="10"/>
    </row>
    <row r="54" spans="1:21" x14ac:dyDescent="0.3">
      <c r="A54" s="75"/>
      <c r="B54" s="79"/>
      <c r="C54" s="11" t="s">
        <v>4</v>
      </c>
      <c r="D54" s="11">
        <v>161</v>
      </c>
      <c r="E54" s="11">
        <v>136</v>
      </c>
      <c r="F54" s="32">
        <f t="shared" ref="F54" si="50">(AVERAGEIF(D54:E54,"&gt;0",D54:E54))*10^3*100/8</f>
        <v>1856250</v>
      </c>
      <c r="G54" s="7">
        <v>4</v>
      </c>
      <c r="H54" s="5" t="s">
        <v>25</v>
      </c>
      <c r="J54" s="40"/>
      <c r="K54" s="13"/>
      <c r="L54" s="13"/>
      <c r="M54" s="66"/>
      <c r="N54" s="14"/>
      <c r="O54" s="9"/>
      <c r="P54" s="14"/>
      <c r="Q54" s="14"/>
      <c r="R54" s="10"/>
      <c r="S54" s="10"/>
    </row>
    <row r="55" spans="1:21" ht="15" thickBot="1" x14ac:dyDescent="0.35">
      <c r="A55" s="76"/>
      <c r="B55" s="80"/>
      <c r="C55" s="12" t="s">
        <v>2</v>
      </c>
      <c r="D55" s="35">
        <v>12</v>
      </c>
      <c r="E55" s="35">
        <v>16</v>
      </c>
      <c r="F55" s="36">
        <f t="shared" ref="F55" si="51">(AVERAGEIF(D55:E55,"&gt;0",D55:E55))*10^4*100/8</f>
        <v>1750000</v>
      </c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6"/>
      <c r="N55" s="14"/>
      <c r="O55" s="9"/>
      <c r="P55" s="14"/>
      <c r="Q55" s="14"/>
      <c r="R55" s="10"/>
      <c r="S55" s="10"/>
    </row>
    <row r="56" spans="1:21" ht="15" thickTop="1" x14ac:dyDescent="0.3">
      <c r="A56" s="83" t="s">
        <v>74</v>
      </c>
      <c r="B56" s="82">
        <v>1</v>
      </c>
      <c r="C56" s="30" t="s">
        <v>56</v>
      </c>
      <c r="D56" s="30">
        <v>115</v>
      </c>
      <c r="E56" s="30">
        <v>109</v>
      </c>
      <c r="F56" s="34">
        <f t="shared" ref="F56" si="52">(AVERAGEIF(D56:E56,"&gt;0",D56:E56))*10^2*100/8</f>
        <v>140000</v>
      </c>
      <c r="G56" s="7">
        <v>6</v>
      </c>
      <c r="H56" s="5" t="str">
        <f t="array" ref="H56">IFERROR(INDEX($F$2:$F$181,SMALL(IF($G$2:$G$181=14,ROW($A$1:$A$163),""),ROW(A2))),"")</f>
        <v/>
      </c>
      <c r="J56" s="40"/>
      <c r="K56" s="13"/>
      <c r="L56" s="13"/>
      <c r="M56" s="66"/>
      <c r="N56" s="14"/>
      <c r="O56" s="9"/>
      <c r="P56" s="14"/>
      <c r="Q56" s="14"/>
      <c r="R56" s="10"/>
      <c r="S56" s="10"/>
    </row>
    <row r="57" spans="1:21" x14ac:dyDescent="0.3">
      <c r="A57" s="75"/>
      <c r="B57" s="79"/>
      <c r="C57" s="11" t="s">
        <v>4</v>
      </c>
      <c r="D57" s="11">
        <v>9</v>
      </c>
      <c r="E57" s="11">
        <v>6</v>
      </c>
      <c r="F57" s="32">
        <f t="shared" ref="F57" si="53">(AVERAGEIF(D57:E57,"&gt;0",D57:E57))*10^3*100/8</f>
        <v>93750</v>
      </c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6"/>
      <c r="N57" s="14"/>
      <c r="O57" s="9"/>
      <c r="P57" s="14"/>
      <c r="Q57" s="14"/>
      <c r="R57" s="10"/>
      <c r="S57" s="10"/>
    </row>
    <row r="58" spans="1:21" ht="15" thickBot="1" x14ac:dyDescent="0.35">
      <c r="A58" s="75"/>
      <c r="B58" s="81"/>
      <c r="C58" s="12" t="s">
        <v>2</v>
      </c>
      <c r="D58" s="12">
        <v>1</v>
      </c>
      <c r="E58" s="12">
        <v>0</v>
      </c>
      <c r="F58" s="36">
        <f t="shared" ref="F58" si="54">(AVERAGEIF(D58:E58,"&gt;0",D58:E58))*10^4*100/8</f>
        <v>125000</v>
      </c>
      <c r="G58" s="7"/>
      <c r="H58" s="5" t="s">
        <v>26</v>
      </c>
      <c r="J58" s="40"/>
      <c r="K58" s="13"/>
      <c r="L58" s="13"/>
      <c r="M58" s="66"/>
      <c r="N58" s="14"/>
      <c r="O58" s="9"/>
      <c r="P58" s="14"/>
      <c r="Q58" s="14"/>
      <c r="R58" s="10"/>
      <c r="S58" s="10"/>
    </row>
    <row r="59" spans="1:21" ht="15" thickTop="1" x14ac:dyDescent="0.3">
      <c r="A59" s="75"/>
      <c r="B59" s="78">
        <v>2</v>
      </c>
      <c r="C59" s="30" t="s">
        <v>56</v>
      </c>
      <c r="D59" s="8" t="s">
        <v>57</v>
      </c>
      <c r="E59" s="8"/>
      <c r="F59" s="34" t="e">
        <f t="shared" ref="F59" si="55">(AVERAGEIF(D59:E59,"&gt;0",D59:E59))*10^2*100/8</f>
        <v>#DIV/0!</v>
      </c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6"/>
      <c r="N59" s="14"/>
      <c r="O59" s="9"/>
      <c r="P59" s="14"/>
      <c r="Q59" s="14"/>
      <c r="R59" s="10"/>
      <c r="S59" s="10"/>
    </row>
    <row r="60" spans="1:21" ht="15" thickBot="1" x14ac:dyDescent="0.35">
      <c r="A60" s="75"/>
      <c r="B60" s="79"/>
      <c r="C60" s="11" t="s">
        <v>4</v>
      </c>
      <c r="D60" s="11">
        <v>50</v>
      </c>
      <c r="E60" s="11">
        <v>38</v>
      </c>
      <c r="F60" s="32">
        <f t="shared" ref="F60" si="56">(AVERAGEIF(D60:E60,"&gt;0",D60:E60))*10^3*100/8</f>
        <v>550000</v>
      </c>
      <c r="G60" s="7">
        <v>6</v>
      </c>
      <c r="H60" s="5" t="str">
        <f t="array" ref="H60">IFERROR(INDEX($F$2:$F$181,SMALL(IF($G$2:$G$181=15,ROW($A$1:$A$163),""),ROW(A2))),"")</f>
        <v/>
      </c>
      <c r="J60" s="40"/>
      <c r="K60" s="13"/>
      <c r="L60" s="13"/>
      <c r="M60" s="66"/>
      <c r="N60" s="42"/>
      <c r="O60" s="9"/>
      <c r="P60" s="42"/>
      <c r="Q60" s="42"/>
      <c r="R60" s="43"/>
      <c r="S60" s="43"/>
      <c r="T60" s="44"/>
      <c r="U60" s="44"/>
    </row>
    <row r="61" spans="1:21" ht="15" thickBot="1" x14ac:dyDescent="0.35">
      <c r="A61" s="75"/>
      <c r="B61" s="81"/>
      <c r="C61" s="12" t="s">
        <v>2</v>
      </c>
      <c r="D61" s="12">
        <v>1</v>
      </c>
      <c r="E61" s="12">
        <v>3</v>
      </c>
      <c r="F61" s="36">
        <f t="shared" ref="F61" si="57">(AVERAGEIF(D61:E61,"&gt;0",D61:E61))*10^4*100/8</f>
        <v>250000</v>
      </c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6"/>
      <c r="N61" s="14"/>
      <c r="O61" s="9"/>
      <c r="P61" s="14"/>
      <c r="Q61" s="14"/>
      <c r="R61" s="10"/>
      <c r="S61" s="10"/>
    </row>
    <row r="62" spans="1:21" ht="15" thickTop="1" x14ac:dyDescent="0.3">
      <c r="A62" s="75"/>
      <c r="B62" s="78">
        <v>3</v>
      </c>
      <c r="C62" s="30" t="s">
        <v>56</v>
      </c>
      <c r="D62" s="8" t="s">
        <v>57</v>
      </c>
      <c r="E62" s="8"/>
      <c r="F62" s="34" t="e">
        <f t="shared" ref="F62" si="58">(AVERAGEIF(D62:E62,"&gt;0",D62:E62))*10^2*100/8</f>
        <v>#DIV/0!</v>
      </c>
      <c r="G62" s="7"/>
      <c r="H62" s="5" t="s">
        <v>27</v>
      </c>
      <c r="J62" s="40"/>
      <c r="K62" s="13"/>
      <c r="L62" s="13"/>
      <c r="M62" s="66"/>
      <c r="N62" s="14"/>
      <c r="O62" s="9"/>
      <c r="P62" s="14"/>
      <c r="Q62" s="14"/>
      <c r="R62" s="10"/>
      <c r="S62" s="10"/>
    </row>
    <row r="63" spans="1:21" x14ac:dyDescent="0.3">
      <c r="A63" s="75"/>
      <c r="B63" s="79"/>
      <c r="C63" s="11" t="s">
        <v>4</v>
      </c>
      <c r="D63" s="11">
        <v>37</v>
      </c>
      <c r="E63" s="11">
        <v>37</v>
      </c>
      <c r="F63" s="32">
        <f t="shared" ref="F63" si="59">(AVERAGEIF(D63:E63,"&gt;0",D63:E63))*10^3*100/8</f>
        <v>462500</v>
      </c>
      <c r="G63" s="7">
        <v>6</v>
      </c>
      <c r="H63" s="5" t="str">
        <f t="array" ref="H63">IFERROR(INDEX($F$2:$F$181,SMALL(IF($G$2:$G$181=16,ROW($A$1:$A$163),""),ROW(A1))),"")</f>
        <v/>
      </c>
      <c r="J63" s="40"/>
      <c r="K63" s="13"/>
      <c r="L63" s="13"/>
      <c r="M63" s="66"/>
      <c r="N63" s="14"/>
      <c r="O63" s="9"/>
      <c r="P63" s="14"/>
      <c r="Q63" s="14"/>
      <c r="R63" s="10"/>
      <c r="S63" s="10"/>
    </row>
    <row r="64" spans="1:21" ht="15" thickBot="1" x14ac:dyDescent="0.35">
      <c r="A64" s="76"/>
      <c r="B64" s="80"/>
      <c r="C64" s="12" t="s">
        <v>2</v>
      </c>
      <c r="D64" s="35">
        <v>1</v>
      </c>
      <c r="E64" s="35">
        <v>1</v>
      </c>
      <c r="F64" s="36">
        <f t="shared" ref="F64" si="60">(AVERAGEIF(D64:E64,"&gt;0",D64:E64))*10^4*100/8</f>
        <v>125000</v>
      </c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6"/>
      <c r="N64" s="14"/>
      <c r="O64" s="9"/>
      <c r="P64" s="14"/>
      <c r="Q64" s="14"/>
      <c r="R64" s="10"/>
      <c r="S64" s="10"/>
    </row>
    <row r="65" spans="1:19" ht="15" thickTop="1" x14ac:dyDescent="0.3">
      <c r="A65" s="83" t="s">
        <v>75</v>
      </c>
      <c r="B65" s="82">
        <v>1</v>
      </c>
      <c r="C65" s="30" t="s">
        <v>56</v>
      </c>
      <c r="D65" s="30" t="s">
        <v>57</v>
      </c>
      <c r="E65" s="30"/>
      <c r="F65" s="34" t="e">
        <f t="shared" ref="F65" si="61">(AVERAGEIF(D65:E65,"&gt;0",D65:E65))*10^2*100/8</f>
        <v>#DIV/0!</v>
      </c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6"/>
      <c r="N65" s="14"/>
      <c r="O65" s="9"/>
      <c r="P65" s="14"/>
      <c r="Q65" s="14"/>
      <c r="R65" s="10"/>
      <c r="S65" s="10"/>
    </row>
    <row r="66" spans="1:19" x14ac:dyDescent="0.3">
      <c r="A66" s="75"/>
      <c r="B66" s="79"/>
      <c r="C66" s="11" t="s">
        <v>4</v>
      </c>
      <c r="D66" s="11">
        <v>78</v>
      </c>
      <c r="E66" s="11">
        <v>87</v>
      </c>
      <c r="F66" s="32">
        <f t="shared" ref="F66" si="62">(AVERAGEIF(D66:E66,"&gt;0",D66:E66))*10^3*100/8</f>
        <v>1031250</v>
      </c>
      <c r="G66" s="7">
        <v>8</v>
      </c>
      <c r="H66" s="5" t="s">
        <v>28</v>
      </c>
      <c r="J66" s="40"/>
      <c r="K66" s="13"/>
      <c r="L66" s="13"/>
      <c r="M66" s="66"/>
      <c r="N66" s="14"/>
      <c r="O66" s="9"/>
      <c r="P66" s="14"/>
      <c r="Q66" s="14"/>
      <c r="R66" s="10"/>
      <c r="S66" s="10"/>
    </row>
    <row r="67" spans="1:19" ht="15" thickBot="1" x14ac:dyDescent="0.35">
      <c r="A67" s="75"/>
      <c r="B67" s="81"/>
      <c r="C67" s="12" t="s">
        <v>2</v>
      </c>
      <c r="D67" s="12">
        <v>10</v>
      </c>
      <c r="E67" s="12">
        <v>4</v>
      </c>
      <c r="F67" s="36">
        <f t="shared" ref="F67" si="63">(AVERAGEIF(D67:E67,"&gt;0",D67:E67))*10^4*100/8</f>
        <v>875000</v>
      </c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6"/>
      <c r="N67" s="14"/>
      <c r="O67" s="9"/>
      <c r="P67" s="14"/>
      <c r="Q67" s="14"/>
      <c r="R67" s="10"/>
      <c r="S67" s="10"/>
    </row>
    <row r="68" spans="1:19" ht="15" thickTop="1" x14ac:dyDescent="0.3">
      <c r="A68" s="75"/>
      <c r="B68" s="78">
        <v>2</v>
      </c>
      <c r="C68" s="30" t="s">
        <v>56</v>
      </c>
      <c r="D68" s="8" t="s">
        <v>57</v>
      </c>
      <c r="E68" s="8"/>
      <c r="F68" s="34" t="e">
        <f t="shared" ref="F68" si="64">(AVERAGEIF(D68:E68,"&gt;0",D68:E68))*10^2*100/8</f>
        <v>#DIV/0!</v>
      </c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6"/>
      <c r="N68" s="14"/>
      <c r="O68" s="9"/>
      <c r="P68" s="14"/>
      <c r="Q68" s="14"/>
      <c r="R68" s="10"/>
      <c r="S68" s="10"/>
    </row>
    <row r="69" spans="1:19" x14ac:dyDescent="0.3">
      <c r="A69" s="75"/>
      <c r="B69" s="79"/>
      <c r="C69" s="11" t="s">
        <v>4</v>
      </c>
      <c r="D69" s="11">
        <v>139</v>
      </c>
      <c r="E69" s="11">
        <v>125</v>
      </c>
      <c r="F69" s="32">
        <f t="shared" ref="F69" si="65">(AVERAGEIF(D69:E69,"&gt;0",D69:E69))*10^3*100/8</f>
        <v>1650000</v>
      </c>
      <c r="G69" s="7">
        <v>8</v>
      </c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6"/>
      <c r="N69" s="14"/>
      <c r="O69" s="9"/>
      <c r="P69" s="14"/>
      <c r="Q69" s="14"/>
      <c r="R69" s="10"/>
      <c r="S69" s="10"/>
    </row>
    <row r="70" spans="1:19" ht="15" thickBot="1" x14ac:dyDescent="0.35">
      <c r="A70" s="75"/>
      <c r="B70" s="81"/>
      <c r="C70" s="12" t="s">
        <v>2</v>
      </c>
      <c r="D70" s="12">
        <v>9</v>
      </c>
      <c r="E70" s="12">
        <v>6</v>
      </c>
      <c r="F70" s="36">
        <f t="shared" ref="F70" si="66">(AVERAGEIF(D70:E70,"&gt;0",D70:E70))*10^4*100/8</f>
        <v>937500</v>
      </c>
      <c r="G70" s="7"/>
      <c r="H70" s="5" t="s">
        <v>29</v>
      </c>
      <c r="J70" s="40"/>
      <c r="K70" s="13"/>
      <c r="L70" s="13"/>
      <c r="M70" s="66"/>
      <c r="N70" s="14"/>
      <c r="O70" s="9"/>
      <c r="P70" s="14"/>
      <c r="Q70" s="14"/>
      <c r="R70" s="10"/>
      <c r="S70" s="10"/>
    </row>
    <row r="71" spans="1:19" ht="15" thickTop="1" x14ac:dyDescent="0.3">
      <c r="A71" s="75"/>
      <c r="B71" s="78">
        <v>3</v>
      </c>
      <c r="C71" s="30" t="s">
        <v>56</v>
      </c>
      <c r="D71" s="8" t="s">
        <v>57</v>
      </c>
      <c r="E71" s="8"/>
      <c r="F71" s="34" t="e">
        <f t="shared" ref="F71" si="67">(AVERAGEIF(D71:E71,"&gt;0",D71:E71))*10^2*100/8</f>
        <v>#DIV/0!</v>
      </c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6"/>
      <c r="N71" s="14"/>
      <c r="O71" s="9"/>
      <c r="P71" s="14"/>
      <c r="Q71" s="14"/>
      <c r="R71" s="10"/>
      <c r="S71" s="10"/>
    </row>
    <row r="72" spans="1:19" x14ac:dyDescent="0.3">
      <c r="A72" s="75"/>
      <c r="B72" s="79"/>
      <c r="C72" s="11" t="s">
        <v>4</v>
      </c>
      <c r="D72" s="11">
        <v>96</v>
      </c>
      <c r="E72" s="11">
        <v>116</v>
      </c>
      <c r="F72" s="32">
        <f t="shared" ref="F72" si="68">(AVERAGEIF(D72:E72,"&gt;0",D72:E72))*10^3*100/8</f>
        <v>1325000</v>
      </c>
      <c r="G72" s="7">
        <v>8</v>
      </c>
      <c r="H72" s="5" t="str">
        <f t="array" ref="H72">IFERROR(INDEX($F$2:$F$181,SMALL(IF($G$2:$G$181=18,ROW($A$1:$A$180),""),ROW(A2))),"")</f>
        <v/>
      </c>
      <c r="J72" s="40"/>
      <c r="K72" s="13"/>
      <c r="L72" s="13"/>
      <c r="M72" s="66"/>
      <c r="N72" s="14"/>
      <c r="O72" s="9"/>
      <c r="P72" s="14"/>
      <c r="Q72" s="14"/>
      <c r="R72" s="10"/>
      <c r="S72" s="10"/>
    </row>
    <row r="73" spans="1:19" ht="15" thickBot="1" x14ac:dyDescent="0.35">
      <c r="A73" s="76"/>
      <c r="B73" s="80"/>
      <c r="C73" s="12" t="s">
        <v>2</v>
      </c>
      <c r="D73" s="35">
        <v>9</v>
      </c>
      <c r="E73" s="35">
        <v>10</v>
      </c>
      <c r="F73" s="36">
        <f t="shared" ref="F73" si="69">(AVERAGEIF(D73:E73,"&gt;0",D73:E73))*10^4*100/8</f>
        <v>1187500</v>
      </c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6"/>
      <c r="N73" s="14"/>
      <c r="O73" s="9"/>
      <c r="P73" s="14"/>
      <c r="Q73" s="14"/>
      <c r="R73" s="10"/>
      <c r="S73" s="10"/>
    </row>
    <row r="74" spans="1:19" ht="15" thickTop="1" x14ac:dyDescent="0.3">
      <c r="A74" s="50"/>
      <c r="B74" s="53"/>
      <c r="C74" s="30"/>
      <c r="D74" s="30"/>
      <c r="E74" s="30"/>
      <c r="F74" s="31"/>
      <c r="G74" s="7"/>
      <c r="H74" s="5" t="s">
        <v>30</v>
      </c>
      <c r="J74" s="40"/>
      <c r="K74" s="13"/>
      <c r="L74" s="13"/>
      <c r="M74" s="66"/>
      <c r="N74" s="14"/>
      <c r="O74" s="9"/>
      <c r="P74" s="14"/>
      <c r="Q74" s="14"/>
      <c r="R74" s="10"/>
      <c r="S74" s="10"/>
    </row>
    <row r="75" spans="1:19" x14ac:dyDescent="0.3">
      <c r="A75" s="51"/>
      <c r="B75" s="54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6"/>
      <c r="N75" s="14"/>
      <c r="O75" s="9"/>
      <c r="P75" s="14"/>
      <c r="Q75" s="14"/>
      <c r="R75" s="10"/>
      <c r="S75" s="10"/>
    </row>
    <row r="76" spans="1:19" ht="15" thickBot="1" x14ac:dyDescent="0.35">
      <c r="A76" s="51"/>
      <c r="B76" s="55"/>
      <c r="C76" s="12"/>
      <c r="D76" s="12"/>
      <c r="E76" s="12"/>
      <c r="F76" s="33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6"/>
      <c r="N76" s="14"/>
      <c r="O76" s="9"/>
      <c r="P76" s="14"/>
      <c r="Q76" s="14"/>
      <c r="R76" s="10"/>
      <c r="S76" s="10"/>
    </row>
    <row r="77" spans="1:19" x14ac:dyDescent="0.3">
      <c r="A77" s="51"/>
      <c r="B77" s="56"/>
      <c r="C77" s="8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6"/>
      <c r="N77" s="14"/>
      <c r="O77" s="9"/>
      <c r="P77" s="14"/>
      <c r="Q77" s="14"/>
      <c r="R77" s="10"/>
      <c r="S77" s="10"/>
    </row>
    <row r="78" spans="1:19" x14ac:dyDescent="0.3">
      <c r="A78" s="51"/>
      <c r="B78" s="54"/>
      <c r="C78" s="11"/>
      <c r="D78" s="11"/>
      <c r="E78" s="11"/>
      <c r="F78" s="32"/>
      <c r="G78" s="7"/>
      <c r="H78" s="5" t="s">
        <v>31</v>
      </c>
      <c r="J78" s="40"/>
      <c r="K78" s="13"/>
      <c r="L78" s="13"/>
      <c r="M78" s="66"/>
      <c r="N78" s="14"/>
      <c r="O78" s="9"/>
      <c r="P78" s="14"/>
      <c r="Q78" s="14"/>
      <c r="R78" s="10"/>
      <c r="S78" s="10"/>
    </row>
    <row r="79" spans="1:19" ht="15" thickBot="1" x14ac:dyDescent="0.35">
      <c r="A79" s="51"/>
      <c r="B79" s="55"/>
      <c r="C79" s="12"/>
      <c r="D79" s="12"/>
      <c r="E79" s="12"/>
      <c r="F79" s="33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6"/>
      <c r="N79" s="14"/>
      <c r="O79" s="9"/>
      <c r="P79" s="14"/>
      <c r="Q79" s="14"/>
      <c r="R79" s="10"/>
      <c r="S79" s="10"/>
    </row>
    <row r="80" spans="1:19" x14ac:dyDescent="0.3">
      <c r="A80" s="51"/>
      <c r="B80" s="56"/>
      <c r="C80" s="8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6"/>
      <c r="N80" s="14"/>
      <c r="O80" s="9"/>
      <c r="P80" s="14"/>
      <c r="Q80" s="14"/>
      <c r="R80" s="10"/>
      <c r="S80" s="10"/>
    </row>
    <row r="81" spans="1:22" x14ac:dyDescent="0.3">
      <c r="A81" s="51"/>
      <c r="B81" s="54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6"/>
      <c r="N81" s="14"/>
      <c r="O81" s="9"/>
      <c r="P81" s="14"/>
      <c r="Q81" s="14"/>
      <c r="R81" s="10"/>
      <c r="S81" s="10"/>
    </row>
    <row r="82" spans="1:22" ht="15" thickBot="1" x14ac:dyDescent="0.35">
      <c r="A82" s="52"/>
      <c r="B82" s="57"/>
      <c r="C82" s="35"/>
      <c r="D82" s="35"/>
      <c r="E82" s="35"/>
      <c r="F82" s="36"/>
      <c r="G82" s="7"/>
      <c r="J82" s="40"/>
      <c r="K82" s="13"/>
      <c r="L82" s="13"/>
      <c r="M82" s="66"/>
      <c r="N82" s="14"/>
      <c r="O82" s="9"/>
      <c r="P82" s="14"/>
      <c r="Q82" s="14"/>
      <c r="R82" s="10"/>
      <c r="S82" s="10"/>
    </row>
    <row r="83" spans="1:22" ht="1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6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6"/>
      <c r="N84" s="14"/>
      <c r="O84" s="9"/>
      <c r="P84" s="14"/>
      <c r="Q84" s="14"/>
      <c r="R84" s="10"/>
      <c r="S84" s="10"/>
    </row>
    <row r="85" spans="1:22" ht="1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6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6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6"/>
      <c r="N87" s="14"/>
      <c r="O87" s="9"/>
      <c r="P87" s="14"/>
      <c r="Q87" s="14"/>
      <c r="R87" s="10"/>
      <c r="S87" s="10"/>
    </row>
    <row r="88" spans="1:22" ht="1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6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6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6"/>
      <c r="N90" s="14"/>
      <c r="O90" s="9"/>
      <c r="P90" s="14"/>
      <c r="Q90" s="14"/>
      <c r="R90" s="10"/>
      <c r="S90" s="10"/>
    </row>
    <row r="91" spans="1:22" ht="1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6"/>
      <c r="N91" s="14"/>
      <c r="O91" s="9"/>
      <c r="P91" s="14"/>
      <c r="Q91" s="14"/>
      <c r="R91" s="10"/>
      <c r="S91" s="10"/>
    </row>
    <row r="92" spans="1:22" ht="1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6"/>
      <c r="N92" s="14"/>
      <c r="O92" s="9"/>
      <c r="P92" s="14"/>
      <c r="Q92" s="14"/>
      <c r="R92" s="10"/>
      <c r="S92" s="10"/>
    </row>
    <row r="93" spans="1:22" ht="1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6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6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6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6"/>
      <c r="N96" s="14"/>
      <c r="O96" s="9"/>
      <c r="P96" s="14"/>
      <c r="Q96" s="14"/>
      <c r="R96" s="10"/>
      <c r="S96" s="10"/>
    </row>
    <row r="97" spans="1:19" ht="1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6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6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6"/>
      <c r="N99" s="14"/>
      <c r="O99" s="9"/>
      <c r="P99" s="14"/>
      <c r="Q99" s="14"/>
      <c r="R99" s="10"/>
      <c r="S99" s="10"/>
    </row>
    <row r="100" spans="1:19" ht="1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6"/>
      <c r="N100" s="14"/>
      <c r="O100" s="9"/>
      <c r="P100" s="14"/>
      <c r="Q100" s="14"/>
      <c r="R100" s="10"/>
      <c r="S100" s="10"/>
    </row>
    <row r="101" spans="1:19" ht="1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6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6"/>
      <c r="N102" s="14"/>
      <c r="O102" s="9"/>
      <c r="P102" s="14"/>
      <c r="Q102" s="14"/>
      <c r="R102" s="10"/>
      <c r="S102" s="10"/>
    </row>
    <row r="103" spans="1:19" ht="1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6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6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6"/>
      <c r="N105" s="14"/>
      <c r="O105" s="9"/>
      <c r="P105" s="14"/>
      <c r="Q105" s="14"/>
      <c r="R105" s="10"/>
      <c r="S105" s="10"/>
    </row>
    <row r="106" spans="1:19" ht="1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6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6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6"/>
      <c r="N108" s="14"/>
      <c r="O108" s="9"/>
      <c r="P108" s="14"/>
      <c r="Q108" s="14"/>
      <c r="R108" s="10"/>
      <c r="S108" s="10"/>
    </row>
    <row r="109" spans="1:19" ht="1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6"/>
      <c r="N109" s="14"/>
      <c r="O109" s="9"/>
      <c r="P109" s="14"/>
      <c r="Q109" s="14"/>
      <c r="R109" s="10"/>
      <c r="S109" s="10"/>
    </row>
    <row r="110" spans="1:19" ht="1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6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6"/>
      <c r="N111" s="14"/>
      <c r="O111" s="9"/>
      <c r="P111" s="14"/>
      <c r="Q111" s="14"/>
      <c r="R111" s="10"/>
      <c r="S111" s="10"/>
    </row>
    <row r="112" spans="1:19" ht="1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6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6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6"/>
      <c r="N114" s="14"/>
      <c r="O114" s="9"/>
      <c r="P114" s="14"/>
      <c r="Q114" s="14"/>
      <c r="R114" s="10"/>
      <c r="S114" s="10"/>
    </row>
    <row r="115" spans="1:19" ht="1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6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6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6"/>
      <c r="N117" s="14"/>
      <c r="O117" s="9"/>
      <c r="P117" s="14"/>
      <c r="Q117" s="14"/>
      <c r="R117" s="10"/>
      <c r="S117" s="10"/>
    </row>
    <row r="118" spans="1:19" ht="1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6"/>
      <c r="N118" s="14"/>
      <c r="O118" s="9"/>
      <c r="P118" s="14"/>
      <c r="Q118" s="14"/>
      <c r="R118" s="10"/>
      <c r="S118" s="10"/>
    </row>
    <row r="119" spans="1:19" ht="1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6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6"/>
      <c r="N120" s="14"/>
      <c r="O120" s="9"/>
      <c r="P120" s="14"/>
      <c r="Q120" s="14"/>
      <c r="R120" s="10"/>
      <c r="S120" s="10"/>
    </row>
    <row r="121" spans="1:19" ht="1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6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6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6"/>
      <c r="N123" s="14"/>
      <c r="O123" s="9"/>
      <c r="P123" s="14"/>
      <c r="Q123" s="14"/>
      <c r="R123" s="10"/>
      <c r="S123" s="10"/>
    </row>
    <row r="124" spans="1:19" ht="1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6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6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6"/>
      <c r="N126" s="14"/>
      <c r="O126" s="9"/>
      <c r="P126" s="14"/>
      <c r="Q126" s="14"/>
      <c r="R126" s="10"/>
      <c r="S126" s="10"/>
    </row>
    <row r="127" spans="1:19" ht="1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6"/>
      <c r="N127" s="14"/>
      <c r="O127" s="9"/>
      <c r="P127" s="14"/>
      <c r="Q127" s="14"/>
      <c r="R127" s="10"/>
      <c r="S127" s="10"/>
    </row>
    <row r="128" spans="1:19" ht="1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6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6"/>
      <c r="N129" s="14"/>
      <c r="O129" s="9"/>
      <c r="P129" s="14"/>
      <c r="Q129" s="14"/>
      <c r="R129" s="10"/>
      <c r="S129" s="10"/>
    </row>
    <row r="130" spans="1:19" ht="1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6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6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6"/>
      <c r="N132" s="14"/>
      <c r="O132" s="9"/>
      <c r="P132" s="14"/>
      <c r="Q132" s="14"/>
      <c r="R132" s="10"/>
      <c r="S132" s="10"/>
    </row>
    <row r="133" spans="1:19" ht="1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6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6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6"/>
      <c r="N135" s="14"/>
      <c r="O135" s="9"/>
      <c r="P135" s="14"/>
      <c r="Q135" s="14"/>
      <c r="R135" s="10"/>
      <c r="S135" s="10"/>
    </row>
    <row r="136" spans="1:19" ht="1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6"/>
      <c r="N136" s="14"/>
      <c r="O136" s="9"/>
      <c r="P136" s="14"/>
      <c r="Q136" s="14"/>
      <c r="R136" s="10"/>
      <c r="S136" s="10"/>
    </row>
    <row r="137" spans="1:19" ht="1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6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6"/>
      <c r="N138" s="14"/>
      <c r="O138" s="9"/>
      <c r="P138" s="14"/>
      <c r="Q138" s="14"/>
      <c r="R138" s="10"/>
      <c r="S138" s="10"/>
    </row>
    <row r="139" spans="1:19" ht="1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6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6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6"/>
      <c r="N141" s="14"/>
      <c r="O141" s="9"/>
      <c r="P141" s="14"/>
      <c r="Q141" s="14"/>
      <c r="R141" s="10"/>
      <c r="S141" s="10"/>
    </row>
    <row r="142" spans="1:19" ht="1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6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6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6"/>
      <c r="N144" s="14"/>
      <c r="O144" s="9"/>
      <c r="P144" s="14"/>
      <c r="Q144" s="14"/>
      <c r="R144" s="10"/>
      <c r="S144" s="10"/>
    </row>
    <row r="145" spans="1:19" ht="1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6"/>
      <c r="N145" s="14"/>
      <c r="O145" s="9"/>
      <c r="P145" s="14"/>
      <c r="Q145" s="14"/>
      <c r="R145" s="10"/>
      <c r="S145" s="10"/>
    </row>
    <row r="146" spans="1:19" ht="1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6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6"/>
      <c r="N147" s="14"/>
      <c r="O147" s="9"/>
      <c r="P147" s="14"/>
      <c r="Q147" s="14"/>
      <c r="R147" s="10"/>
      <c r="S147" s="10"/>
    </row>
    <row r="148" spans="1:19" ht="1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6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6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6"/>
      <c r="N150" s="14"/>
      <c r="O150" s="9"/>
      <c r="P150" s="14"/>
      <c r="Q150" s="14"/>
      <c r="R150" s="10"/>
      <c r="S150" s="10"/>
    </row>
    <row r="151" spans="1:19" ht="1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6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6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6"/>
      <c r="N153" s="14"/>
      <c r="O153" s="9"/>
      <c r="P153" s="14"/>
      <c r="Q153" s="14"/>
      <c r="R153" s="10"/>
      <c r="S153" s="10"/>
    </row>
    <row r="154" spans="1:19" ht="1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6"/>
      <c r="N154" s="14"/>
      <c r="O154" s="9"/>
      <c r="P154" s="14"/>
      <c r="Q154" s="14"/>
      <c r="R154" s="10"/>
      <c r="S154" s="10"/>
    </row>
    <row r="155" spans="1:19" ht="1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6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6"/>
      <c r="N156" s="14"/>
      <c r="O156" s="9"/>
      <c r="P156" s="14"/>
      <c r="Q156" s="14"/>
      <c r="R156" s="10"/>
      <c r="S156" s="10"/>
    </row>
    <row r="157" spans="1:19" ht="1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6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6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6"/>
      <c r="N159" s="14"/>
      <c r="O159" s="9"/>
      <c r="P159" s="14"/>
      <c r="Q159" s="14"/>
      <c r="R159" s="10"/>
      <c r="S159" s="10"/>
    </row>
    <row r="160" spans="1:19" ht="1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6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6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6"/>
      <c r="N162" s="14"/>
      <c r="O162" s="9"/>
      <c r="P162" s="14"/>
      <c r="Q162" s="14"/>
      <c r="R162" s="10"/>
      <c r="S162" s="10"/>
    </row>
    <row r="163" spans="1:19" ht="1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6"/>
      <c r="N163" s="14"/>
      <c r="O163" s="9"/>
      <c r="P163" s="14"/>
      <c r="Q163" s="14"/>
      <c r="R163" s="10"/>
      <c r="S163" s="10"/>
    </row>
    <row r="164" spans="1:19" ht="1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6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6"/>
      <c r="N165" s="14"/>
      <c r="O165" s="9"/>
      <c r="P165" s="21"/>
      <c r="Q165" s="21"/>
      <c r="R165" s="10"/>
      <c r="S165" s="10"/>
    </row>
    <row r="166" spans="1:19" ht="1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6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6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6"/>
      <c r="N168" s="14"/>
      <c r="O168" s="9"/>
      <c r="P168" s="21"/>
      <c r="Q168" s="21"/>
      <c r="R168" s="10"/>
      <c r="S168" s="10"/>
    </row>
    <row r="169" spans="1:19" ht="1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6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6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6"/>
      <c r="N171" s="14"/>
      <c r="O171" s="9"/>
      <c r="P171" s="21"/>
      <c r="Q171" s="21"/>
      <c r="R171" s="10"/>
      <c r="S171" s="10"/>
    </row>
    <row r="172" spans="1:19" ht="1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6"/>
      <c r="N172" s="14"/>
      <c r="O172" s="9"/>
      <c r="P172" s="21"/>
      <c r="Q172" s="21"/>
      <c r="R172" s="10"/>
      <c r="S172" s="10"/>
    </row>
    <row r="173" spans="1:19" ht="1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7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7"/>
      <c r="O174" s="9"/>
      <c r="P174" s="21"/>
      <c r="Q174" s="21"/>
      <c r="R174" s="10"/>
      <c r="S174" s="10"/>
    </row>
    <row r="175" spans="1:19" ht="1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7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7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7"/>
      <c r="O177" s="9"/>
      <c r="P177" s="21"/>
      <c r="Q177" s="21"/>
    </row>
    <row r="178" spans="1:17" ht="1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7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7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7"/>
      <c r="O180" s="9"/>
      <c r="P180" s="21"/>
      <c r="Q180" s="21"/>
    </row>
    <row r="181" spans="1:17" ht="1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7"/>
      <c r="O181" s="9"/>
      <c r="P181" s="21"/>
      <c r="Q181" s="21"/>
    </row>
    <row r="182" spans="1:17" ht="15" thickTop="1" x14ac:dyDescent="0.3">
      <c r="G182" s="28"/>
      <c r="O182" s="9"/>
    </row>
  </sheetData>
  <mergeCells count="32">
    <mergeCell ref="A56:A64"/>
    <mergeCell ref="B56:B58"/>
    <mergeCell ref="B59:B61"/>
    <mergeCell ref="B62:B64"/>
    <mergeCell ref="A65:A73"/>
    <mergeCell ref="B65:B67"/>
    <mergeCell ref="B68:B70"/>
    <mergeCell ref="B71:B73"/>
    <mergeCell ref="B44:B46"/>
    <mergeCell ref="B41:B43"/>
    <mergeCell ref="B38:B40"/>
    <mergeCell ref="A38:A46"/>
    <mergeCell ref="A47:A55"/>
    <mergeCell ref="B47:B49"/>
    <mergeCell ref="B50:B52"/>
    <mergeCell ref="B53:B55"/>
    <mergeCell ref="B32:B34"/>
    <mergeCell ref="B35:B37"/>
    <mergeCell ref="A29:A37"/>
    <mergeCell ref="B29:B31"/>
    <mergeCell ref="A2:A10"/>
    <mergeCell ref="A11:A19"/>
    <mergeCell ref="A20:A28"/>
    <mergeCell ref="B20:B22"/>
    <mergeCell ref="B2:B4"/>
    <mergeCell ref="B5:B7"/>
    <mergeCell ref="B8:B10"/>
    <mergeCell ref="B11:B13"/>
    <mergeCell ref="B14:B16"/>
    <mergeCell ref="B17:B19"/>
    <mergeCell ref="B23:B25"/>
    <mergeCell ref="B26:B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ADCA-FD3D-4050-B8DF-3E06B8B7DCD5}">
  <dimension ref="A1:V182"/>
  <sheetViews>
    <sheetView topLeftCell="H28" zoomScaleNormal="100" workbookViewId="0">
      <selection activeCell="K51" sqref="K51"/>
    </sheetView>
  </sheetViews>
  <sheetFormatPr defaultColWidth="9.109375" defaultRowHeight="14.4" x14ac:dyDescent="0.3"/>
  <cols>
    <col min="1" max="1" width="10.6640625" style="23" customWidth="1"/>
    <col min="2" max="2" width="10.6640625" style="24" customWidth="1"/>
    <col min="3" max="3" width="12.6640625" style="25" bestFit="1" customWidth="1"/>
    <col min="4" max="4" width="20.33203125" style="25" customWidth="1"/>
    <col min="5" max="5" width="21" style="25" customWidth="1"/>
    <col min="6" max="6" width="11.44140625" style="5" customWidth="1"/>
    <col min="7" max="7" width="11.44140625" style="29" customWidth="1"/>
    <col min="8" max="8" width="14.44140625" style="5" customWidth="1"/>
    <col min="9" max="9" width="12.6640625" style="5" bestFit="1" customWidth="1"/>
    <col min="10" max="12" width="12.6640625" style="5" customWidth="1"/>
    <col min="13" max="13" width="12.6640625" style="7" customWidth="1"/>
    <col min="14" max="15" width="12.6640625" style="21" customWidth="1"/>
    <col min="16" max="19" width="12.6640625" style="5" customWidth="1"/>
    <col min="20" max="20" width="11.88671875" style="5" customWidth="1"/>
    <col min="21" max="21" width="12.44140625" style="5" customWidth="1"/>
    <col min="22" max="22" width="13.109375" style="7" customWidth="1"/>
    <col min="23" max="16384" width="9.109375" style="7"/>
  </cols>
  <sheetData>
    <row r="1" spans="1:22" ht="28.5" thickBot="1" x14ac:dyDescent="0.35">
      <c r="A1" s="1" t="s">
        <v>0</v>
      </c>
      <c r="B1" s="2" t="s">
        <v>8</v>
      </c>
      <c r="C1" s="3" t="s">
        <v>1</v>
      </c>
      <c r="D1" s="3" t="s">
        <v>6</v>
      </c>
      <c r="E1" s="3" t="s">
        <v>7</v>
      </c>
      <c r="F1" s="4" t="s">
        <v>9</v>
      </c>
      <c r="G1" s="27" t="s">
        <v>11</v>
      </c>
      <c r="H1" s="26" t="s">
        <v>32</v>
      </c>
      <c r="I1" s="26" t="s">
        <v>33</v>
      </c>
      <c r="J1" s="26" t="s">
        <v>10</v>
      </c>
      <c r="K1" s="26" t="s">
        <v>34</v>
      </c>
      <c r="L1" s="26" t="s">
        <v>35</v>
      </c>
      <c r="M1" s="6"/>
      <c r="N1" s="48" t="s">
        <v>58</v>
      </c>
      <c r="O1" s="48" t="s">
        <v>59</v>
      </c>
      <c r="P1" s="48" t="s">
        <v>60</v>
      </c>
      <c r="Q1" s="48" t="s">
        <v>61</v>
      </c>
      <c r="R1" s="48" t="s">
        <v>62</v>
      </c>
      <c r="S1" s="48" t="s">
        <v>63</v>
      </c>
      <c r="T1" s="45" t="s">
        <v>64</v>
      </c>
      <c r="U1" s="45" t="s">
        <v>65</v>
      </c>
      <c r="V1" s="6"/>
    </row>
    <row r="2" spans="1:22" ht="15.75" customHeight="1" thickTop="1" x14ac:dyDescent="0.3">
      <c r="A2" s="74" t="s">
        <v>54</v>
      </c>
      <c r="B2" s="77">
        <v>1</v>
      </c>
      <c r="C2" s="30" t="s">
        <v>4</v>
      </c>
      <c r="D2" s="58" t="s">
        <v>77</v>
      </c>
      <c r="E2" s="58"/>
      <c r="F2" s="31" t="e">
        <f>(AVERAGEIF(D2:E2,"&gt;0",D2:E2))*10^3*100/8</f>
        <v>#DIV/0!</v>
      </c>
      <c r="G2" s="7"/>
      <c r="H2" s="5" t="s">
        <v>12</v>
      </c>
      <c r="J2" s="38"/>
      <c r="K2" s="41">
        <f t="array" ref="K2">IFERROR(INDEX($I$2:$I$81,SMALL(IF(ISNUMBER($I$2:$I$81),ROW($A$1:$A$80),""),ROW(A1))),"")</f>
        <v>2666666.6666666665</v>
      </c>
      <c r="L2" s="41">
        <f t="array" ref="L2">IFERROR(INDEX($J$2:$J$81,SMALL(IF(ISNUMBER($J$2:$J$81),ROW($A$1:$A$80),""),ROW(A1))),"")</f>
        <v>308305.17889476544</v>
      </c>
      <c r="M2" s="63" t="s">
        <v>52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75"/>
      <c r="B3" s="71"/>
      <c r="C3" s="11" t="s">
        <v>2</v>
      </c>
      <c r="D3" s="11">
        <v>15</v>
      </c>
      <c r="E3" s="11">
        <v>22</v>
      </c>
      <c r="F3" s="32">
        <f>(AVERAGEIF(D3:E3,"&gt;0",D3:E3))*10^4*100/8</f>
        <v>2312500</v>
      </c>
      <c r="G3" s="7">
        <v>1</v>
      </c>
      <c r="H3" s="5">
        <f t="array" ref="H3">IFERROR(INDEX($F$2:$F$181,SMALL(IF($G$2:$G$181=1,ROW($A$1:$A$163),""),ROW(A1))),"")</f>
        <v>2312500</v>
      </c>
      <c r="J3" s="39"/>
      <c r="K3" s="41">
        <f t="array" ref="K3">IFERROR(INDEX($I$2:$I$81,SMALL(IF(ISNUMBER($I$2:$I$81),ROW($A$1:$A$80),""),ROW(A2))),"")</f>
        <v>105625</v>
      </c>
      <c r="L3" s="41">
        <f t="array" ref="L3">IFERROR(INDEX($J$2:$J$81,SMALL(IF(ISNUMBER($J$2:$J$81),ROW($A$1:$A$80),""),ROW(A2))),"")</f>
        <v>76395.86458048629</v>
      </c>
      <c r="M3" s="63" t="s">
        <v>53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5" thickBot="1" x14ac:dyDescent="0.35">
      <c r="A4" s="75"/>
      <c r="B4" s="72"/>
      <c r="C4" s="12" t="s">
        <v>3</v>
      </c>
      <c r="D4" s="12">
        <v>3</v>
      </c>
      <c r="E4" s="12">
        <v>0</v>
      </c>
      <c r="F4" s="33">
        <f>(AVERAGEIF(D4:E4,"&gt;0",D4:E4))*10^5*100/8</f>
        <v>3750000</v>
      </c>
      <c r="G4" s="7"/>
      <c r="H4" s="5">
        <f t="array" ref="H4">IFERROR(INDEX($F$2:$F$181,SMALL(IF($G$2:$G$181=1,ROW($A$1:$A$163),""),ROW(A2))),"")</f>
        <v>2812500</v>
      </c>
      <c r="J4" s="39"/>
      <c r="K4" s="41">
        <f t="array" ref="K4">IFERROR(INDEX($I$2:$I$81,SMALL(IF(ISNUMBER($I$2:$I$81),ROW($A$1:$A$80),""),ROW(A3))),"")</f>
        <v>2625000</v>
      </c>
      <c r="L4" s="41">
        <f t="array" ref="L4">IFERROR(INDEX($J$2:$J$81,SMALL(IF(ISNUMBER($J$2:$J$81),ROW($A$1:$A$80),""),ROW(A3))),"")</f>
        <v>125000</v>
      </c>
      <c r="M4" s="64"/>
      <c r="N4" s="9">
        <f t="array" ref="N4">IFERROR(INDEX($F$2:$F$181,SMALL(_xlfn.IFS($G$2:$G$181&lt;$N$2,"",$G$2:$G$181&gt;$N$3,"",ISNUMBER($G$2:$G$181),ROW($A$1:$A$180)),ROW(A1))),"")</f>
        <v>2312500</v>
      </c>
      <c r="O4" s="9">
        <f t="array" ref="O4">IFERROR(INDEX($F$2:$F$181,SMALL(_xlfn.IFS($G$2:$G$181&lt;$O$2,"",$G$2:$G$181&gt;$O$3,"",ISNUMBER($G$2:$G$181),ROW($A$1:$A$180)),ROW(A1))),"")</f>
        <v>187500</v>
      </c>
      <c r="P4" s="9">
        <f t="array" ref="P4">IFERROR(INDEX($F$2:$F$181,SMALL(_xlfn.IFS($G$2:$G$181&lt;$P$2,"",$G$2:$G$181&gt;$P$3,"",ISNUMBER($G$2:$G$181),ROW($A$1:$A$180)),ROW(A1))),"")</f>
        <v>2500000</v>
      </c>
      <c r="Q4" s="9">
        <f t="array" ref="Q4">IFERROR(INDEX($F$2:$F$181,SMALL(_xlfn.IFS($G$2:$G$181&lt;$Q$2,"",$G$2:$G$181&gt;$Q$3,"",ISNUMBER($G$2:$G$181),ROW($A$1:$A$180)),ROW(A1))),"")</f>
        <v>2243750</v>
      </c>
      <c r="R4" s="9">
        <f t="array" ref="R4">IFERROR(INDEX($F$2:$F$181,SMALL(_xlfn.IFS($G$2:$G$181&lt;$R$2,"",$G$2:$G$181&gt;$R$3,"",ISNUMBER($G$2:$G$181),ROW($A$1:$A$180)),ROW(A1))),"")</f>
        <v>875000</v>
      </c>
      <c r="S4" s="10">
        <f t="array" ref="S4">IFERROR(INDEX($F$2:$F$181,SMALL(_xlfn.IFS($G$2:$G$181&lt;$S$2,"",$G$2:$G$181&gt;$S$3,"",ISNUMBER($G$2:$G$181),ROW($A$1:$A$180)),ROW(A1))),"")</f>
        <v>250000</v>
      </c>
      <c r="T4" s="5">
        <f t="array" ref="T4">IFERROR(INDEX($F$2:$F$181,SMALL(_xlfn.IFS($G$2:$G$181&lt;$T$2,"",$G$2:$G$181&gt;$T$3,"",ISNUMBER($G$2:$G$181),ROW($A$1:$A$180)),ROW(A1))),"")</f>
        <v>1187500</v>
      </c>
      <c r="U4" s="5">
        <f t="array" ref="U4">IFERROR(INDEX($F$2:$F$181,SMALL(_xlfn.IFS($G$2:$G$181&lt;$U$2,"",$G$2:$G$181&gt;$U$3,"",ISNUMBER($G$2:$G$181),ROW($A$1:$A$180)),ROW(A1))),"")</f>
        <v>2162500</v>
      </c>
    </row>
    <row r="5" spans="1:22" x14ac:dyDescent="0.3">
      <c r="A5" s="75"/>
      <c r="B5" s="70">
        <v>2</v>
      </c>
      <c r="C5" s="8" t="s">
        <v>4</v>
      </c>
      <c r="D5" s="59" t="s">
        <v>77</v>
      </c>
      <c r="E5" s="59"/>
      <c r="F5" s="34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2875000</v>
      </c>
      <c r="I5" s="5">
        <f>AVERAGE(H3:H5)</f>
        <v>2666666.6666666665</v>
      </c>
      <c r="J5" s="39">
        <f>STDEV(H3:H5)</f>
        <v>308305.17889476544</v>
      </c>
      <c r="K5" s="41">
        <f t="array" ref="K5">IFERROR(INDEX($I$2:$I$81,SMALL(IF(ISNUMBER($I$2:$I$81),ROW($A$1:$A$80),""),ROW(A4))),"")</f>
        <v>2093750</v>
      </c>
      <c r="L5" s="41">
        <f t="array" ref="L5">IFERROR(INDEX($J$2:$J$81,SMALL(IF(ISNUMBER($J$2:$J$81),ROW($A$1:$A$80),""),ROW(A4))),"")</f>
        <v>153220.63340164078</v>
      </c>
      <c r="M5" s="64"/>
      <c r="N5" s="9">
        <f t="array" ref="N5">IFERROR(INDEX($F$2:$F$181,SMALL(_xlfn.IFS($G$2:$G$181&lt;$N$2,"",$G$2:$G$181&gt;$N$3,"",ISNUMBER($G$2:$G$181),ROW($A$1:$A$180)),ROW(A2))),"")</f>
        <v>2812500</v>
      </c>
      <c r="O5" s="9">
        <f t="array" ref="O5">IFERROR(INDEX($F$2:$F$181,SMALL(_xlfn.IFS($G$2:$G$181&lt;$O$2,"",$G$2:$G$181&gt;$O$3,"",ISNUMBER($G$2:$G$181),ROW($A$1:$A$180)),ROW(A2))),"")</f>
        <v>36250</v>
      </c>
      <c r="P5" s="9">
        <f t="array" ref="P5">IFERROR(INDEX($F$2:$F$181,SMALL(_xlfn.IFS($G$2:$G$181&lt;$P$2,"",$G$2:$G$181&gt;$P$3,"",ISNUMBER($G$2:$G$181),ROW($A$1:$A$180)),ROW(A2))),"")</f>
        <v>2750000</v>
      </c>
      <c r="Q5" s="9">
        <f t="array" ref="Q5">IFERROR(INDEX($F$2:$F$181,SMALL(_xlfn.IFS($G$2:$G$181&lt;$Q$2,"",$G$2:$G$181&gt;$Q$3,"",ISNUMBER($G$2:$G$181),ROW($A$1:$A$180)),ROW(A2))),"")</f>
        <v>2100000</v>
      </c>
      <c r="R5" s="9">
        <f t="array" ref="R5">IFERROR(INDEX($F$2:$F$181,SMALL(_xlfn.IFS($G$2:$G$181&lt;$R$2,"",$G$2:$G$181&gt;$R$3,"",ISNUMBER($G$2:$G$181),ROW($A$1:$A$180)),ROW(A2))),"")</f>
        <v>1500000</v>
      </c>
      <c r="S5" s="10">
        <f t="array" ref="S5">IFERROR(INDEX($F$2:$F$181,SMALL(_xlfn.IFS($G$2:$G$181&lt;$S$2,"",$G$2:$G$181&gt;$S$3,"",ISNUMBER($G$2:$G$181),ROW($A$1:$A$180)),ROW(A2))),"")</f>
        <v>143750</v>
      </c>
      <c r="T5" s="5">
        <f t="array" ref="T5">IFERROR(INDEX($F$2:$F$181,SMALL(_xlfn.IFS($G$2:$G$181&lt;$T$2,"",$G$2:$G$181&gt;$T$3,"",ISNUMBER($G$2:$G$181),ROW($A$1:$A$180)),ROW(A2))),"")</f>
        <v>2062500</v>
      </c>
      <c r="U5" s="5">
        <f t="array" ref="U5">IFERROR(INDEX($F$2:$F$181,SMALL(_xlfn.IFS($G$2:$G$181&lt;$U$2,"",$G$2:$G$181&gt;$U$3,"",ISNUMBER($G$2:$G$181),ROW($A$1:$A$180)),ROW(A2))),"")</f>
        <v>2175000</v>
      </c>
    </row>
    <row r="6" spans="1:22" x14ac:dyDescent="0.3">
      <c r="A6" s="75"/>
      <c r="B6" s="71"/>
      <c r="C6" s="11" t="s">
        <v>2</v>
      </c>
      <c r="D6" s="11">
        <v>30</v>
      </c>
      <c r="E6" s="11">
        <v>15</v>
      </c>
      <c r="F6" s="32">
        <f t="shared" ref="F6" si="1">(AVERAGEIF(D6:E6,"&gt;0",D6:E6))*10^4*100/8</f>
        <v>2812500</v>
      </c>
      <c r="G6" s="7">
        <v>1</v>
      </c>
      <c r="H6" s="5" t="s">
        <v>13</v>
      </c>
      <c r="J6" s="39"/>
      <c r="K6" s="41">
        <f t="array" ref="K6">IFERROR(INDEX($I$2:$I$81,SMALL(IF(ISNUMBER($I$2:$I$81),ROW($A$1:$A$80),""),ROW(A5))),"")</f>
        <v>1416666.6666666667</v>
      </c>
      <c r="L6" s="41">
        <f t="array" ref="L6">IFERROR(INDEX($J$2:$J$81,SMALL(IF(ISNUMBER($J$2:$J$81),ROW($A$1:$A$80),""),ROW(A5))),"")</f>
        <v>505181.48554092273</v>
      </c>
      <c r="M6" s="64"/>
      <c r="N6" s="9">
        <f t="array" ref="N6">IFERROR(INDEX($F$2:$F$181,SMALL(_xlfn.IFS($G$2:$G$181&lt;$N$2,"",$G$2:$G$181&gt;$N$3,"",ISNUMBER($G$2:$G$181),ROW($A$1:$A$180)),ROW(A3))),"")</f>
        <v>2875000</v>
      </c>
      <c r="O6" s="9">
        <f t="array" ref="O6">IFERROR(INDEX($F$2:$F$181,SMALL(_xlfn.IFS($G$2:$G$181&lt;$O$2,"",$G$2:$G$181&gt;$O$3,"",ISNUMBER($G$2:$G$181),ROW($A$1:$A$180)),ROW(A3))),"")</f>
        <v>93125</v>
      </c>
      <c r="P6" s="9">
        <f t="array" ref="P6">IFERROR(INDEX($F$2:$F$181,SMALL(_xlfn.IFS($G$2:$G$181&lt;$P$2,"",$G$2:$G$181&gt;$P$3,"",ISNUMBER($G$2:$G$181),ROW($A$1:$A$180)),ROW(A3))),"")</f>
        <v>2625000</v>
      </c>
      <c r="Q6" s="9">
        <f t="array" ref="Q6">IFERROR(INDEX($F$2:$F$181,SMALL(_xlfn.IFS($G$2:$G$181&lt;$Q$2,"",$G$2:$G$181&gt;$Q$3,"",ISNUMBER($G$2:$G$181),ROW($A$1:$A$180)),ROW(A3))),"")</f>
        <v>1937500</v>
      </c>
      <c r="R6" s="9">
        <f t="array" ref="R6">IFERROR(INDEX($F$2:$F$181,SMALL(_xlfn.IFS($G$2:$G$181&lt;$R$2,"",$G$2:$G$181&gt;$R$3,"",ISNUMBER($G$2:$G$181),ROW($A$1:$A$180)),ROW(A3))),"")</f>
        <v>1875000</v>
      </c>
      <c r="S6" s="10">
        <f t="array" ref="S6">IFERROR(INDEX($F$2:$F$181,SMALL(_xlfn.IFS($G$2:$G$181&lt;$S$2,"",$G$2:$G$181&gt;$S$3,"",ISNUMBER($G$2:$G$181),ROW($A$1:$A$180)),ROW(A3))),"")</f>
        <v>312500</v>
      </c>
      <c r="T6" s="5">
        <f t="array" ref="T6">IFERROR(INDEX($F$2:$F$181,SMALL(_xlfn.IFS($G$2:$G$181&lt;$T$2,"",$G$2:$G$181&gt;$T$3,"",ISNUMBER($G$2:$G$181),ROW($A$1:$A$180)),ROW(A3))),"")</f>
        <v>1937500</v>
      </c>
      <c r="U6" s="5">
        <f t="array" ref="U6">IFERROR(INDEX($F$2:$F$181,SMALL(_xlfn.IFS($G$2:$G$181&lt;$U$2,"",$G$2:$G$181&gt;$U$3,"",ISNUMBER($G$2:$G$181),ROW($A$1:$A$180)),ROW(A3))),"")</f>
        <v>3062500</v>
      </c>
    </row>
    <row r="7" spans="1:22" ht="15" thickBot="1" x14ac:dyDescent="0.35">
      <c r="A7" s="75"/>
      <c r="B7" s="72"/>
      <c r="C7" s="12" t="s">
        <v>3</v>
      </c>
      <c r="D7" s="12">
        <v>3</v>
      </c>
      <c r="E7" s="12">
        <v>2</v>
      </c>
      <c r="F7" s="33">
        <f t="shared" ref="F7" si="2">(AVERAGEIF(D7:E7,"&gt;0",D7:E7))*10^5*100/8</f>
        <v>3125000</v>
      </c>
      <c r="G7" s="7"/>
      <c r="H7" s="5">
        <f t="array" ref="H7">IFERROR(INDEX($F$2:$F$181,SMALL(IF($G$2:$G$181=2,ROW($A$1:$A$163),""),ROW(A1))),"")</f>
        <v>187500</v>
      </c>
      <c r="J7" s="39"/>
      <c r="K7" s="41">
        <f t="array" ref="K7">IFERROR(INDEX($I$2:$I$81,SMALL(IF(ISNUMBER($I$2:$I$81),ROW($A$1:$A$80),""),ROW(A6))),"")</f>
        <v>235416.66666666666</v>
      </c>
      <c r="L7" s="41">
        <f t="array" ref="L7">IFERROR(INDEX($J$2:$J$81,SMALL(IF(ISNUMBER($J$2:$J$81),ROW($A$1:$A$80),""),ROW(A6))),"")</f>
        <v>85314.980122680267</v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x14ac:dyDescent="0.3">
      <c r="A8" s="75"/>
      <c r="B8" s="70">
        <v>3</v>
      </c>
      <c r="C8" s="8" t="s">
        <v>4</v>
      </c>
      <c r="D8" s="59" t="s">
        <v>77</v>
      </c>
      <c r="E8" s="59"/>
      <c r="F8" s="34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36250</v>
      </c>
      <c r="J8" s="39"/>
      <c r="K8" s="41">
        <f t="array" ref="K8">IFERROR(INDEX($I$2:$I$81,SMALL(IF(ISNUMBER($I$2:$I$81),ROW($A$1:$A$80),""),ROW(A7))),"")</f>
        <v>1729166.6666666667</v>
      </c>
      <c r="L8" s="41">
        <f t="array" ref="L8">IFERROR(INDEX($J$2:$J$81,SMALL(IF(ISNUMBER($J$2:$J$81),ROW($A$1:$A$80),""),ROW(A7))),"")</f>
        <v>473242.36215002247</v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75"/>
      <c r="B9" s="71"/>
      <c r="C9" s="11" t="s">
        <v>2</v>
      </c>
      <c r="D9" s="11">
        <v>21</v>
      </c>
      <c r="E9" s="11">
        <v>25</v>
      </c>
      <c r="F9" s="32">
        <f t="shared" ref="F9" si="4">(AVERAGEIF(D9:E9,"&gt;0",D9:E9))*10^4*100/8</f>
        <v>2875000</v>
      </c>
      <c r="G9" s="7">
        <v>1</v>
      </c>
      <c r="H9" s="5">
        <f t="array" ref="H9">IFERROR(INDEX($F$2:$F$181,SMALL(IF($G$2:$G$181=2,ROW($A$1:$A$163),""),ROW(A3))),"")</f>
        <v>93125</v>
      </c>
      <c r="I9" s="5">
        <f>AVERAGE(H7:H9)</f>
        <v>105625</v>
      </c>
      <c r="J9" s="39">
        <f>STDEV(H7:H9)</f>
        <v>76395.86458048629</v>
      </c>
      <c r="K9" s="41">
        <f t="array" ref="K9">IFERROR(INDEX($I$2:$I$81,SMALL(IF(ISNUMBER($I$2:$I$81),ROW($A$1:$A$80),""),ROW(A8))),"")</f>
        <v>2466666.6666666665</v>
      </c>
      <c r="L9" s="41">
        <f t="array" ref="L9">IFERROR(INDEX($J$2:$J$81,SMALL(IF(ISNUMBER($J$2:$J$81),ROW($A$1:$A$80),""),ROW(A8))),"")</f>
        <v>516044.65246074781</v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5" thickBot="1" x14ac:dyDescent="0.35">
      <c r="A10" s="76"/>
      <c r="B10" s="73"/>
      <c r="C10" s="35" t="s">
        <v>3</v>
      </c>
      <c r="D10" s="35">
        <v>3</v>
      </c>
      <c r="E10" s="35">
        <v>4</v>
      </c>
      <c r="F10" s="36">
        <f t="shared" ref="F10" si="5">(AVERAGEIF(D10:E10,"&gt;0",D10:E10))*10^5*100/8</f>
        <v>4375000</v>
      </c>
      <c r="G10" s="7"/>
      <c r="H10" s="5" t="s">
        <v>14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" customHeight="1" thickTop="1" x14ac:dyDescent="0.3">
      <c r="A11" s="74" t="s">
        <v>70</v>
      </c>
      <c r="B11" s="77">
        <v>1</v>
      </c>
      <c r="C11" s="30" t="s">
        <v>4</v>
      </c>
      <c r="D11" s="30" t="s">
        <v>77</v>
      </c>
      <c r="E11" s="30"/>
      <c r="F11" s="31" t="e">
        <f t="shared" ref="F11" si="6">(AVERAGEIF(D11:E11,"&gt;0",D11:E11))*10^3*100/8</f>
        <v>#DIV/0!</v>
      </c>
      <c r="G11" s="7"/>
      <c r="H11" s="5">
        <f t="array" ref="H11">IFERROR(INDEX($F$2:$F$181,SMALL(IF($G$2:$G$181=3,ROW($A$1:$A$163),""),ROW(A1))),"")</f>
        <v>2500000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75"/>
      <c r="B12" s="71"/>
      <c r="C12" s="11" t="s">
        <v>2</v>
      </c>
      <c r="D12" s="11">
        <v>9</v>
      </c>
      <c r="E12" s="11">
        <v>10</v>
      </c>
      <c r="F12" s="32">
        <f t="shared" ref="F12" si="7">(AVERAGEIF(D12:E12,"&gt;0",D12:E12))*10^4*100/8</f>
        <v>1187500</v>
      </c>
      <c r="G12" s="7"/>
      <c r="H12" s="5">
        <f t="array" ref="H12">IFERROR(INDEX($F$2:$F$181,SMALL(IF($G$2:$G$181=3,ROW($A$1:$A$163),""),ROW(A2))),"")</f>
        <v>2750000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5" thickBot="1" x14ac:dyDescent="0.35">
      <c r="A13" s="75"/>
      <c r="B13" s="72"/>
      <c r="C13" s="12" t="s">
        <v>3</v>
      </c>
      <c r="D13" s="12">
        <v>2</v>
      </c>
      <c r="E13" s="12">
        <v>0</v>
      </c>
      <c r="F13" s="33">
        <f t="shared" ref="F13" si="8">(AVERAGEIF(D13:E13,"&gt;0",D13:E13))*10^5*100/8</f>
        <v>2500000</v>
      </c>
      <c r="G13" s="7">
        <v>3</v>
      </c>
      <c r="H13" s="5">
        <f t="array" ref="H13">IFERROR(INDEX($F$2:$F$181,SMALL(IF($G$2:$G$181=3,ROW($A$1:$A$163),""),ROW(A3))),"")</f>
        <v>2625000</v>
      </c>
      <c r="I13" s="5">
        <f>AVERAGE(H11:H13)</f>
        <v>2625000</v>
      </c>
      <c r="J13" s="39">
        <f>STDEV(H11:H13)</f>
        <v>125000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75"/>
      <c r="B14" s="70">
        <v>2</v>
      </c>
      <c r="C14" s="8" t="s">
        <v>4</v>
      </c>
      <c r="D14" s="8" t="s">
        <v>77</v>
      </c>
      <c r="E14" s="8"/>
      <c r="F14" s="34" t="e">
        <f t="shared" ref="F14" si="9">(AVERAGEIF(D14:E14,"&gt;0",D14:E14))*10^3*100/8</f>
        <v>#DIV/0!</v>
      </c>
      <c r="G14" s="7"/>
      <c r="H14" s="5" t="s">
        <v>15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75"/>
      <c r="B15" s="71"/>
      <c r="C15" s="11" t="s">
        <v>2</v>
      </c>
      <c r="D15" s="11">
        <v>24</v>
      </c>
      <c r="E15" s="11">
        <v>20</v>
      </c>
      <c r="F15" s="32">
        <f t="shared" ref="F15" si="10">(AVERAGEIF(D15:E15,"&gt;0",D15:E15))*10^4*100/8</f>
        <v>2750000</v>
      </c>
      <c r="G15" s="7">
        <v>3</v>
      </c>
      <c r="H15" s="5">
        <f t="array" ref="H15">IFERROR(INDEX($F$2:$F$181,SMALL(IF($G$2:$G$181=4,ROW($A$1:$A$163),""),ROW(A1))),"")</f>
        <v>2243750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5" thickBot="1" x14ac:dyDescent="0.35">
      <c r="A16" s="75"/>
      <c r="B16" s="72"/>
      <c r="C16" s="12" t="s">
        <v>3</v>
      </c>
      <c r="D16" s="12">
        <v>5</v>
      </c>
      <c r="E16" s="12">
        <v>2</v>
      </c>
      <c r="F16" s="33">
        <f t="shared" ref="F16" si="11">(AVERAGEIF(D16:E16,"&gt;0",D16:E16))*10^5*100/8</f>
        <v>4375000</v>
      </c>
      <c r="G16" s="7"/>
      <c r="H16" s="5">
        <f t="array" ref="H16">IFERROR(INDEX($F$2:$F$181,SMALL(IF($G$2:$G$181=4,ROW($A$1:$A$163),""),ROW(A2))),"")</f>
        <v>2100000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75"/>
      <c r="B17" s="70">
        <v>3</v>
      </c>
      <c r="C17" s="8" t="s">
        <v>4</v>
      </c>
      <c r="D17" s="8" t="s">
        <v>77</v>
      </c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1937500</v>
      </c>
      <c r="I17" s="5">
        <f>AVERAGE(H15:H17)</f>
        <v>2093750</v>
      </c>
      <c r="J17" s="39">
        <f>STDEV(H15:H17)</f>
        <v>153220.63340164078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75"/>
      <c r="B18" s="71"/>
      <c r="C18" s="11" t="s">
        <v>2</v>
      </c>
      <c r="D18" s="11">
        <v>20</v>
      </c>
      <c r="E18" s="11">
        <v>22</v>
      </c>
      <c r="F18" s="32">
        <f t="shared" ref="F18" si="13">(AVERAGEIF(D18:E18,"&gt;0",D18:E18))*10^4*100/8</f>
        <v>2625000</v>
      </c>
      <c r="G18" s="7">
        <v>3</v>
      </c>
      <c r="H18" s="5" t="s">
        <v>16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5" thickBot="1" x14ac:dyDescent="0.35">
      <c r="A19" s="76"/>
      <c r="B19" s="73"/>
      <c r="C19" s="35" t="s">
        <v>3</v>
      </c>
      <c r="D19" s="35">
        <v>1</v>
      </c>
      <c r="E19" s="35">
        <v>0</v>
      </c>
      <c r="F19" s="36">
        <f t="shared" ref="F19" si="14">(AVERAGEIF(D19:E19,"&gt;0",D19:E19))*10^5*100/8</f>
        <v>1250000</v>
      </c>
      <c r="G19" s="7"/>
      <c r="H19" s="5">
        <f t="array" ref="H19">IFERROR(INDEX($F$2:$F$181,SMALL(IF($G$2:$G$181=5,ROW($A$1:$A$163),""),ROW(A1))),"")</f>
        <v>875000</v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5" thickTop="1" x14ac:dyDescent="0.3">
      <c r="A20" s="74" t="s">
        <v>71</v>
      </c>
      <c r="B20" s="77">
        <v>1</v>
      </c>
      <c r="C20" s="30" t="s">
        <v>4</v>
      </c>
      <c r="D20" s="58" t="s">
        <v>77</v>
      </c>
      <c r="E20" s="58"/>
      <c r="F20" s="31" t="e">
        <f t="shared" ref="F20" si="15">(AVERAGEIF(D20:E20,"&gt;0",D20:E20))*10^3*100/8</f>
        <v>#DIV/0!</v>
      </c>
      <c r="G20" s="7"/>
      <c r="H20" s="5">
        <f t="array" ref="H20">IFERROR(INDEX($F$2:$F$181,SMALL(IF($G$2:$G$181=5,ROW($A$1:$A$163),""),ROW(A2))),"")</f>
        <v>1500000</v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75"/>
      <c r="B21" s="71"/>
      <c r="C21" s="11" t="s">
        <v>2</v>
      </c>
      <c r="D21" s="11">
        <v>9</v>
      </c>
      <c r="E21" s="11">
        <v>5</v>
      </c>
      <c r="F21" s="32">
        <f t="shared" ref="F21" si="16">(AVERAGEIF(D21:E21,"&gt;0",D21:E21))*10^4*100/8</f>
        <v>875000</v>
      </c>
      <c r="G21" s="7">
        <v>5</v>
      </c>
      <c r="H21" s="5">
        <f t="array" ref="H21">IFERROR(INDEX($F$2:$F$181,SMALL(IF($G$2:$G$181=5,ROW($A$1:$A$163),""),ROW(A3))),"")</f>
        <v>1875000</v>
      </c>
      <c r="I21" s="5">
        <f>AVERAGE(H19:H21)</f>
        <v>1416666.6666666667</v>
      </c>
      <c r="J21" s="39">
        <f>STDEV(H19:H21)</f>
        <v>505181.48554092273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5" thickBot="1" x14ac:dyDescent="0.35">
      <c r="A22" s="75"/>
      <c r="B22" s="72"/>
      <c r="C22" s="12" t="s">
        <v>3</v>
      </c>
      <c r="D22" s="12">
        <v>2</v>
      </c>
      <c r="E22" s="12">
        <v>2</v>
      </c>
      <c r="F22" s="33">
        <f t="shared" ref="F22" si="17">(AVERAGEIF(D22:E22,"&gt;0",D22:E22))*10^5*100/8</f>
        <v>2500000</v>
      </c>
      <c r="G22" s="7"/>
      <c r="H22" s="5" t="s">
        <v>17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65" t="s">
        <v>66</v>
      </c>
      <c r="N22" s="46" t="s">
        <v>36</v>
      </c>
      <c r="O22" s="46" t="s">
        <v>37</v>
      </c>
      <c r="P22" s="46" t="s">
        <v>38</v>
      </c>
      <c r="Q22" s="46" t="s">
        <v>39</v>
      </c>
      <c r="R22" s="47" t="s">
        <v>40</v>
      </c>
      <c r="S22" s="47" t="s">
        <v>41</v>
      </c>
      <c r="T22" s="45" t="s">
        <v>42</v>
      </c>
      <c r="U22" s="45" t="s">
        <v>43</v>
      </c>
    </row>
    <row r="23" spans="1:21" x14ac:dyDescent="0.3">
      <c r="A23" s="75"/>
      <c r="B23" s="70">
        <v>2</v>
      </c>
      <c r="C23" s="8" t="s">
        <v>4</v>
      </c>
      <c r="D23" s="59" t="s">
        <v>77</v>
      </c>
      <c r="E23" s="59"/>
      <c r="F23" s="34" t="e">
        <f t="shared" ref="F23" si="18">(AVERAGEIF(D23:E23,"&gt;0",D23:E23))*10^3*100/8</f>
        <v>#DIV/0!</v>
      </c>
      <c r="G23" s="7"/>
      <c r="H23" s="5">
        <f t="array" ref="H23">IFERROR(INDEX($F$2:$F$181,SMALL(IF($G$2:$G$181=6,ROW($A$1:$A$163),""),ROW(A1))),"")</f>
        <v>250000</v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65" t="s">
        <v>69</v>
      </c>
      <c r="N23" s="9">
        <f>AVERAGE(N4:N21)</f>
        <v>2666666.6666666665</v>
      </c>
      <c r="O23" s="9">
        <f t="shared" ref="O23:U23" si="19">AVERAGE(O4:O21)</f>
        <v>105625</v>
      </c>
      <c r="P23" s="9">
        <f t="shared" si="19"/>
        <v>2625000</v>
      </c>
      <c r="Q23" s="9">
        <f t="shared" si="19"/>
        <v>2093750</v>
      </c>
      <c r="R23" s="9">
        <f t="shared" si="19"/>
        <v>1416666.6666666667</v>
      </c>
      <c r="S23" s="9">
        <f t="shared" si="19"/>
        <v>235416.66666666666</v>
      </c>
      <c r="T23" s="9">
        <f t="shared" si="19"/>
        <v>1729166.6666666667</v>
      </c>
      <c r="U23" s="9">
        <f t="shared" si="19"/>
        <v>2466666.6666666665</v>
      </c>
    </row>
    <row r="24" spans="1:21" x14ac:dyDescent="0.3">
      <c r="A24" s="75"/>
      <c r="B24" s="71"/>
      <c r="C24" s="11" t="s">
        <v>2</v>
      </c>
      <c r="D24" s="11">
        <v>8</v>
      </c>
      <c r="E24" s="11">
        <v>16</v>
      </c>
      <c r="F24" s="32">
        <f t="shared" ref="F24" si="20">(AVERAGEIF(D24:E24,"&gt;0",D24:E24))*10^4*100/8</f>
        <v>1500000</v>
      </c>
      <c r="G24" s="7">
        <v>5</v>
      </c>
      <c r="H24" s="5">
        <f t="array" ref="H24">IFERROR(INDEX($F$2:$F$181,SMALL(IF($G$2:$G$181=6,ROW($A$1:$A$163),""),ROW(A2))),"")</f>
        <v>143750</v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65" t="s">
        <v>68</v>
      </c>
      <c r="N24" s="46" t="s">
        <v>44</v>
      </c>
      <c r="O24" s="46" t="s">
        <v>45</v>
      </c>
      <c r="P24" s="46" t="s">
        <v>46</v>
      </c>
      <c r="Q24" s="46" t="s">
        <v>47</v>
      </c>
      <c r="R24" s="47" t="s">
        <v>48</v>
      </c>
      <c r="S24" s="47" t="s">
        <v>49</v>
      </c>
      <c r="T24" s="45" t="s">
        <v>51</v>
      </c>
      <c r="U24" s="45" t="s">
        <v>50</v>
      </c>
    </row>
    <row r="25" spans="1:21" ht="15" thickBot="1" x14ac:dyDescent="0.35">
      <c r="A25" s="75"/>
      <c r="B25" s="72"/>
      <c r="C25" s="12" t="s">
        <v>3</v>
      </c>
      <c r="D25" s="12">
        <v>1</v>
      </c>
      <c r="E25" s="12">
        <v>0</v>
      </c>
      <c r="F25" s="33">
        <f t="shared" ref="F25" si="21">(AVERAGEIF(D25:E25,"&gt;0",D25:E25))*10^5*100/8</f>
        <v>1250000</v>
      </c>
      <c r="G25" s="7"/>
      <c r="H25" s="5">
        <f t="array" ref="H25">IFERROR(INDEX($F$2:$F$181,SMALL(IF($G$2:$G$181=6,ROW($A$1:$A$163),""),ROW(A3))),"")</f>
        <v>312500</v>
      </c>
      <c r="I25" s="5">
        <f>AVERAGE(H23:H25)</f>
        <v>235416.66666666666</v>
      </c>
      <c r="J25" s="39">
        <f>STDEV(H23:H25)</f>
        <v>85314.980122680267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65" t="s">
        <v>67</v>
      </c>
      <c r="N25" s="14">
        <f t="shared" ref="N25:P25" si="22">STDEV(N4:N21)</f>
        <v>308305.17889476544</v>
      </c>
      <c r="O25" s="14">
        <f t="shared" si="22"/>
        <v>76395.86458048629</v>
      </c>
      <c r="P25" s="14">
        <f t="shared" si="22"/>
        <v>125000</v>
      </c>
      <c r="Q25" s="14">
        <f>STDEV(Q4:Q21)</f>
        <v>153220.63340164078</v>
      </c>
      <c r="R25" s="14">
        <f t="shared" ref="R25:U25" si="23">STDEV(R4:R21)</f>
        <v>505181.48554092273</v>
      </c>
      <c r="S25" s="14">
        <f t="shared" si="23"/>
        <v>85314.980122680267</v>
      </c>
      <c r="T25" s="14">
        <f t="shared" si="23"/>
        <v>473242.36215002247</v>
      </c>
      <c r="U25" s="14">
        <f t="shared" si="23"/>
        <v>516044.65246074781</v>
      </c>
    </row>
    <row r="26" spans="1:21" x14ac:dyDescent="0.3">
      <c r="A26" s="75"/>
      <c r="B26" s="70">
        <v>3</v>
      </c>
      <c r="C26" s="8" t="s">
        <v>4</v>
      </c>
      <c r="D26" s="59" t="s">
        <v>77</v>
      </c>
      <c r="E26" s="59"/>
      <c r="F26" s="34" t="e">
        <f t="shared" ref="F26" si="24">(AVERAGEIF(D26:E26,"&gt;0",D26:E26))*10^3*100/8</f>
        <v>#DIV/0!</v>
      </c>
      <c r="G26" s="7"/>
      <c r="H26" s="5" t="s">
        <v>18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64"/>
      <c r="N26" s="14"/>
      <c r="O26" s="9"/>
      <c r="P26" s="9"/>
      <c r="Q26" s="9"/>
      <c r="R26" s="10"/>
      <c r="S26" s="10"/>
    </row>
    <row r="27" spans="1:21" x14ac:dyDescent="0.3">
      <c r="A27" s="75"/>
      <c r="B27" s="71"/>
      <c r="C27" s="11" t="s">
        <v>2</v>
      </c>
      <c r="D27" s="11">
        <v>6</v>
      </c>
      <c r="E27" s="11">
        <v>14</v>
      </c>
      <c r="F27" s="32">
        <f t="shared" ref="F27" si="25">(AVERAGEIF(D27:E27,"&gt;0",D27:E27))*10^4*100/8</f>
        <v>1250000</v>
      </c>
      <c r="G27" s="7"/>
      <c r="H27" s="5">
        <f t="array" ref="H27">IFERROR(INDEX($F$2:$F$181,SMALL(IF($G$2:$G$181=7,ROW($A$1:$A$163),""),ROW(A1))),"")</f>
        <v>1187500</v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5" thickBot="1" x14ac:dyDescent="0.35">
      <c r="A28" s="76"/>
      <c r="B28" s="73"/>
      <c r="C28" s="35" t="s">
        <v>3</v>
      </c>
      <c r="D28" s="35">
        <v>2</v>
      </c>
      <c r="E28" s="35">
        <v>1</v>
      </c>
      <c r="F28" s="36">
        <f t="shared" ref="F28" si="26">(AVERAGEIF(D28:E28,"&gt;0",D28:E28))*10^5*100/8</f>
        <v>1875000</v>
      </c>
      <c r="G28" s="7">
        <v>5</v>
      </c>
      <c r="H28" s="5">
        <f t="array" ref="H28">IFERROR(INDEX($F$2:$F$181,SMALL(IF($G$2:$G$181=7,ROW($A$1:$A$163),""),ROW(A2))),"")</f>
        <v>2062500</v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25.246548323471398</v>
      </c>
      <c r="P28" s="9"/>
      <c r="Q28" s="9">
        <f t="shared" ref="Q28:U28" si="27">P23/Q23</f>
        <v>1.2537313432835822</v>
      </c>
      <c r="R28" s="9"/>
      <c r="S28" s="9">
        <f t="shared" si="27"/>
        <v>6.0176991150442483</v>
      </c>
      <c r="T28" s="9"/>
      <c r="U28" s="9">
        <f t="shared" si="27"/>
        <v>0.7010135135135136</v>
      </c>
    </row>
    <row r="29" spans="1:21" ht="15" thickTop="1" x14ac:dyDescent="0.3">
      <c r="A29" s="74" t="s">
        <v>72</v>
      </c>
      <c r="B29" s="77">
        <v>1</v>
      </c>
      <c r="C29" s="30" t="s">
        <v>4</v>
      </c>
      <c r="D29" s="58" t="s">
        <v>77</v>
      </c>
      <c r="E29" s="58"/>
      <c r="F29" s="31" t="e">
        <f t="shared" ref="F29" si="28">(AVERAGEIF(D29:E29,"&gt;0",D29:E29))*10^3*100/8</f>
        <v>#DIV/0!</v>
      </c>
      <c r="G29" s="7"/>
      <c r="H29" s="5">
        <f t="array" ref="H29">IFERROR(INDEX($F$2:$F$181,SMALL(IF($G$2:$G$181=7,ROW($A$1:$A$163),""),ROW(A3))),"")</f>
        <v>1937500</v>
      </c>
      <c r="I29" s="5">
        <f>AVERAGE(H27:H29)</f>
        <v>1729166.6666666667</v>
      </c>
      <c r="J29" s="39">
        <f>STDEV(H27:H29)</f>
        <v>473242.36215002247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75"/>
      <c r="B30" s="71"/>
      <c r="C30" s="11" t="s">
        <v>2</v>
      </c>
      <c r="D30" s="11">
        <v>10</v>
      </c>
      <c r="E30" s="11">
        <v>9</v>
      </c>
      <c r="F30" s="32">
        <f t="shared" ref="F30" si="29">(AVERAGEIF(D30:E30,"&gt;0",D30:E30))*10^4*100/8</f>
        <v>1187500</v>
      </c>
      <c r="G30" s="7">
        <v>7</v>
      </c>
      <c r="H30" s="5" t="s">
        <v>19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5" thickBot="1" x14ac:dyDescent="0.35">
      <c r="A31" s="75"/>
      <c r="B31" s="72"/>
      <c r="C31" s="12" t="s">
        <v>3</v>
      </c>
      <c r="D31" s="12">
        <v>0</v>
      </c>
      <c r="E31" s="12"/>
      <c r="F31" s="33" t="e">
        <f t="shared" ref="F31" si="30">(AVERAGEIF(D31:E31,"&gt;0",D31:E31))*10^5*100/8</f>
        <v>#DIV/0!</v>
      </c>
      <c r="G31" s="7"/>
      <c r="H31" s="5">
        <f t="array" ref="H31">IFERROR(INDEX($F$2:$F$181,SMALL(IF($G$2:$G$181=8,ROW($A$1:$A$163),""),ROW(A1))),"")</f>
        <v>2162500</v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x14ac:dyDescent="0.3">
      <c r="A32" s="75"/>
      <c r="B32" s="70">
        <v>2</v>
      </c>
      <c r="C32" s="8" t="s">
        <v>4</v>
      </c>
      <c r="D32" s="59" t="s">
        <v>77</v>
      </c>
      <c r="E32" s="59"/>
      <c r="F32" s="34" t="e">
        <f t="shared" ref="F32" si="31">(AVERAGEIF(D32:E32,"&gt;0",D32:E32))*10^3*100/8</f>
        <v>#DIV/0!</v>
      </c>
      <c r="G32" s="7"/>
      <c r="H32" s="5">
        <f t="array" ref="H32">IFERROR(INDEX($F$2:$F$181,SMALL(IF($G$2:$G$181=8,ROW($A$1:$A$163),""),ROW(A2))),"")</f>
        <v>2175000</v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75"/>
      <c r="B33" s="71"/>
      <c r="C33" s="11" t="s">
        <v>2</v>
      </c>
      <c r="D33" s="11">
        <v>15</v>
      </c>
      <c r="E33" s="11">
        <v>18</v>
      </c>
      <c r="F33" s="32">
        <f t="shared" ref="F33" si="32">(AVERAGEIF(D33:E33,"&gt;0",D33:E33))*10^4*100/8</f>
        <v>2062500</v>
      </c>
      <c r="G33" s="7">
        <v>7</v>
      </c>
      <c r="H33" s="5">
        <f t="array" ref="H33">IFERROR(INDEX($F$2:$F$181,SMALL(IF($G$2:$G$181=8,ROW($A$1:$A$163),""),ROW(A3))),"")</f>
        <v>3062500</v>
      </c>
      <c r="I33" s="5">
        <f>AVERAGE(H31:H33)</f>
        <v>2466666.6666666665</v>
      </c>
      <c r="J33" s="39">
        <f>STDEV(H31:H33)</f>
        <v>516044.65246074781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5" thickBot="1" x14ac:dyDescent="0.35">
      <c r="A34" s="75"/>
      <c r="B34" s="72"/>
      <c r="C34" s="12" t="s">
        <v>3</v>
      </c>
      <c r="D34" s="12">
        <v>0</v>
      </c>
      <c r="E34" s="12"/>
      <c r="F34" s="33" t="e">
        <f t="shared" ref="F34" si="33">(AVERAGEIF(D34:E34,"&gt;0",D34:E34))*10^5*100/8</f>
        <v>#DIV/0!</v>
      </c>
      <c r="G34" s="7"/>
      <c r="H34" s="5" t="s">
        <v>20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x14ac:dyDescent="0.3">
      <c r="A35" s="75"/>
      <c r="B35" s="70">
        <v>3</v>
      </c>
      <c r="C35" s="8" t="s">
        <v>4</v>
      </c>
      <c r="D35" s="59" t="s">
        <v>77</v>
      </c>
      <c r="E35" s="59"/>
      <c r="F35" s="34" t="e">
        <f t="shared" ref="F35" si="34">(AVERAGEIF(D35:E35,"&gt;0",D35:E35))*10^3*100/8</f>
        <v>#DIV/0!</v>
      </c>
      <c r="G35" s="7"/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75"/>
      <c r="B36" s="71"/>
      <c r="C36" s="11" t="s">
        <v>2</v>
      </c>
      <c r="D36" s="11">
        <v>15</v>
      </c>
      <c r="E36" s="11">
        <v>16</v>
      </c>
      <c r="F36" s="32">
        <f t="shared" ref="F36" si="35">(AVERAGEIF(D36:E36,"&gt;0",D36:E36))*10^4*100/8</f>
        <v>1937500</v>
      </c>
      <c r="G36" s="7">
        <v>7</v>
      </c>
      <c r="H36" s="5" t="str">
        <f t="array" ref="H36">IFERROR(INDEX($F$2:$F$181,SMALL(IF($G$2:$G$181=9,ROW($A$1:$A$163),""),ROW(A2))),"")</f>
        <v/>
      </c>
      <c r="J36" s="40"/>
      <c r="K36" s="13"/>
      <c r="L36" s="13"/>
      <c r="M36" s="66"/>
      <c r="N36" s="14"/>
      <c r="O36" s="9"/>
      <c r="P36" s="9"/>
      <c r="Q36" s="9"/>
      <c r="R36" s="10"/>
      <c r="S36" s="10"/>
    </row>
    <row r="37" spans="1:19" ht="15" thickBot="1" x14ac:dyDescent="0.35">
      <c r="A37" s="76"/>
      <c r="B37" s="73"/>
      <c r="C37" s="35" t="s">
        <v>3</v>
      </c>
      <c r="D37" s="35">
        <v>2</v>
      </c>
      <c r="E37" s="35">
        <v>2</v>
      </c>
      <c r="F37" s="36">
        <f t="shared" ref="F37" si="36">(AVERAGEIF(D37:E37,"&gt;0",D37:E37))*10^5*100/8</f>
        <v>2500000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6"/>
      <c r="N37" s="14"/>
      <c r="O37" s="9"/>
      <c r="P37" s="9"/>
      <c r="Q37" s="9"/>
      <c r="R37" s="10"/>
      <c r="S37" s="10"/>
    </row>
    <row r="38" spans="1:19" ht="15" thickTop="1" x14ac:dyDescent="0.3">
      <c r="A38" s="83" t="s">
        <v>55</v>
      </c>
      <c r="B38" s="82">
        <v>1</v>
      </c>
      <c r="C38" s="30" t="s">
        <v>56</v>
      </c>
      <c r="D38" s="30">
        <v>213</v>
      </c>
      <c r="E38" s="30"/>
      <c r="F38" s="34">
        <f>(AVERAGEIF(D38:E38,"&gt;0",D38:E38))*10^2*100/8</f>
        <v>266250</v>
      </c>
      <c r="G38" s="7"/>
      <c r="H38" s="5" t="s">
        <v>21</v>
      </c>
      <c r="J38" s="40"/>
      <c r="K38" s="13"/>
      <c r="L38" s="13"/>
      <c r="M38" s="66"/>
      <c r="N38" s="14"/>
      <c r="O38" s="9"/>
      <c r="P38" s="14"/>
      <c r="Q38" s="14"/>
      <c r="R38" s="10"/>
      <c r="S38" s="10"/>
    </row>
    <row r="39" spans="1:19" x14ac:dyDescent="0.3">
      <c r="A39" s="75"/>
      <c r="B39" s="79"/>
      <c r="C39" s="11" t="s">
        <v>4</v>
      </c>
      <c r="D39" s="11">
        <v>20</v>
      </c>
      <c r="E39" s="11">
        <v>20</v>
      </c>
      <c r="F39" s="32">
        <f>(AVERAGEIF(D39:E39,"&gt;0",D39:E39))*10^3*100/8</f>
        <v>250000</v>
      </c>
      <c r="G39" s="7"/>
      <c r="H39" s="5" t="str">
        <f t="array" ref="H39">IFERROR(INDEX($F$2:$F$181,SMALL(IF($G$2:$G$181=10,ROW($A$1:$A$163),""),ROW(A1))),"")</f>
        <v/>
      </c>
      <c r="J39" s="40"/>
      <c r="K39" s="13"/>
      <c r="L39" s="13"/>
      <c r="M39" s="66"/>
      <c r="N39" s="14"/>
      <c r="O39" s="9"/>
      <c r="P39" s="14"/>
      <c r="Q39" s="14"/>
      <c r="R39" s="10"/>
      <c r="S39" s="10"/>
    </row>
    <row r="40" spans="1:19" ht="15" thickBot="1" x14ac:dyDescent="0.35">
      <c r="A40" s="75"/>
      <c r="B40" s="81"/>
      <c r="C40" s="12" t="s">
        <v>2</v>
      </c>
      <c r="D40" s="12">
        <v>2</v>
      </c>
      <c r="E40" s="12">
        <v>1</v>
      </c>
      <c r="F40" s="36">
        <f>(AVERAGEIF(D40:E40,"&gt;0",D40:E40))*10^4*100/8</f>
        <v>187500</v>
      </c>
      <c r="G40" s="7">
        <v>2</v>
      </c>
      <c r="H40" s="5" t="str">
        <f t="array" ref="H40">IFERROR(INDEX($F$2:$F$181,SMALL(IF($G$2:$G$181=10,ROW($A$1:$A$163),""),ROW(A2))),"")</f>
        <v/>
      </c>
      <c r="J40" s="40"/>
      <c r="K40" s="13"/>
      <c r="L40" s="13"/>
      <c r="M40" s="66"/>
      <c r="N40" s="14"/>
      <c r="O40" s="9"/>
      <c r="P40" s="14"/>
      <c r="Q40" s="14"/>
      <c r="R40" s="10"/>
      <c r="S40" s="10"/>
    </row>
    <row r="41" spans="1:19" ht="15" thickTop="1" x14ac:dyDescent="0.3">
      <c r="A41" s="75"/>
      <c r="B41" s="78">
        <v>2</v>
      </c>
      <c r="C41" s="30" t="s">
        <v>56</v>
      </c>
      <c r="D41" s="8">
        <v>28</v>
      </c>
      <c r="E41" s="8">
        <v>30</v>
      </c>
      <c r="F41" s="34">
        <f t="shared" ref="F41" si="37">(AVERAGEIF(D41:E41,"&gt;0",D41:E41))*10^2*100/8</f>
        <v>36250</v>
      </c>
      <c r="G41" s="7">
        <v>2</v>
      </c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6"/>
      <c r="N41" s="14"/>
      <c r="O41" s="9"/>
      <c r="P41" s="14"/>
      <c r="Q41" s="14"/>
      <c r="R41" s="10"/>
      <c r="S41" s="10"/>
    </row>
    <row r="42" spans="1:19" x14ac:dyDescent="0.3">
      <c r="A42" s="75"/>
      <c r="B42" s="79"/>
      <c r="C42" s="11" t="s">
        <v>4</v>
      </c>
      <c r="D42" s="11">
        <v>3</v>
      </c>
      <c r="E42" s="11">
        <v>0</v>
      </c>
      <c r="F42" s="32">
        <f t="shared" ref="F42" si="38">(AVERAGEIF(D42:E42,"&gt;0",D42:E42))*10^3*100/8</f>
        <v>37500</v>
      </c>
      <c r="G42" s="7"/>
      <c r="H42" s="5" t="s">
        <v>22</v>
      </c>
      <c r="J42" s="40"/>
      <c r="K42" s="13"/>
      <c r="L42" s="13"/>
      <c r="M42" s="66"/>
      <c r="N42" s="14"/>
      <c r="O42" s="9"/>
      <c r="P42" s="14"/>
      <c r="Q42" s="14"/>
      <c r="R42" s="10"/>
      <c r="S42" s="10"/>
    </row>
    <row r="43" spans="1:19" ht="15" thickBot="1" x14ac:dyDescent="0.35">
      <c r="A43" s="75"/>
      <c r="B43" s="81"/>
      <c r="C43" s="12" t="s">
        <v>2</v>
      </c>
      <c r="D43" s="12">
        <v>0</v>
      </c>
      <c r="E43" s="12"/>
      <c r="F43" s="36" t="e">
        <f t="shared" ref="F43" si="39">(AVERAGEIF(D43:E43,"&gt;0",D43:E43))*10^4*100/8</f>
        <v>#DIV/0!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6"/>
      <c r="N43" s="14"/>
      <c r="O43" s="9"/>
      <c r="P43" s="14"/>
      <c r="Q43" s="14"/>
      <c r="R43" s="10"/>
      <c r="S43" s="10"/>
    </row>
    <row r="44" spans="1:19" ht="15" thickTop="1" x14ac:dyDescent="0.3">
      <c r="A44" s="75"/>
      <c r="B44" s="78">
        <v>3</v>
      </c>
      <c r="C44" s="30" t="s">
        <v>56</v>
      </c>
      <c r="D44" s="8">
        <v>66</v>
      </c>
      <c r="E44" s="8">
        <v>83</v>
      </c>
      <c r="F44" s="34">
        <f t="shared" ref="F44" si="40">(AVERAGEIF(D44:E44,"&gt;0",D44:E44))*10^2*100/8</f>
        <v>93125</v>
      </c>
      <c r="G44" s="7">
        <v>2</v>
      </c>
      <c r="H44" s="5" t="str">
        <f t="array" ref="H44">IFERROR(INDEX($F$2:$F$181,SMALL(IF($G$2:$G$181=11,ROW($A$1:$A$163),""),ROW(A2))),"")</f>
        <v/>
      </c>
      <c r="J44" s="40"/>
      <c r="K44" s="13"/>
      <c r="L44" s="13"/>
      <c r="M44" s="66"/>
      <c r="N44" s="14"/>
      <c r="O44" s="9"/>
      <c r="P44" s="14"/>
      <c r="Q44" s="14"/>
      <c r="R44" s="10"/>
      <c r="S44" s="10"/>
    </row>
    <row r="45" spans="1:19" x14ac:dyDescent="0.3">
      <c r="A45" s="75"/>
      <c r="B45" s="79"/>
      <c r="C45" s="11" t="s">
        <v>4</v>
      </c>
      <c r="D45" s="11">
        <v>7</v>
      </c>
      <c r="E45" s="11">
        <v>4</v>
      </c>
      <c r="F45" s="32">
        <f t="shared" ref="F45" si="41">(AVERAGEIF(D45:E45,"&gt;0",D45:E45))*10^3*100/8</f>
        <v>68750</v>
      </c>
      <c r="G45" s="7"/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6"/>
      <c r="N45" s="14"/>
      <c r="O45" s="9"/>
      <c r="P45" s="14"/>
      <c r="Q45" s="14"/>
      <c r="R45" s="10"/>
      <c r="S45" s="10"/>
    </row>
    <row r="46" spans="1:19" ht="15" thickBot="1" x14ac:dyDescent="0.35">
      <c r="A46" s="76"/>
      <c r="B46" s="80"/>
      <c r="C46" s="12" t="s">
        <v>2</v>
      </c>
      <c r="D46" s="35">
        <v>0</v>
      </c>
      <c r="E46" s="35"/>
      <c r="F46" s="36" t="e">
        <f t="shared" ref="F46" si="42">(AVERAGEIF(D46:E46,"&gt;0",D46:E46))*10^4*100/8</f>
        <v>#DIV/0!</v>
      </c>
      <c r="G46" s="7"/>
      <c r="H46" s="5" t="s">
        <v>23</v>
      </c>
      <c r="J46" s="40"/>
      <c r="K46" s="13"/>
      <c r="L46" s="13"/>
      <c r="M46" s="66"/>
      <c r="N46" s="14"/>
      <c r="O46" s="9"/>
      <c r="P46" s="14"/>
      <c r="Q46" s="14"/>
      <c r="R46" s="10"/>
      <c r="S46" s="10"/>
    </row>
    <row r="47" spans="1:19" ht="15" thickTop="1" x14ac:dyDescent="0.3">
      <c r="A47" s="83" t="s">
        <v>73</v>
      </c>
      <c r="B47" s="82">
        <v>1</v>
      </c>
      <c r="C47" s="30" t="s">
        <v>56</v>
      </c>
      <c r="D47" s="30" t="s">
        <v>80</v>
      </c>
      <c r="E47" s="30"/>
      <c r="F47" s="34" t="e">
        <f t="shared" ref="F47" si="43">(AVERAGEIF(D47:E47,"&gt;0",D47:E47))*10^2*100/8</f>
        <v>#DIV/0!</v>
      </c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6"/>
      <c r="N47" s="14"/>
      <c r="O47" s="9"/>
      <c r="P47" s="14"/>
      <c r="Q47" s="14"/>
      <c r="R47" s="10"/>
      <c r="S47" s="10"/>
    </row>
    <row r="48" spans="1:19" x14ac:dyDescent="0.3">
      <c r="A48" s="75"/>
      <c r="B48" s="79"/>
      <c r="C48" s="11" t="s">
        <v>4</v>
      </c>
      <c r="D48" s="11">
        <v>193</v>
      </c>
      <c r="E48" s="11">
        <v>166</v>
      </c>
      <c r="F48" s="32">
        <f t="shared" ref="F48" si="44">(AVERAGEIF(D48:E48,"&gt;0",D48:E48))*10^3*100/8</f>
        <v>2243750</v>
      </c>
      <c r="G48" s="7">
        <v>4</v>
      </c>
      <c r="H48" s="5" t="str">
        <f t="array" ref="H48">IFERROR(INDEX($F$2:$F$181,SMALL(IF($G$2:$G$181=12,ROW($A$1:$A$163),""),ROW(A2))),"")</f>
        <v/>
      </c>
      <c r="J48" s="40"/>
      <c r="K48" s="13"/>
      <c r="L48" s="13"/>
      <c r="M48" s="66"/>
      <c r="N48" s="14"/>
      <c r="O48" s="9"/>
      <c r="P48" s="14"/>
      <c r="Q48" s="14"/>
      <c r="R48" s="10"/>
      <c r="S48" s="10"/>
    </row>
    <row r="49" spans="1:21" ht="15" thickBot="1" x14ac:dyDescent="0.35">
      <c r="A49" s="75"/>
      <c r="B49" s="81"/>
      <c r="C49" s="12" t="s">
        <v>2</v>
      </c>
      <c r="D49" s="12">
        <v>15</v>
      </c>
      <c r="E49" s="12">
        <v>12</v>
      </c>
      <c r="F49" s="36">
        <f t="shared" ref="F49" si="45">(AVERAGEIF(D49:E49,"&gt;0",D49:E49))*10^4*100/8</f>
        <v>1687500</v>
      </c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6"/>
      <c r="N49" s="14"/>
      <c r="O49" s="9"/>
      <c r="P49" s="14"/>
      <c r="Q49" s="14"/>
      <c r="R49" s="10"/>
      <c r="S49" s="10"/>
    </row>
    <row r="50" spans="1:21" ht="15" thickTop="1" x14ac:dyDescent="0.3">
      <c r="A50" s="75"/>
      <c r="B50" s="78">
        <v>2</v>
      </c>
      <c r="C50" s="30" t="s">
        <v>56</v>
      </c>
      <c r="D50" s="8" t="s">
        <v>80</v>
      </c>
      <c r="E50" s="8"/>
      <c r="F50" s="34" t="e">
        <f t="shared" ref="F50" si="46">(AVERAGEIF(D50:E50,"&gt;0",D50:E50))*10^2*100/8</f>
        <v>#DIV/0!</v>
      </c>
      <c r="G50" s="7"/>
      <c r="H50" s="5" t="s">
        <v>24</v>
      </c>
      <c r="J50" s="40"/>
      <c r="K50" s="13"/>
      <c r="L50" s="13"/>
      <c r="M50" s="66"/>
      <c r="N50" s="14"/>
      <c r="O50" s="9"/>
      <c r="P50" s="14"/>
      <c r="Q50" s="14"/>
      <c r="R50" s="10"/>
      <c r="S50" s="10"/>
    </row>
    <row r="51" spans="1:21" x14ac:dyDescent="0.3">
      <c r="A51" s="75"/>
      <c r="B51" s="79"/>
      <c r="C51" s="11" t="s">
        <v>4</v>
      </c>
      <c r="D51" s="11">
        <v>160</v>
      </c>
      <c r="E51" s="11">
        <v>176</v>
      </c>
      <c r="F51" s="32">
        <f t="shared" ref="F51" si="47">(AVERAGEIF(D51:E51,"&gt;0",D51:E51))*10^3*100/8</f>
        <v>2100000</v>
      </c>
      <c r="G51" s="7">
        <v>4</v>
      </c>
      <c r="H51" s="5" t="str">
        <f t="array" ref="H51">IFERROR(INDEX($F$2:$F$181,SMALL(IF($G$2:$G$181=13,ROW($A$1:$A$163),""),ROW(A1))),"")</f>
        <v/>
      </c>
      <c r="J51" s="40"/>
      <c r="K51" s="13"/>
      <c r="L51" s="13"/>
      <c r="M51" s="66"/>
      <c r="N51" s="14"/>
      <c r="O51" s="9"/>
      <c r="P51" s="14"/>
      <c r="Q51" s="14"/>
      <c r="R51" s="10"/>
      <c r="S51" s="10"/>
    </row>
    <row r="52" spans="1:21" ht="15" thickBot="1" x14ac:dyDescent="0.35">
      <c r="A52" s="75"/>
      <c r="B52" s="81"/>
      <c r="C52" s="12" t="s">
        <v>2</v>
      </c>
      <c r="D52" s="12">
        <v>19</v>
      </c>
      <c r="E52" s="12">
        <v>13</v>
      </c>
      <c r="F52" s="36">
        <f t="shared" ref="F52" si="48">(AVERAGEIF(D52:E52,"&gt;0",D52:E52))*10^4*100/8</f>
        <v>2000000</v>
      </c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6"/>
      <c r="N52" s="14"/>
      <c r="O52" s="9"/>
      <c r="P52" s="14"/>
      <c r="Q52" s="14"/>
      <c r="R52" s="10"/>
      <c r="S52" s="10"/>
    </row>
    <row r="53" spans="1:21" ht="15" thickTop="1" x14ac:dyDescent="0.3">
      <c r="A53" s="75"/>
      <c r="B53" s="78">
        <v>3</v>
      </c>
      <c r="C53" s="30" t="s">
        <v>56</v>
      </c>
      <c r="D53" s="8" t="s">
        <v>80</v>
      </c>
      <c r="E53" s="8"/>
      <c r="F53" s="34" t="e">
        <f t="shared" ref="F53" si="49">(AVERAGEIF(D53:E53,"&gt;0",D53:E53))*10^2*100/8</f>
        <v>#DIV/0!</v>
      </c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6"/>
      <c r="N53" s="14"/>
      <c r="O53" s="9"/>
      <c r="P53" s="14"/>
      <c r="Q53" s="14"/>
      <c r="R53" s="10"/>
      <c r="S53" s="10"/>
    </row>
    <row r="54" spans="1:21" x14ac:dyDescent="0.3">
      <c r="A54" s="75"/>
      <c r="B54" s="79"/>
      <c r="C54" s="11" t="s">
        <v>4</v>
      </c>
      <c r="D54" s="11">
        <v>157</v>
      </c>
      <c r="E54" s="11">
        <v>153</v>
      </c>
      <c r="F54" s="32">
        <f t="shared" ref="F54" si="50">(AVERAGEIF(D54:E54,"&gt;0",D54:E54))*10^3*100/8</f>
        <v>1937500</v>
      </c>
      <c r="G54" s="7">
        <v>4</v>
      </c>
      <c r="H54" s="5" t="s">
        <v>25</v>
      </c>
      <c r="J54" s="40"/>
      <c r="K54" s="13"/>
      <c r="L54" s="13"/>
      <c r="M54" s="66"/>
      <c r="N54" s="14"/>
      <c r="O54" s="9"/>
      <c r="P54" s="14"/>
      <c r="Q54" s="14"/>
      <c r="R54" s="10"/>
      <c r="S54" s="10"/>
    </row>
    <row r="55" spans="1:21" ht="15" thickBot="1" x14ac:dyDescent="0.35">
      <c r="A55" s="76"/>
      <c r="B55" s="80"/>
      <c r="C55" s="12" t="s">
        <v>2</v>
      </c>
      <c r="D55" s="35">
        <v>8</v>
      </c>
      <c r="E55" s="35">
        <v>12</v>
      </c>
      <c r="F55" s="36">
        <f t="shared" ref="F55" si="51">(AVERAGEIF(D55:E55,"&gt;0",D55:E55))*10^4*100/8</f>
        <v>1250000</v>
      </c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6"/>
      <c r="N55" s="14"/>
      <c r="O55" s="9"/>
      <c r="P55" s="14"/>
      <c r="Q55" s="14"/>
      <c r="R55" s="10"/>
      <c r="S55" s="10"/>
    </row>
    <row r="56" spans="1:21" ht="15" thickTop="1" x14ac:dyDescent="0.3">
      <c r="A56" s="83" t="s">
        <v>74</v>
      </c>
      <c r="B56" s="82">
        <v>1</v>
      </c>
      <c r="C56" s="30" t="s">
        <v>56</v>
      </c>
      <c r="D56" s="30">
        <v>235</v>
      </c>
      <c r="E56" s="30">
        <v>225</v>
      </c>
      <c r="F56" s="34">
        <f t="shared" ref="F56" si="52">(AVERAGEIF(D56:E56,"&gt;0",D56:E56))*10^2*100/8</f>
        <v>287500</v>
      </c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6"/>
      <c r="N56" s="14"/>
      <c r="O56" s="9"/>
      <c r="P56" s="14"/>
      <c r="Q56" s="14"/>
      <c r="R56" s="10"/>
      <c r="S56" s="10"/>
    </row>
    <row r="57" spans="1:21" x14ac:dyDescent="0.3">
      <c r="A57" s="75"/>
      <c r="B57" s="79"/>
      <c r="C57" s="11" t="s">
        <v>4</v>
      </c>
      <c r="D57" s="11">
        <v>26</v>
      </c>
      <c r="E57" s="11">
        <v>23</v>
      </c>
      <c r="F57" s="32">
        <f t="shared" ref="F57" si="53">(AVERAGEIF(D57:E57,"&gt;0",D57:E57))*10^3*100/8</f>
        <v>306250</v>
      </c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6"/>
      <c r="N57" s="14"/>
      <c r="O57" s="9"/>
      <c r="P57" s="14"/>
      <c r="Q57" s="14"/>
      <c r="R57" s="10"/>
      <c r="S57" s="10"/>
    </row>
    <row r="58" spans="1:21" ht="15" thickBot="1" x14ac:dyDescent="0.35">
      <c r="A58" s="75"/>
      <c r="B58" s="81"/>
      <c r="C58" s="12" t="s">
        <v>2</v>
      </c>
      <c r="D58" s="12">
        <v>2</v>
      </c>
      <c r="E58" s="12">
        <v>2</v>
      </c>
      <c r="F58" s="36">
        <f t="shared" ref="F58" si="54">(AVERAGEIF(D58:E58,"&gt;0",D58:E58))*10^4*100/8</f>
        <v>250000</v>
      </c>
      <c r="G58" s="7">
        <v>6</v>
      </c>
      <c r="H58" s="5" t="s">
        <v>26</v>
      </c>
      <c r="J58" s="40"/>
      <c r="K58" s="13"/>
      <c r="L58" s="13"/>
      <c r="M58" s="66"/>
      <c r="N58" s="14"/>
      <c r="O58" s="9"/>
      <c r="P58" s="14"/>
      <c r="Q58" s="14"/>
      <c r="R58" s="10"/>
      <c r="S58" s="10"/>
    </row>
    <row r="59" spans="1:21" ht="15" thickTop="1" x14ac:dyDescent="0.3">
      <c r="A59" s="75"/>
      <c r="B59" s="78">
        <v>2</v>
      </c>
      <c r="C59" s="30" t="s">
        <v>56</v>
      </c>
      <c r="D59" s="8">
        <v>115</v>
      </c>
      <c r="E59" s="8">
        <v>104</v>
      </c>
      <c r="F59" s="34">
        <f t="shared" ref="F59" si="55">(AVERAGEIF(D59:E59,"&gt;0",D59:E59))*10^2*100/8</f>
        <v>136875</v>
      </c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6"/>
      <c r="N59" s="14"/>
      <c r="O59" s="9"/>
      <c r="P59" s="14"/>
      <c r="Q59" s="14"/>
      <c r="R59" s="10"/>
      <c r="S59" s="10"/>
    </row>
    <row r="60" spans="1:21" ht="15" thickBot="1" x14ac:dyDescent="0.35">
      <c r="A60" s="75"/>
      <c r="B60" s="79"/>
      <c r="C60" s="11" t="s">
        <v>4</v>
      </c>
      <c r="D60" s="11">
        <v>18</v>
      </c>
      <c r="E60" s="11">
        <v>5</v>
      </c>
      <c r="F60" s="32">
        <f t="shared" ref="F60" si="56">(AVERAGEIF(D60:E60,"&gt;0",D60:E60))*10^3*100/8</f>
        <v>143750</v>
      </c>
      <c r="G60" s="7">
        <v>6</v>
      </c>
      <c r="H60" s="5" t="str">
        <f t="array" ref="H60">IFERROR(INDEX($F$2:$F$181,SMALL(IF($G$2:$G$181=15,ROW($A$1:$A$163),""),ROW(A2))),"")</f>
        <v/>
      </c>
      <c r="J60" s="40"/>
      <c r="K60" s="13"/>
      <c r="L60" s="13"/>
      <c r="M60" s="66"/>
      <c r="N60" s="42"/>
      <c r="O60" s="9"/>
      <c r="P60" s="42"/>
      <c r="Q60" s="42"/>
      <c r="R60" s="43"/>
      <c r="S60" s="43"/>
      <c r="T60" s="44"/>
      <c r="U60" s="44"/>
    </row>
    <row r="61" spans="1:21" ht="15" thickBot="1" x14ac:dyDescent="0.35">
      <c r="A61" s="75"/>
      <c r="B61" s="81"/>
      <c r="C61" s="12" t="s">
        <v>2</v>
      </c>
      <c r="D61" s="12">
        <v>1</v>
      </c>
      <c r="E61" s="12">
        <v>0</v>
      </c>
      <c r="F61" s="36">
        <f t="shared" ref="F61" si="57">(AVERAGEIF(D61:E61,"&gt;0",D61:E61))*10^4*100/8</f>
        <v>125000</v>
      </c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6"/>
      <c r="N61" s="14"/>
      <c r="O61" s="9"/>
      <c r="P61" s="14"/>
      <c r="Q61" s="14"/>
      <c r="R61" s="10"/>
      <c r="S61" s="10"/>
    </row>
    <row r="62" spans="1:21" ht="15" thickTop="1" x14ac:dyDescent="0.3">
      <c r="A62" s="75"/>
      <c r="B62" s="78">
        <v>3</v>
      </c>
      <c r="C62" s="30" t="s">
        <v>56</v>
      </c>
      <c r="D62" s="8">
        <v>277</v>
      </c>
      <c r="E62" s="8">
        <v>277</v>
      </c>
      <c r="F62" s="34">
        <f t="shared" ref="F62" si="58">(AVERAGEIF(D62:E62,"&gt;0",D62:E62))*10^2*100/8</f>
        <v>346250</v>
      </c>
      <c r="G62" s="7"/>
      <c r="H62" s="5" t="s">
        <v>27</v>
      </c>
      <c r="J62" s="40"/>
      <c r="K62" s="13"/>
      <c r="L62" s="13"/>
      <c r="M62" s="66"/>
      <c r="N62" s="14"/>
      <c r="O62" s="9"/>
      <c r="P62" s="14"/>
      <c r="Q62" s="14"/>
      <c r="R62" s="10"/>
      <c r="S62" s="10"/>
    </row>
    <row r="63" spans="1:21" x14ac:dyDescent="0.3">
      <c r="A63" s="75"/>
      <c r="B63" s="79"/>
      <c r="C63" s="11" t="s">
        <v>4</v>
      </c>
      <c r="D63" s="11">
        <v>26</v>
      </c>
      <c r="E63" s="11">
        <v>24</v>
      </c>
      <c r="F63" s="32">
        <f t="shared" ref="F63" si="59">(AVERAGEIF(D63:E63,"&gt;0",D63:E63))*10^3*100/8</f>
        <v>312500</v>
      </c>
      <c r="G63" s="7">
        <v>6</v>
      </c>
      <c r="H63" s="5" t="str">
        <f t="array" ref="H63">IFERROR(INDEX($F$2:$F$181,SMALL(IF($G$2:$G$181=16,ROW($A$1:$A$163),""),ROW(A1))),"")</f>
        <v/>
      </c>
      <c r="J63" s="40"/>
      <c r="K63" s="13"/>
      <c r="L63" s="13"/>
      <c r="M63" s="66"/>
      <c r="N63" s="14"/>
      <c r="O63" s="9"/>
      <c r="P63" s="14"/>
      <c r="Q63" s="14"/>
      <c r="R63" s="10"/>
      <c r="S63" s="10"/>
    </row>
    <row r="64" spans="1:21" ht="15" thickBot="1" x14ac:dyDescent="0.35">
      <c r="A64" s="76"/>
      <c r="B64" s="80"/>
      <c r="C64" s="12" t="s">
        <v>2</v>
      </c>
      <c r="D64" s="35">
        <v>0</v>
      </c>
      <c r="E64" s="35"/>
      <c r="F64" s="36" t="e">
        <f t="shared" ref="F64" si="60">(AVERAGEIF(D64:E64,"&gt;0",D64:E64))*10^4*100/8</f>
        <v>#DIV/0!</v>
      </c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6"/>
      <c r="N64" s="14"/>
      <c r="O64" s="9"/>
      <c r="P64" s="14"/>
      <c r="Q64" s="14"/>
      <c r="R64" s="10"/>
      <c r="S64" s="10"/>
    </row>
    <row r="65" spans="1:19" ht="15" thickTop="1" x14ac:dyDescent="0.3">
      <c r="A65" s="83" t="s">
        <v>75</v>
      </c>
      <c r="B65" s="82">
        <v>1</v>
      </c>
      <c r="C65" s="30" t="s">
        <v>56</v>
      </c>
      <c r="D65" s="30" t="s">
        <v>80</v>
      </c>
      <c r="E65" s="30"/>
      <c r="F65" s="34" t="e">
        <f t="shared" ref="F65" si="61">(AVERAGEIF(D65:E65,"&gt;0",D65:E65))*10^2*100/8</f>
        <v>#DIV/0!</v>
      </c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6"/>
      <c r="N65" s="14"/>
      <c r="O65" s="9"/>
      <c r="P65" s="14"/>
      <c r="Q65" s="14"/>
      <c r="R65" s="10"/>
      <c r="S65" s="10"/>
    </row>
    <row r="66" spans="1:19" x14ac:dyDescent="0.3">
      <c r="A66" s="75"/>
      <c r="B66" s="79"/>
      <c r="C66" s="11" t="s">
        <v>4</v>
      </c>
      <c r="D66" s="11">
        <v>169</v>
      </c>
      <c r="E66" s="11">
        <v>177</v>
      </c>
      <c r="F66" s="32">
        <f t="shared" ref="F66" si="62">(AVERAGEIF(D66:E66,"&gt;0",D66:E66))*10^3*100/8</f>
        <v>2162500</v>
      </c>
      <c r="G66" s="7">
        <v>8</v>
      </c>
      <c r="H66" s="5" t="s">
        <v>28</v>
      </c>
      <c r="J66" s="40"/>
      <c r="K66" s="13"/>
      <c r="L66" s="13"/>
      <c r="M66" s="66"/>
      <c r="N66" s="14"/>
      <c r="O66" s="9"/>
      <c r="P66" s="14"/>
      <c r="Q66" s="14"/>
      <c r="R66" s="10"/>
      <c r="S66" s="10"/>
    </row>
    <row r="67" spans="1:19" ht="15" thickBot="1" x14ac:dyDescent="0.35">
      <c r="A67" s="75"/>
      <c r="B67" s="81"/>
      <c r="C67" s="12" t="s">
        <v>2</v>
      </c>
      <c r="D67" s="12">
        <v>10</v>
      </c>
      <c r="E67" s="12">
        <v>11</v>
      </c>
      <c r="F67" s="36">
        <f t="shared" ref="F67" si="63">(AVERAGEIF(D67:E67,"&gt;0",D67:E67))*10^4*100/8</f>
        <v>1312500</v>
      </c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6"/>
      <c r="N67" s="14"/>
      <c r="O67" s="9"/>
      <c r="P67" s="14"/>
      <c r="Q67" s="14"/>
      <c r="R67" s="10"/>
      <c r="S67" s="10"/>
    </row>
    <row r="68" spans="1:19" ht="15" thickTop="1" x14ac:dyDescent="0.3">
      <c r="A68" s="75"/>
      <c r="B68" s="78">
        <v>2</v>
      </c>
      <c r="C68" s="30" t="s">
        <v>56</v>
      </c>
      <c r="D68" s="8" t="s">
        <v>80</v>
      </c>
      <c r="E68" s="8"/>
      <c r="F68" s="34" t="e">
        <f t="shared" ref="F68" si="64">(AVERAGEIF(D68:E68,"&gt;0",D68:E68))*10^2*100/8</f>
        <v>#DIV/0!</v>
      </c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6"/>
      <c r="N68" s="14"/>
      <c r="O68" s="9"/>
      <c r="P68" s="14"/>
      <c r="Q68" s="14"/>
      <c r="R68" s="10"/>
      <c r="S68" s="10"/>
    </row>
    <row r="69" spans="1:19" x14ac:dyDescent="0.3">
      <c r="A69" s="75"/>
      <c r="B69" s="79"/>
      <c r="C69" s="11" t="s">
        <v>4</v>
      </c>
      <c r="D69" s="11">
        <v>179</v>
      </c>
      <c r="E69" s="11">
        <v>169</v>
      </c>
      <c r="F69" s="32">
        <f t="shared" ref="F69" si="65">(AVERAGEIF(D69:E69,"&gt;0",D69:E69))*10^3*100/8</f>
        <v>2175000</v>
      </c>
      <c r="G69" s="7">
        <v>8</v>
      </c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6"/>
      <c r="N69" s="14"/>
      <c r="O69" s="9"/>
      <c r="P69" s="14"/>
      <c r="Q69" s="14"/>
      <c r="R69" s="10"/>
      <c r="S69" s="10"/>
    </row>
    <row r="70" spans="1:19" ht="15" thickBot="1" x14ac:dyDescent="0.35">
      <c r="A70" s="75"/>
      <c r="B70" s="81"/>
      <c r="C70" s="12" t="s">
        <v>2</v>
      </c>
      <c r="D70" s="12">
        <v>17</v>
      </c>
      <c r="E70" s="12">
        <v>7</v>
      </c>
      <c r="F70" s="36">
        <f t="shared" ref="F70" si="66">(AVERAGEIF(D70:E70,"&gt;0",D70:E70))*10^4*100/8</f>
        <v>1500000</v>
      </c>
      <c r="G70" s="7"/>
      <c r="H70" s="5" t="s">
        <v>29</v>
      </c>
      <c r="J70" s="40"/>
      <c r="K70" s="13"/>
      <c r="L70" s="13"/>
      <c r="M70" s="66"/>
      <c r="N70" s="14"/>
      <c r="O70" s="9"/>
      <c r="P70" s="14"/>
      <c r="Q70" s="14"/>
      <c r="R70" s="10"/>
      <c r="S70" s="10"/>
    </row>
    <row r="71" spans="1:19" ht="15" thickTop="1" x14ac:dyDescent="0.3">
      <c r="A71" s="75"/>
      <c r="B71" s="78">
        <v>3</v>
      </c>
      <c r="C71" s="30" t="s">
        <v>56</v>
      </c>
      <c r="D71" s="8" t="s">
        <v>80</v>
      </c>
      <c r="E71" s="8"/>
      <c r="F71" s="34" t="e">
        <f t="shared" ref="F71" si="67">(AVERAGEIF(D71:E71,"&gt;0",D71:E71))*10^2*100/8</f>
        <v>#DIV/0!</v>
      </c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6"/>
      <c r="N71" s="14"/>
      <c r="O71" s="9"/>
      <c r="P71" s="14"/>
      <c r="Q71" s="14"/>
      <c r="R71" s="10"/>
      <c r="S71" s="10"/>
    </row>
    <row r="72" spans="1:19" x14ac:dyDescent="0.3">
      <c r="A72" s="75"/>
      <c r="B72" s="79"/>
      <c r="C72" s="11" t="s">
        <v>4</v>
      </c>
      <c r="D72" s="11">
        <v>232</v>
      </c>
      <c r="E72" s="11">
        <v>258</v>
      </c>
      <c r="F72" s="32">
        <f t="shared" ref="F72" si="68">(AVERAGEIF(D72:E72,"&gt;0",D72:E72))*10^3*100/8</f>
        <v>3062500</v>
      </c>
      <c r="G72" s="7">
        <v>8</v>
      </c>
      <c r="H72" s="5" t="str">
        <f t="array" ref="H72">IFERROR(INDEX($F$2:$F$181,SMALL(IF($G$2:$G$181=18,ROW($A$1:$A$180),""),ROW(A2))),"")</f>
        <v/>
      </c>
      <c r="J72" s="40"/>
      <c r="K72" s="13"/>
      <c r="L72" s="13"/>
      <c r="M72" s="66"/>
      <c r="N72" s="14"/>
      <c r="O72" s="9"/>
      <c r="P72" s="14"/>
      <c r="Q72" s="14"/>
      <c r="R72" s="10"/>
      <c r="S72" s="10"/>
    </row>
    <row r="73" spans="1:19" ht="15" thickBot="1" x14ac:dyDescent="0.35">
      <c r="A73" s="76"/>
      <c r="B73" s="80"/>
      <c r="C73" s="12" t="s">
        <v>2</v>
      </c>
      <c r="D73" s="35">
        <v>16</v>
      </c>
      <c r="E73" s="35">
        <v>17</v>
      </c>
      <c r="F73" s="36">
        <f t="shared" ref="F73" si="69">(AVERAGEIF(D73:E73,"&gt;0",D73:E73))*10^4*100/8</f>
        <v>2062500</v>
      </c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6"/>
      <c r="N73" s="14"/>
      <c r="O73" s="9"/>
      <c r="P73" s="14"/>
      <c r="Q73" s="14"/>
      <c r="R73" s="10"/>
      <c r="S73" s="10"/>
    </row>
    <row r="74" spans="1:19" ht="15" thickTop="1" x14ac:dyDescent="0.3">
      <c r="A74" s="50"/>
      <c r="B74" s="53"/>
      <c r="C74" s="30"/>
      <c r="D74" s="30"/>
      <c r="E74" s="30"/>
      <c r="F74" s="31"/>
      <c r="G74" s="7"/>
      <c r="H74" s="5" t="s">
        <v>30</v>
      </c>
      <c r="J74" s="40"/>
      <c r="K74" s="13"/>
      <c r="L74" s="13"/>
      <c r="M74" s="66"/>
      <c r="N74" s="14"/>
      <c r="O74" s="9"/>
      <c r="P74" s="14"/>
      <c r="Q74" s="14"/>
      <c r="R74" s="10"/>
      <c r="S74" s="10"/>
    </row>
    <row r="75" spans="1:19" x14ac:dyDescent="0.3">
      <c r="A75" s="51"/>
      <c r="B75" s="54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6"/>
      <c r="N75" s="14"/>
      <c r="O75" s="9"/>
      <c r="P75" s="14"/>
      <c r="Q75" s="14"/>
      <c r="R75" s="10"/>
      <c r="S75" s="10"/>
    </row>
    <row r="76" spans="1:19" ht="15" thickBot="1" x14ac:dyDescent="0.35">
      <c r="A76" s="51"/>
      <c r="B76" s="55"/>
      <c r="C76" s="12"/>
      <c r="D76" s="12"/>
      <c r="E76" s="12"/>
      <c r="F76" s="33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6"/>
      <c r="N76" s="14"/>
      <c r="O76" s="9"/>
      <c r="P76" s="14"/>
      <c r="Q76" s="14"/>
      <c r="R76" s="10"/>
      <c r="S76" s="10"/>
    </row>
    <row r="77" spans="1:19" x14ac:dyDescent="0.3">
      <c r="A77" s="51"/>
      <c r="B77" s="56"/>
      <c r="C77" s="8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6"/>
      <c r="N77" s="14"/>
      <c r="O77" s="9"/>
      <c r="P77" s="14"/>
      <c r="Q77" s="14"/>
      <c r="R77" s="10"/>
      <c r="S77" s="10"/>
    </row>
    <row r="78" spans="1:19" x14ac:dyDescent="0.3">
      <c r="A78" s="51"/>
      <c r="B78" s="54"/>
      <c r="C78" s="11"/>
      <c r="D78" s="11"/>
      <c r="E78" s="11"/>
      <c r="F78" s="32"/>
      <c r="G78" s="7"/>
      <c r="H78" s="5" t="s">
        <v>31</v>
      </c>
      <c r="J78" s="40"/>
      <c r="K78" s="13"/>
      <c r="L78" s="13"/>
      <c r="M78" s="66"/>
      <c r="N78" s="14"/>
      <c r="O78" s="9"/>
      <c r="P78" s="14"/>
      <c r="Q78" s="14"/>
      <c r="R78" s="10"/>
      <c r="S78" s="10"/>
    </row>
    <row r="79" spans="1:19" ht="15" thickBot="1" x14ac:dyDescent="0.35">
      <c r="A79" s="51"/>
      <c r="B79" s="55"/>
      <c r="C79" s="12"/>
      <c r="D79" s="12"/>
      <c r="E79" s="12"/>
      <c r="F79" s="33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6"/>
      <c r="N79" s="14"/>
      <c r="O79" s="9"/>
      <c r="P79" s="14"/>
      <c r="Q79" s="14"/>
      <c r="R79" s="10"/>
      <c r="S79" s="10"/>
    </row>
    <row r="80" spans="1:19" x14ac:dyDescent="0.3">
      <c r="A80" s="51"/>
      <c r="B80" s="56"/>
      <c r="C80" s="8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6"/>
      <c r="N80" s="14"/>
      <c r="O80" s="9"/>
      <c r="P80" s="14"/>
      <c r="Q80" s="14"/>
      <c r="R80" s="10"/>
      <c r="S80" s="10"/>
    </row>
    <row r="81" spans="1:22" x14ac:dyDescent="0.3">
      <c r="A81" s="51"/>
      <c r="B81" s="54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6"/>
      <c r="N81" s="14"/>
      <c r="O81" s="9"/>
      <c r="P81" s="14"/>
      <c r="Q81" s="14"/>
      <c r="R81" s="10"/>
      <c r="S81" s="10"/>
    </row>
    <row r="82" spans="1:22" ht="15" thickBot="1" x14ac:dyDescent="0.35">
      <c r="A82" s="52"/>
      <c r="B82" s="57"/>
      <c r="C82" s="35"/>
      <c r="D82" s="35"/>
      <c r="E82" s="35"/>
      <c r="F82" s="36"/>
      <c r="G82" s="7"/>
      <c r="J82" s="40"/>
      <c r="K82" s="13"/>
      <c r="L82" s="13"/>
      <c r="M82" s="66"/>
      <c r="N82" s="14"/>
      <c r="O82" s="9"/>
      <c r="P82" s="14"/>
      <c r="Q82" s="14"/>
      <c r="R82" s="10"/>
      <c r="S82" s="10"/>
    </row>
    <row r="83" spans="1:22" ht="1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6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6"/>
      <c r="N84" s="14"/>
      <c r="O84" s="9"/>
      <c r="P84" s="14"/>
      <c r="Q84" s="14"/>
      <c r="R84" s="10"/>
      <c r="S84" s="10"/>
    </row>
    <row r="85" spans="1:22" ht="1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6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6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6"/>
      <c r="N87" s="14"/>
      <c r="O87" s="9"/>
      <c r="P87" s="14"/>
      <c r="Q87" s="14"/>
      <c r="R87" s="10"/>
      <c r="S87" s="10"/>
    </row>
    <row r="88" spans="1:22" ht="1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6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6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6"/>
      <c r="N90" s="14"/>
      <c r="O90" s="9"/>
      <c r="P90" s="14"/>
      <c r="Q90" s="14"/>
      <c r="R90" s="10"/>
      <c r="S90" s="10"/>
    </row>
    <row r="91" spans="1:22" ht="1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6"/>
      <c r="N91" s="14"/>
      <c r="O91" s="9"/>
      <c r="P91" s="14"/>
      <c r="Q91" s="14"/>
      <c r="R91" s="10"/>
      <c r="S91" s="10"/>
    </row>
    <row r="92" spans="1:22" ht="1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6"/>
      <c r="N92" s="14"/>
      <c r="O92" s="9"/>
      <c r="P92" s="14"/>
      <c r="Q92" s="14"/>
      <c r="R92" s="10"/>
      <c r="S92" s="10"/>
    </row>
    <row r="93" spans="1:22" ht="1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6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6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6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6"/>
      <c r="N96" s="14"/>
      <c r="O96" s="9"/>
      <c r="P96" s="14"/>
      <c r="Q96" s="14"/>
      <c r="R96" s="10"/>
      <c r="S96" s="10"/>
    </row>
    <row r="97" spans="1:19" ht="1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6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6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6"/>
      <c r="N99" s="14"/>
      <c r="O99" s="9"/>
      <c r="P99" s="14"/>
      <c r="Q99" s="14"/>
      <c r="R99" s="10"/>
      <c r="S99" s="10"/>
    </row>
    <row r="100" spans="1:19" ht="1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6"/>
      <c r="N100" s="14"/>
      <c r="O100" s="9"/>
      <c r="P100" s="14"/>
      <c r="Q100" s="14"/>
      <c r="R100" s="10"/>
      <c r="S100" s="10"/>
    </row>
    <row r="101" spans="1:19" ht="1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6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6"/>
      <c r="N102" s="14"/>
      <c r="O102" s="9"/>
      <c r="P102" s="14"/>
      <c r="Q102" s="14"/>
      <c r="R102" s="10"/>
      <c r="S102" s="10"/>
    </row>
    <row r="103" spans="1:19" ht="1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6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6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6"/>
      <c r="N105" s="14"/>
      <c r="O105" s="9"/>
      <c r="P105" s="14"/>
      <c r="Q105" s="14"/>
      <c r="R105" s="10"/>
      <c r="S105" s="10"/>
    </row>
    <row r="106" spans="1:19" ht="1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6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6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6"/>
      <c r="N108" s="14"/>
      <c r="O108" s="9"/>
      <c r="P108" s="14"/>
      <c r="Q108" s="14"/>
      <c r="R108" s="10"/>
      <c r="S108" s="10"/>
    </row>
    <row r="109" spans="1:19" ht="1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6"/>
      <c r="N109" s="14"/>
      <c r="O109" s="9"/>
      <c r="P109" s="14"/>
      <c r="Q109" s="14"/>
      <c r="R109" s="10"/>
      <c r="S109" s="10"/>
    </row>
    <row r="110" spans="1:19" ht="1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6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6"/>
      <c r="N111" s="14"/>
      <c r="O111" s="9"/>
      <c r="P111" s="14"/>
      <c r="Q111" s="14"/>
      <c r="R111" s="10"/>
      <c r="S111" s="10"/>
    </row>
    <row r="112" spans="1:19" ht="1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6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6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6"/>
      <c r="N114" s="14"/>
      <c r="O114" s="9"/>
      <c r="P114" s="14"/>
      <c r="Q114" s="14"/>
      <c r="R114" s="10"/>
      <c r="S114" s="10"/>
    </row>
    <row r="115" spans="1:19" ht="1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6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6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6"/>
      <c r="N117" s="14"/>
      <c r="O117" s="9"/>
      <c r="P117" s="14"/>
      <c r="Q117" s="14"/>
      <c r="R117" s="10"/>
      <c r="S117" s="10"/>
    </row>
    <row r="118" spans="1:19" ht="1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6"/>
      <c r="N118" s="14"/>
      <c r="O118" s="9"/>
      <c r="P118" s="14"/>
      <c r="Q118" s="14"/>
      <c r="R118" s="10"/>
      <c r="S118" s="10"/>
    </row>
    <row r="119" spans="1:19" ht="1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6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6"/>
      <c r="N120" s="14"/>
      <c r="O120" s="9"/>
      <c r="P120" s="14"/>
      <c r="Q120" s="14"/>
      <c r="R120" s="10"/>
      <c r="S120" s="10"/>
    </row>
    <row r="121" spans="1:19" ht="1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6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6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6"/>
      <c r="N123" s="14"/>
      <c r="O123" s="9"/>
      <c r="P123" s="14"/>
      <c r="Q123" s="14"/>
      <c r="R123" s="10"/>
      <c r="S123" s="10"/>
    </row>
    <row r="124" spans="1:19" ht="1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6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6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6"/>
      <c r="N126" s="14"/>
      <c r="O126" s="9"/>
      <c r="P126" s="14"/>
      <c r="Q126" s="14"/>
      <c r="R126" s="10"/>
      <c r="S126" s="10"/>
    </row>
    <row r="127" spans="1:19" ht="1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6"/>
      <c r="N127" s="14"/>
      <c r="O127" s="9"/>
      <c r="P127" s="14"/>
      <c r="Q127" s="14"/>
      <c r="R127" s="10"/>
      <c r="S127" s="10"/>
    </row>
    <row r="128" spans="1:19" ht="1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6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6"/>
      <c r="N129" s="14"/>
      <c r="O129" s="9"/>
      <c r="P129" s="14"/>
      <c r="Q129" s="14"/>
      <c r="R129" s="10"/>
      <c r="S129" s="10"/>
    </row>
    <row r="130" spans="1:19" ht="1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6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6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6"/>
      <c r="N132" s="14"/>
      <c r="O132" s="9"/>
      <c r="P132" s="14"/>
      <c r="Q132" s="14"/>
      <c r="R132" s="10"/>
      <c r="S132" s="10"/>
    </row>
    <row r="133" spans="1:19" ht="1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6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6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6"/>
      <c r="N135" s="14"/>
      <c r="O135" s="9"/>
      <c r="P135" s="14"/>
      <c r="Q135" s="14"/>
      <c r="R135" s="10"/>
      <c r="S135" s="10"/>
    </row>
    <row r="136" spans="1:19" ht="1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6"/>
      <c r="N136" s="14"/>
      <c r="O136" s="9"/>
      <c r="P136" s="14"/>
      <c r="Q136" s="14"/>
      <c r="R136" s="10"/>
      <c r="S136" s="10"/>
    </row>
    <row r="137" spans="1:19" ht="1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6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6"/>
      <c r="N138" s="14"/>
      <c r="O138" s="9"/>
      <c r="P138" s="14"/>
      <c r="Q138" s="14"/>
      <c r="R138" s="10"/>
      <c r="S138" s="10"/>
    </row>
    <row r="139" spans="1:19" ht="1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6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6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6"/>
      <c r="N141" s="14"/>
      <c r="O141" s="9"/>
      <c r="P141" s="14"/>
      <c r="Q141" s="14"/>
      <c r="R141" s="10"/>
      <c r="S141" s="10"/>
    </row>
    <row r="142" spans="1:19" ht="1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6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6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6"/>
      <c r="N144" s="14"/>
      <c r="O144" s="9"/>
      <c r="P144" s="14"/>
      <c r="Q144" s="14"/>
      <c r="R144" s="10"/>
      <c r="S144" s="10"/>
    </row>
    <row r="145" spans="1:19" ht="1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6"/>
      <c r="N145" s="14"/>
      <c r="O145" s="9"/>
      <c r="P145" s="14"/>
      <c r="Q145" s="14"/>
      <c r="R145" s="10"/>
      <c r="S145" s="10"/>
    </row>
    <row r="146" spans="1:19" ht="1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6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6"/>
      <c r="N147" s="14"/>
      <c r="O147" s="9"/>
      <c r="P147" s="14"/>
      <c r="Q147" s="14"/>
      <c r="R147" s="10"/>
      <c r="S147" s="10"/>
    </row>
    <row r="148" spans="1:19" ht="1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6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6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6"/>
      <c r="N150" s="14"/>
      <c r="O150" s="9"/>
      <c r="P150" s="14"/>
      <c r="Q150" s="14"/>
      <c r="R150" s="10"/>
      <c r="S150" s="10"/>
    </row>
    <row r="151" spans="1:19" ht="1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6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6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6"/>
      <c r="N153" s="14"/>
      <c r="O153" s="9"/>
      <c r="P153" s="14"/>
      <c r="Q153" s="14"/>
      <c r="R153" s="10"/>
      <c r="S153" s="10"/>
    </row>
    <row r="154" spans="1:19" ht="1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6"/>
      <c r="N154" s="14"/>
      <c r="O154" s="9"/>
      <c r="P154" s="14"/>
      <c r="Q154" s="14"/>
      <c r="R154" s="10"/>
      <c r="S154" s="10"/>
    </row>
    <row r="155" spans="1:19" ht="1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6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6"/>
      <c r="N156" s="14"/>
      <c r="O156" s="9"/>
      <c r="P156" s="14"/>
      <c r="Q156" s="14"/>
      <c r="R156" s="10"/>
      <c r="S156" s="10"/>
    </row>
    <row r="157" spans="1:19" ht="1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6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6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6"/>
      <c r="N159" s="14"/>
      <c r="O159" s="9"/>
      <c r="P159" s="14"/>
      <c r="Q159" s="14"/>
      <c r="R159" s="10"/>
      <c r="S159" s="10"/>
    </row>
    <row r="160" spans="1:19" ht="1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6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6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6"/>
      <c r="N162" s="14"/>
      <c r="O162" s="9"/>
      <c r="P162" s="14"/>
      <c r="Q162" s="14"/>
      <c r="R162" s="10"/>
      <c r="S162" s="10"/>
    </row>
    <row r="163" spans="1:19" ht="1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6"/>
      <c r="N163" s="14"/>
      <c r="O163" s="9"/>
      <c r="P163" s="14"/>
      <c r="Q163" s="14"/>
      <c r="R163" s="10"/>
      <c r="S163" s="10"/>
    </row>
    <row r="164" spans="1:19" ht="1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6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6"/>
      <c r="N165" s="14"/>
      <c r="O165" s="9"/>
      <c r="P165" s="21"/>
      <c r="Q165" s="21"/>
      <c r="R165" s="10"/>
      <c r="S165" s="10"/>
    </row>
    <row r="166" spans="1:19" ht="1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6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6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6"/>
      <c r="N168" s="14"/>
      <c r="O168" s="9"/>
      <c r="P168" s="21"/>
      <c r="Q168" s="21"/>
      <c r="R168" s="10"/>
      <c r="S168" s="10"/>
    </row>
    <row r="169" spans="1:19" ht="1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6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6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6"/>
      <c r="N171" s="14"/>
      <c r="O171" s="9"/>
      <c r="P171" s="21"/>
      <c r="Q171" s="21"/>
      <c r="R171" s="10"/>
      <c r="S171" s="10"/>
    </row>
    <row r="172" spans="1:19" ht="1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6"/>
      <c r="N172" s="14"/>
      <c r="O172" s="9"/>
      <c r="P172" s="21"/>
      <c r="Q172" s="21"/>
      <c r="R172" s="10"/>
      <c r="S172" s="10"/>
    </row>
    <row r="173" spans="1:19" ht="1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7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7"/>
      <c r="O174" s="9"/>
      <c r="P174" s="21"/>
      <c r="Q174" s="21"/>
      <c r="R174" s="10"/>
      <c r="S174" s="10"/>
    </row>
    <row r="175" spans="1:19" ht="1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7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7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7"/>
      <c r="O177" s="9"/>
      <c r="P177" s="21"/>
      <c r="Q177" s="21"/>
    </row>
    <row r="178" spans="1:17" ht="1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7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7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7"/>
      <c r="O180" s="9"/>
      <c r="P180" s="21"/>
      <c r="Q180" s="21"/>
    </row>
    <row r="181" spans="1:17" ht="1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7"/>
      <c r="O181" s="9"/>
      <c r="P181" s="21"/>
      <c r="Q181" s="21"/>
    </row>
    <row r="182" spans="1:17" ht="15" thickTop="1" x14ac:dyDescent="0.3">
      <c r="G182" s="28"/>
      <c r="O182" s="9"/>
    </row>
  </sheetData>
  <mergeCells count="32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  <mergeCell ref="A38:A46"/>
    <mergeCell ref="B38:B40"/>
    <mergeCell ref="B41:B43"/>
    <mergeCell ref="B44:B46"/>
    <mergeCell ref="A47:A55"/>
    <mergeCell ref="B47:B49"/>
    <mergeCell ref="B50:B52"/>
    <mergeCell ref="B53:B55"/>
    <mergeCell ref="A56:A64"/>
    <mergeCell ref="B56:B58"/>
    <mergeCell ref="B59:B61"/>
    <mergeCell ref="B62:B64"/>
    <mergeCell ref="A65:A73"/>
    <mergeCell ref="B65:B67"/>
    <mergeCell ref="B68:B70"/>
    <mergeCell ref="B71:B7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A3F3-06FB-4B74-B840-05B676C10B76}">
  <dimension ref="A1:V182"/>
  <sheetViews>
    <sheetView topLeftCell="H29" zoomScaleNormal="100" workbookViewId="0">
      <selection activeCell="L49" sqref="L49"/>
    </sheetView>
  </sheetViews>
  <sheetFormatPr defaultColWidth="9.109375" defaultRowHeight="14.4" x14ac:dyDescent="0.3"/>
  <cols>
    <col min="1" max="1" width="10.6640625" style="23" customWidth="1"/>
    <col min="2" max="2" width="10.6640625" style="24" customWidth="1"/>
    <col min="3" max="3" width="12.6640625" style="25" bestFit="1" customWidth="1"/>
    <col min="4" max="4" width="20.33203125" style="25" customWidth="1"/>
    <col min="5" max="5" width="21" style="25" customWidth="1"/>
    <col min="6" max="6" width="11.44140625" style="5" customWidth="1"/>
    <col min="7" max="7" width="11.44140625" style="29" customWidth="1"/>
    <col min="8" max="8" width="14.44140625" style="5" customWidth="1"/>
    <col min="9" max="9" width="12.6640625" style="5" bestFit="1" customWidth="1"/>
    <col min="10" max="12" width="12.6640625" style="5" customWidth="1"/>
    <col min="13" max="13" width="12.6640625" style="7" customWidth="1"/>
    <col min="14" max="15" width="12.6640625" style="21" customWidth="1"/>
    <col min="16" max="19" width="12.6640625" style="5" customWidth="1"/>
    <col min="20" max="20" width="11.88671875" style="5" customWidth="1"/>
    <col min="21" max="21" width="12.44140625" style="5" customWidth="1"/>
    <col min="22" max="22" width="13.109375" style="7" customWidth="1"/>
    <col min="23" max="16384" width="9.109375" style="7"/>
  </cols>
  <sheetData>
    <row r="1" spans="1:22" ht="28.5" thickBot="1" x14ac:dyDescent="0.35">
      <c r="A1" s="1" t="s">
        <v>0</v>
      </c>
      <c r="B1" s="2" t="s">
        <v>8</v>
      </c>
      <c r="C1" s="3" t="s">
        <v>1</v>
      </c>
      <c r="D1" s="3" t="s">
        <v>6</v>
      </c>
      <c r="E1" s="3" t="s">
        <v>7</v>
      </c>
      <c r="F1" s="4" t="s">
        <v>9</v>
      </c>
      <c r="G1" s="27" t="s">
        <v>11</v>
      </c>
      <c r="H1" s="26" t="s">
        <v>32</v>
      </c>
      <c r="I1" s="26" t="s">
        <v>33</v>
      </c>
      <c r="J1" s="26" t="s">
        <v>10</v>
      </c>
      <c r="K1" s="26" t="s">
        <v>34</v>
      </c>
      <c r="L1" s="26" t="s">
        <v>35</v>
      </c>
      <c r="M1" s="6"/>
      <c r="N1" s="48" t="s">
        <v>58</v>
      </c>
      <c r="O1" s="48" t="s">
        <v>59</v>
      </c>
      <c r="P1" s="48" t="s">
        <v>60</v>
      </c>
      <c r="Q1" s="48" t="s">
        <v>61</v>
      </c>
      <c r="R1" s="48" t="s">
        <v>85</v>
      </c>
      <c r="S1" s="48" t="s">
        <v>86</v>
      </c>
      <c r="T1" s="45"/>
      <c r="U1" s="45"/>
      <c r="V1" s="6"/>
    </row>
    <row r="2" spans="1:22" ht="15.75" customHeight="1" thickTop="1" x14ac:dyDescent="0.3">
      <c r="A2" s="74" t="s">
        <v>58</v>
      </c>
      <c r="B2" s="77">
        <v>1</v>
      </c>
      <c r="C2" s="30" t="s">
        <v>4</v>
      </c>
      <c r="D2" s="58">
        <v>229</v>
      </c>
      <c r="E2" s="58"/>
      <c r="F2" s="31">
        <f>(AVERAGEIF(D2:E2,"&gt;0",D2:E2))*10^3*100/8</f>
        <v>2862500</v>
      </c>
      <c r="G2" s="7">
        <v>1</v>
      </c>
      <c r="H2" s="5" t="s">
        <v>12</v>
      </c>
      <c r="J2" s="38"/>
      <c r="K2" s="41">
        <f t="array" ref="K2">IFERROR(INDEX($I$2:$I$81,SMALL(IF(ISNUMBER($I$2:$I$81),ROW($A$1:$A$80),""),ROW(A1))),"")</f>
        <v>3212500</v>
      </c>
      <c r="L2" s="41">
        <f t="array" ref="L2">IFERROR(INDEX($J$2:$J$81,SMALL(IF(ISNUMBER($J$2:$J$81),ROW($A$1:$A$80),""),ROW(A1))),"")</f>
        <v>914210.7251613274</v>
      </c>
      <c r="M2" s="63" t="s">
        <v>52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75"/>
      <c r="B3" s="71"/>
      <c r="C3" s="11" t="s">
        <v>2</v>
      </c>
      <c r="D3" s="11">
        <v>21</v>
      </c>
      <c r="E3" s="11">
        <v>22</v>
      </c>
      <c r="F3" s="32">
        <f>(AVERAGEIF(D3:E3,"&gt;0",D3:E3))*10^4*100/8</f>
        <v>2687500</v>
      </c>
      <c r="G3" s="7"/>
      <c r="H3" s="5">
        <f t="array" ref="H3">IFERROR(INDEX($F$2:$F$181,SMALL(IF($G$2:$G$181=1,ROW($A$1:$A$163),""),ROW(A1))),"")</f>
        <v>2862500</v>
      </c>
      <c r="J3" s="39"/>
      <c r="K3" s="41">
        <f t="array" ref="K3">IFERROR(INDEX($I$2:$I$81,SMALL(IF(ISNUMBER($I$2:$I$81),ROW($A$1:$A$80),""),ROW(A2))),"")</f>
        <v>25208.333333333332</v>
      </c>
      <c r="L3" s="41">
        <f t="array" ref="L3">IFERROR(INDEX($J$2:$J$81,SMALL(IF(ISNUMBER($J$2:$J$81),ROW($A$1:$A$80),""),ROW(A2))),"")</f>
        <v>5671.1073286734199</v>
      </c>
      <c r="M3" s="63" t="s">
        <v>53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5" thickBot="1" x14ac:dyDescent="0.35">
      <c r="A4" s="75"/>
      <c r="B4" s="72"/>
      <c r="C4" s="12" t="s">
        <v>3</v>
      </c>
      <c r="D4" s="12" t="s">
        <v>78</v>
      </c>
      <c r="E4" s="12"/>
      <c r="F4" s="33" t="e">
        <f>(AVERAGEIF(D4:E4,"&gt;0",D4:E4))*10^5*100/8</f>
        <v>#DIV/0!</v>
      </c>
      <c r="G4" s="7"/>
      <c r="H4" s="5">
        <f t="array" ref="H4">IFERROR(INDEX($F$2:$F$181,SMALL(IF($G$2:$G$181=1,ROW($A$1:$A$163),""),ROW(A2))),"")</f>
        <v>4250000</v>
      </c>
      <c r="J4" s="39"/>
      <c r="K4" s="41">
        <f t="array" ref="K4">IFERROR(INDEX($I$2:$I$81,SMALL(IF(ISNUMBER($I$2:$I$81),ROW($A$1:$A$80),""),ROW(A3))),"")</f>
        <v>2545833.3333333335</v>
      </c>
      <c r="L4" s="41">
        <f t="array" ref="L4">IFERROR(INDEX($J$2:$J$81,SMALL(IF(ISNUMBER($J$2:$J$81),ROW($A$1:$A$80),""),ROW(A3))),"")</f>
        <v>555136.99510421208</v>
      </c>
      <c r="M4" s="64"/>
      <c r="N4" s="9">
        <f t="array" ref="N4">IFERROR(INDEX($F$2:$F$181,SMALL(_xlfn.IFS($G$2:$G$181&lt;$N$2,"",$G$2:$G$181&gt;$N$3,"",ISNUMBER($G$2:$G$181),ROW($A$1:$A$180)),ROW(A1))),"")</f>
        <v>2862500</v>
      </c>
      <c r="O4" s="9">
        <f t="array" ref="O4">IFERROR(INDEX($F$2:$F$181,SMALL(_xlfn.IFS($G$2:$G$181&lt;$O$2,"",$G$2:$G$181&gt;$O$3,"",ISNUMBER($G$2:$G$181),ROW($A$1:$A$180)),ROW(A1))),"")</f>
        <v>29375</v>
      </c>
      <c r="P4" s="9">
        <f t="array" ref="P4">IFERROR(INDEX($F$2:$F$181,SMALL(_xlfn.IFS($G$2:$G$181&lt;$P$2,"",$G$2:$G$181&gt;$P$3,"",ISNUMBER($G$2:$G$181),ROW($A$1:$A$180)),ROW(A1))),"")</f>
        <v>2125000</v>
      </c>
      <c r="Q4" s="9">
        <f t="array" ref="Q4">IFERROR(INDEX($F$2:$F$181,SMALL(_xlfn.IFS($G$2:$G$181&lt;$Q$2,"",$G$2:$G$181&gt;$Q$3,"",ISNUMBER($G$2:$G$181),ROW($A$1:$A$180)),ROW(A1))),"")</f>
        <v>1350000</v>
      </c>
      <c r="R4" s="9">
        <f t="array" ref="R4">IFERROR(INDEX($F$2:$F$181,SMALL(_xlfn.IFS($G$2:$G$181&lt;$R$2,"",$G$2:$G$181&gt;$R$3,"",ISNUMBER($G$2:$G$181),ROW($A$1:$A$180)),ROW(A1))),"")</f>
        <v>2337500</v>
      </c>
      <c r="S4" s="10">
        <f t="array" ref="S4">IFERROR(INDEX($F$2:$F$181,SMALL(_xlfn.IFS($G$2:$G$181&lt;$S$2,"",$G$2:$G$181&gt;$S$3,"",ISNUMBER($G$2:$G$181),ROW($A$1:$A$180)),ROW(A1))),"")</f>
        <v>1250000</v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x14ac:dyDescent="0.3">
      <c r="A5" s="75"/>
      <c r="B5" s="70">
        <v>2</v>
      </c>
      <c r="C5" s="8" t="s">
        <v>4</v>
      </c>
      <c r="D5" s="59">
        <v>381</v>
      </c>
      <c r="E5" s="59"/>
      <c r="F5" s="34">
        <f t="shared" ref="F5" si="0">(AVERAGEIF(D5:E5,"&gt;0",D5:E5))*10^3*100/8</f>
        <v>4762500</v>
      </c>
      <c r="G5" s="7"/>
      <c r="H5" s="5">
        <f t="array" ref="H5">IFERROR(INDEX($F$2:$F$181,SMALL(IF($G$2:$G$181=1,ROW($A$1:$A$163),""),ROW(A3))),"")</f>
        <v>2525000</v>
      </c>
      <c r="I5" s="5">
        <f>AVERAGE(H3:H5)</f>
        <v>3212500</v>
      </c>
      <c r="J5" s="39">
        <f>STDEV(H3:H5)</f>
        <v>914210.7251613274</v>
      </c>
      <c r="K5" s="41">
        <f t="array" ref="K5">IFERROR(INDEX($I$2:$I$81,SMALL(IF(ISNUMBER($I$2:$I$81),ROW($A$1:$A$80),""),ROW(A4))),"")</f>
        <v>927083.33333333337</v>
      </c>
      <c r="L5" s="41">
        <f t="array" ref="L5">IFERROR(INDEX($J$2:$J$81,SMALL(IF(ISNUMBER($J$2:$J$81),ROW($A$1:$A$80),""),ROW(A4))),"")</f>
        <v>399429.93232021714</v>
      </c>
      <c r="M5" s="64"/>
      <c r="N5" s="9">
        <f t="array" ref="N5">IFERROR(INDEX($F$2:$F$181,SMALL(_xlfn.IFS($G$2:$G$181&lt;$N$2,"",$G$2:$G$181&gt;$N$3,"",ISNUMBER($G$2:$G$181),ROW($A$1:$A$180)),ROW(A2))),"")</f>
        <v>4250000</v>
      </c>
      <c r="O5" s="9">
        <f t="array" ref="O5">IFERROR(INDEX($F$2:$F$181,SMALL(_xlfn.IFS($G$2:$G$181&lt;$O$2,"",$G$2:$G$181&gt;$O$3,"",ISNUMBER($G$2:$G$181),ROW($A$1:$A$180)),ROW(A2))),"")</f>
        <v>18750</v>
      </c>
      <c r="P5" s="9">
        <f t="array" ref="P5">IFERROR(INDEX($F$2:$F$181,SMALL(_xlfn.IFS($G$2:$G$181&lt;$P$2,"",$G$2:$G$181&gt;$P$3,"",ISNUMBER($G$2:$G$181),ROW($A$1:$A$180)),ROW(A2))),"")</f>
        <v>2337500</v>
      </c>
      <c r="Q5" s="9">
        <f t="array" ref="Q5">IFERROR(INDEX($F$2:$F$181,SMALL(_xlfn.IFS($G$2:$G$181&lt;$Q$2,"",$G$2:$G$181&gt;$Q$3,"",ISNUMBER($G$2:$G$181),ROW($A$1:$A$180)),ROW(A2))),"")</f>
        <v>875000</v>
      </c>
      <c r="R5" s="9">
        <f t="array" ref="R5">IFERROR(INDEX($F$2:$F$181,SMALL(_xlfn.IFS($G$2:$G$181&lt;$R$2,"",$G$2:$G$181&gt;$R$3,"",ISNUMBER($G$2:$G$181),ROW($A$1:$A$180)),ROW(A2))),"")</f>
        <v>2375000</v>
      </c>
      <c r="S5" s="10">
        <f t="array" ref="S5">IFERROR(INDEX($F$2:$F$181,SMALL(_xlfn.IFS($G$2:$G$181&lt;$S$2,"",$G$2:$G$181&gt;$S$3,"",ISNUMBER($G$2:$G$181),ROW($A$1:$A$180)),ROW(A2))),"")</f>
        <v>1125000</v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75"/>
      <c r="B6" s="71"/>
      <c r="C6" s="11" t="s">
        <v>2</v>
      </c>
      <c r="D6" s="11">
        <v>39</v>
      </c>
      <c r="E6" s="11">
        <v>29</v>
      </c>
      <c r="F6" s="32">
        <f t="shared" ref="F6" si="1">(AVERAGEIF(D6:E6,"&gt;0",D6:E6))*10^4*100/8</f>
        <v>4250000</v>
      </c>
      <c r="G6" s="7">
        <v>1</v>
      </c>
      <c r="H6" s="5" t="s">
        <v>13</v>
      </c>
      <c r="J6" s="39"/>
      <c r="K6" s="41">
        <f t="array" ref="K6">IFERROR(INDEX($I$2:$I$81,SMALL(IF(ISNUMBER($I$2:$I$81),ROW($A$1:$A$80),""),ROW(A5))),"")</f>
        <v>2608333.3333333335</v>
      </c>
      <c r="L6" s="41">
        <f t="array" ref="L6">IFERROR(INDEX($J$2:$J$81,SMALL(IF(ISNUMBER($J$2:$J$81),ROW($A$1:$A$80),""),ROW(A5))),"")</f>
        <v>437023.55009007693</v>
      </c>
      <c r="M6" s="64"/>
      <c r="N6" s="9">
        <f t="array" ref="N6">IFERROR(INDEX($F$2:$F$181,SMALL(_xlfn.IFS($G$2:$G$181&lt;$N$2,"",$G$2:$G$181&gt;$N$3,"",ISNUMBER($G$2:$G$181),ROW($A$1:$A$180)),ROW(A3))),"")</f>
        <v>2525000</v>
      </c>
      <c r="O6" s="9">
        <f t="array" ref="O6">IFERROR(INDEX($F$2:$F$181,SMALL(_xlfn.IFS($G$2:$G$181&lt;$O$2,"",$G$2:$G$181&gt;$O$3,"",ISNUMBER($G$2:$G$181),ROW($A$1:$A$180)),ROW(A3))),"")</f>
        <v>27500</v>
      </c>
      <c r="P6" s="9">
        <f t="array" ref="P6">IFERROR(INDEX($F$2:$F$181,SMALL(_xlfn.IFS($G$2:$G$181&lt;$P$2,"",$G$2:$G$181&gt;$P$3,"",ISNUMBER($G$2:$G$181),ROW($A$1:$A$180)),ROW(A3))),"")</f>
        <v>3175000</v>
      </c>
      <c r="Q6" s="9">
        <f t="array" ref="Q6">IFERROR(INDEX($F$2:$F$181,SMALL(_xlfn.IFS($G$2:$G$181&lt;$Q$2,"",$G$2:$G$181&gt;$Q$3,"",ISNUMBER($G$2:$G$181),ROW($A$1:$A$180)),ROW(A3))),"")</f>
        <v>556250</v>
      </c>
      <c r="R6" s="9">
        <f t="array" ref="R6">IFERROR(INDEX($F$2:$F$181,SMALL(_xlfn.IFS($G$2:$G$181&lt;$R$2,"",$G$2:$G$181&gt;$R$3,"",ISNUMBER($G$2:$G$181),ROW($A$1:$A$180)),ROW(A3))),"")</f>
        <v>3112500</v>
      </c>
      <c r="S6" s="10">
        <f t="array" ref="S6">IFERROR(INDEX($F$2:$F$181,SMALL(_xlfn.IFS($G$2:$G$181&lt;$S$2,"",$G$2:$G$181&gt;$S$3,"",ISNUMBER($G$2:$G$181),ROW($A$1:$A$180)),ROW(A3))),"")</f>
        <v>581250</v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5" thickBot="1" x14ac:dyDescent="0.35">
      <c r="A7" s="75"/>
      <c r="B7" s="72"/>
      <c r="C7" s="12" t="s">
        <v>3</v>
      </c>
      <c r="D7" s="12" t="s">
        <v>78</v>
      </c>
      <c r="E7" s="12"/>
      <c r="F7" s="33" t="e">
        <f t="shared" ref="F7" si="2">(AVERAGEIF(D7:E7,"&gt;0",D7:E7))*10^5*100/8</f>
        <v>#DIV/0!</v>
      </c>
      <c r="G7" s="7"/>
      <c r="H7" s="5">
        <f t="array" ref="H7">IFERROR(INDEX($F$2:$F$181,SMALL(IF($G$2:$G$181=2,ROW($A$1:$A$163),""),ROW(A1))),"")</f>
        <v>29375</v>
      </c>
      <c r="J7" s="39"/>
      <c r="K7" s="41">
        <f t="array" ref="K7">IFERROR(INDEX($I$2:$I$81,SMALL(IF(ISNUMBER($I$2:$I$81),ROW($A$1:$A$80),""),ROW(A6))),"")</f>
        <v>985416.66666666663</v>
      </c>
      <c r="L7" s="41">
        <f t="array" ref="L7">IFERROR(INDEX($J$2:$J$81,SMALL(IF(ISNUMBER($J$2:$J$81),ROW($A$1:$A$80),""),ROW(A6))),"")</f>
        <v>355554.87738650589</v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x14ac:dyDescent="0.3">
      <c r="A8" s="75"/>
      <c r="B8" s="70">
        <v>3</v>
      </c>
      <c r="C8" s="8" t="s">
        <v>4</v>
      </c>
      <c r="D8" s="59">
        <v>202</v>
      </c>
      <c r="E8" s="59"/>
      <c r="F8" s="34">
        <f t="shared" ref="F8" si="3">(AVERAGEIF(D8:E8,"&gt;0",D8:E8))*10^3*100/8</f>
        <v>2525000</v>
      </c>
      <c r="G8" s="7">
        <v>1</v>
      </c>
      <c r="H8" s="5">
        <f t="array" ref="H8">IFERROR(INDEX($F$2:$F$181,SMALL(IF($G$2:$G$181=2,ROW($A$1:$A$163),""),ROW(A2))),"")</f>
        <v>18750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75"/>
      <c r="B9" s="71"/>
      <c r="C9" s="11" t="s">
        <v>2</v>
      </c>
      <c r="D9" s="11">
        <v>10</v>
      </c>
      <c r="E9" s="11">
        <v>9</v>
      </c>
      <c r="F9" s="32">
        <f t="shared" ref="F9" si="4">(AVERAGEIF(D9:E9,"&gt;0",D9:E9))*10^4*100/8</f>
        <v>1187500</v>
      </c>
      <c r="G9" s="7"/>
      <c r="H9" s="5">
        <f t="array" ref="H9">IFERROR(INDEX($F$2:$F$181,SMALL(IF($G$2:$G$181=2,ROW($A$1:$A$163),""),ROW(A3))),"")</f>
        <v>27500</v>
      </c>
      <c r="I9" s="5">
        <f>AVERAGE(H7:H9)</f>
        <v>25208.333333333332</v>
      </c>
      <c r="J9" s="39">
        <f>STDEV(H7:H9)</f>
        <v>5671.1073286734199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5" thickBot="1" x14ac:dyDescent="0.35">
      <c r="A10" s="76"/>
      <c r="B10" s="73"/>
      <c r="C10" s="35" t="s">
        <v>3</v>
      </c>
      <c r="D10" s="35" t="s">
        <v>78</v>
      </c>
      <c r="E10" s="35"/>
      <c r="F10" s="36" t="e">
        <f t="shared" ref="F10" si="5">(AVERAGEIF(D10:E10,"&gt;0",D10:E10))*10^5*100/8</f>
        <v>#DIV/0!</v>
      </c>
      <c r="G10" s="7"/>
      <c r="H10" s="5" t="s">
        <v>14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" customHeight="1" thickTop="1" x14ac:dyDescent="0.3">
      <c r="A11" s="74" t="s">
        <v>81</v>
      </c>
      <c r="B11" s="77">
        <v>1</v>
      </c>
      <c r="C11" s="30" t="s">
        <v>4</v>
      </c>
      <c r="D11" s="30">
        <v>170</v>
      </c>
      <c r="E11" s="30"/>
      <c r="F11" s="31">
        <f t="shared" ref="F11" si="6">(AVERAGEIF(D11:E11,"&gt;0",D11:E11))*10^3*100/8</f>
        <v>2125000</v>
      </c>
      <c r="G11" s="7">
        <v>3</v>
      </c>
      <c r="H11" s="5">
        <f t="array" ref="H11">IFERROR(INDEX($F$2:$F$181,SMALL(IF($G$2:$G$181=3,ROW($A$1:$A$163),""),ROW(A1))),"")</f>
        <v>2125000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75"/>
      <c r="B12" s="71"/>
      <c r="C12" s="11" t="s">
        <v>2</v>
      </c>
      <c r="D12" s="11">
        <v>13</v>
      </c>
      <c r="E12" s="11">
        <v>18</v>
      </c>
      <c r="F12" s="32">
        <f t="shared" ref="F12" si="7">(AVERAGEIF(D12:E12,"&gt;0",D12:E12))*10^4*100/8</f>
        <v>1937500</v>
      </c>
      <c r="G12" s="7"/>
      <c r="H12" s="5">
        <f t="array" ref="H12">IFERROR(INDEX($F$2:$F$181,SMALL(IF($G$2:$G$181=3,ROW($A$1:$A$163),""),ROW(A2))),"")</f>
        <v>2337500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5" thickBot="1" x14ac:dyDescent="0.35">
      <c r="A13" s="75"/>
      <c r="B13" s="72"/>
      <c r="C13" s="12" t="s">
        <v>3</v>
      </c>
      <c r="D13" s="12" t="s">
        <v>78</v>
      </c>
      <c r="E13" s="12"/>
      <c r="F13" s="33" t="e">
        <f t="shared" ref="F13" si="8">(AVERAGEIF(D13:E13,"&gt;0",D13:E13))*10^5*100/8</f>
        <v>#DIV/0!</v>
      </c>
      <c r="G13" s="7"/>
      <c r="H13" s="5">
        <f t="array" ref="H13">IFERROR(INDEX($F$2:$F$181,SMALL(IF($G$2:$G$181=3,ROW($A$1:$A$163),""),ROW(A3))),"")</f>
        <v>3175000</v>
      </c>
      <c r="I13" s="5">
        <f>AVERAGE(H11:H13)</f>
        <v>2545833.3333333335</v>
      </c>
      <c r="J13" s="39">
        <f>STDEV(H11:H13)</f>
        <v>555136.99510421208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75"/>
      <c r="B14" s="70">
        <v>2</v>
      </c>
      <c r="C14" s="8" t="s">
        <v>4</v>
      </c>
      <c r="D14" s="8">
        <v>187</v>
      </c>
      <c r="E14" s="8"/>
      <c r="F14" s="34">
        <f t="shared" ref="F14" si="9">(AVERAGEIF(D14:E14,"&gt;0",D14:E14))*10^3*100/8</f>
        <v>2337500</v>
      </c>
      <c r="G14" s="7">
        <v>3</v>
      </c>
      <c r="H14" s="5" t="s">
        <v>15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75"/>
      <c r="B15" s="71"/>
      <c r="C15" s="11" t="s">
        <v>2</v>
      </c>
      <c r="D15" s="11">
        <v>17</v>
      </c>
      <c r="E15" s="11">
        <v>18</v>
      </c>
      <c r="F15" s="32">
        <f t="shared" ref="F15" si="10">(AVERAGEIF(D15:E15,"&gt;0",D15:E15))*10^4*100/8</f>
        <v>2187500</v>
      </c>
      <c r="G15" s="7"/>
      <c r="H15" s="5">
        <f t="array" ref="H15">IFERROR(INDEX($F$2:$F$181,SMALL(IF($G$2:$G$181=4,ROW($A$1:$A$163),""),ROW(A1))),"")</f>
        <v>1350000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5" thickBot="1" x14ac:dyDescent="0.35">
      <c r="A16" s="75"/>
      <c r="B16" s="72"/>
      <c r="C16" s="12" t="s">
        <v>3</v>
      </c>
      <c r="D16" s="12" t="s">
        <v>78</v>
      </c>
      <c r="E16" s="12"/>
      <c r="F16" s="33" t="e">
        <f t="shared" ref="F16" si="11">(AVERAGEIF(D16:E16,"&gt;0",D16:E16))*10^5*100/8</f>
        <v>#DIV/0!</v>
      </c>
      <c r="G16" s="7"/>
      <c r="H16" s="5">
        <f t="array" ref="H16">IFERROR(INDEX($F$2:$F$181,SMALL(IF($G$2:$G$181=4,ROW($A$1:$A$163),""),ROW(A2))),"")</f>
        <v>875000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75"/>
      <c r="B17" s="70">
        <v>3</v>
      </c>
      <c r="C17" s="8" t="s">
        <v>4</v>
      </c>
      <c r="D17" s="8">
        <v>254</v>
      </c>
      <c r="E17" s="8"/>
      <c r="F17" s="34">
        <f t="shared" ref="F17" si="12">(AVERAGEIF(D17:E17,"&gt;0",D17:E17))*10^3*100/8</f>
        <v>3175000</v>
      </c>
      <c r="G17" s="7">
        <v>3</v>
      </c>
      <c r="H17" s="5">
        <f t="array" ref="H17">IFERROR(INDEX($F$2:$F$181,SMALL(IF($G$2:$G$181=4,ROW($A$1:$A$163),""),ROW(A3))),"")</f>
        <v>556250</v>
      </c>
      <c r="I17" s="5">
        <f>AVERAGE(H15:H17)</f>
        <v>927083.33333333337</v>
      </c>
      <c r="J17" s="39">
        <f>STDEV(H15:H17)</f>
        <v>399429.93232021714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75"/>
      <c r="B18" s="71"/>
      <c r="C18" s="11" t="s">
        <v>2</v>
      </c>
      <c r="D18" s="11">
        <v>15</v>
      </c>
      <c r="E18" s="11">
        <v>19</v>
      </c>
      <c r="F18" s="32">
        <f t="shared" ref="F18" si="13">(AVERAGEIF(D18:E18,"&gt;0",D18:E18))*10^4*100/8</f>
        <v>2125000</v>
      </c>
      <c r="G18" s="7"/>
      <c r="H18" s="5" t="s">
        <v>16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5" thickBot="1" x14ac:dyDescent="0.35">
      <c r="A19" s="76"/>
      <c r="B19" s="73"/>
      <c r="C19" s="35" t="s">
        <v>3</v>
      </c>
      <c r="D19" s="35" t="s">
        <v>78</v>
      </c>
      <c r="E19" s="35"/>
      <c r="F19" s="36" t="e">
        <f t="shared" ref="F19" si="14">(AVERAGEIF(D19:E19,"&gt;0",D19:E19))*10^5*100/8</f>
        <v>#DIV/0!</v>
      </c>
      <c r="G19" s="7"/>
      <c r="H19" s="5">
        <f t="array" ref="H19">IFERROR(INDEX($F$2:$F$181,SMALL(IF($G$2:$G$181=5,ROW($A$1:$A$163),""),ROW(A1))),"")</f>
        <v>2337500</v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5" thickTop="1" x14ac:dyDescent="0.3">
      <c r="A20" s="74" t="s">
        <v>82</v>
      </c>
      <c r="B20" s="77">
        <v>1</v>
      </c>
      <c r="C20" s="30" t="s">
        <v>4</v>
      </c>
      <c r="D20" s="58">
        <v>187</v>
      </c>
      <c r="E20" s="58"/>
      <c r="F20" s="31">
        <f t="shared" ref="F20" si="15">(AVERAGEIF(D20:E20,"&gt;0",D20:E20))*10^3*100/8</f>
        <v>2337500</v>
      </c>
      <c r="G20" s="7">
        <v>5</v>
      </c>
      <c r="H20" s="5">
        <f t="array" ref="H20">IFERROR(INDEX($F$2:$F$181,SMALL(IF($G$2:$G$181=5,ROW($A$1:$A$163),""),ROW(A2))),"")</f>
        <v>2375000</v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75"/>
      <c r="B21" s="71"/>
      <c r="C21" s="11" t="s">
        <v>2</v>
      </c>
      <c r="D21" s="11">
        <v>11</v>
      </c>
      <c r="E21" s="11">
        <v>11</v>
      </c>
      <c r="F21" s="32">
        <f t="shared" ref="F21" si="16">(AVERAGEIF(D21:E21,"&gt;0",D21:E21))*10^4*100/8</f>
        <v>1375000</v>
      </c>
      <c r="G21" s="7"/>
      <c r="H21" s="5">
        <f t="array" ref="H21">IFERROR(INDEX($F$2:$F$181,SMALL(IF($G$2:$G$181=5,ROW($A$1:$A$163),""),ROW(A3))),"")</f>
        <v>3112500</v>
      </c>
      <c r="I21" s="5">
        <f>AVERAGE(H19:H21)</f>
        <v>2608333.3333333335</v>
      </c>
      <c r="J21" s="39">
        <f>STDEV(H19:H21)</f>
        <v>437023.55009007693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5" thickBot="1" x14ac:dyDescent="0.35">
      <c r="A22" s="75"/>
      <c r="B22" s="72"/>
      <c r="C22" s="12" t="s">
        <v>3</v>
      </c>
      <c r="D22" s="12" t="s">
        <v>78</v>
      </c>
      <c r="E22" s="12"/>
      <c r="F22" s="33" t="e">
        <f t="shared" ref="F22" si="17">(AVERAGEIF(D22:E22,"&gt;0",D22:E22))*10^5*100/8</f>
        <v>#DIV/0!</v>
      </c>
      <c r="G22" s="7"/>
      <c r="H22" s="5" t="s">
        <v>17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65" t="s">
        <v>66</v>
      </c>
      <c r="N22" s="46" t="s">
        <v>36</v>
      </c>
      <c r="O22" s="46" t="s">
        <v>37</v>
      </c>
      <c r="P22" s="46" t="s">
        <v>38</v>
      </c>
      <c r="Q22" s="46" t="s">
        <v>39</v>
      </c>
      <c r="R22" s="47" t="s">
        <v>40</v>
      </c>
      <c r="S22" s="47" t="s">
        <v>41</v>
      </c>
      <c r="T22" s="45" t="s">
        <v>42</v>
      </c>
      <c r="U22" s="45" t="s">
        <v>43</v>
      </c>
    </row>
    <row r="23" spans="1:21" x14ac:dyDescent="0.3">
      <c r="A23" s="75"/>
      <c r="B23" s="70">
        <v>2</v>
      </c>
      <c r="C23" s="8" t="s">
        <v>4</v>
      </c>
      <c r="D23" s="59">
        <v>190</v>
      </c>
      <c r="E23" s="59"/>
      <c r="F23" s="34">
        <f t="shared" ref="F23" si="18">(AVERAGEIF(D23:E23,"&gt;0",D23:E23))*10^3*100/8</f>
        <v>2375000</v>
      </c>
      <c r="G23" s="7">
        <v>5</v>
      </c>
      <c r="H23" s="5">
        <f t="array" ref="H23">IFERROR(INDEX($F$2:$F$181,SMALL(IF($G$2:$G$181=6,ROW($A$1:$A$163),""),ROW(A1))),"")</f>
        <v>1250000</v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65" t="s">
        <v>69</v>
      </c>
      <c r="N23" s="9">
        <f>AVERAGE(N4:N21)</f>
        <v>3212500</v>
      </c>
      <c r="O23" s="9">
        <f t="shared" ref="O23:U23" si="19">AVERAGE(O4:O21)</f>
        <v>25208.333333333332</v>
      </c>
      <c r="P23" s="9">
        <f t="shared" si="19"/>
        <v>2545833.3333333335</v>
      </c>
      <c r="Q23" s="9">
        <f t="shared" si="19"/>
        <v>927083.33333333337</v>
      </c>
      <c r="R23" s="9">
        <f t="shared" si="19"/>
        <v>2608333.3333333335</v>
      </c>
      <c r="S23" s="9">
        <f t="shared" si="19"/>
        <v>985416.66666666663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75"/>
      <c r="B24" s="71"/>
      <c r="C24" s="11" t="s">
        <v>2</v>
      </c>
      <c r="D24" s="11">
        <v>21</v>
      </c>
      <c r="E24" s="11">
        <v>21</v>
      </c>
      <c r="F24" s="32">
        <f t="shared" ref="F24" si="20">(AVERAGEIF(D24:E24,"&gt;0",D24:E24))*10^4*100/8</f>
        <v>2625000</v>
      </c>
      <c r="G24" s="7"/>
      <c r="H24" s="5">
        <f t="array" ref="H24">IFERROR(INDEX($F$2:$F$181,SMALL(IF($G$2:$G$181=6,ROW($A$1:$A$163),""),ROW(A2))),"")</f>
        <v>1125000</v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65" t="s">
        <v>68</v>
      </c>
      <c r="N24" s="46" t="s">
        <v>44</v>
      </c>
      <c r="O24" s="46" t="s">
        <v>45</v>
      </c>
      <c r="P24" s="46" t="s">
        <v>46</v>
      </c>
      <c r="Q24" s="46" t="s">
        <v>47</v>
      </c>
      <c r="R24" s="47" t="s">
        <v>48</v>
      </c>
      <c r="S24" s="47" t="s">
        <v>49</v>
      </c>
      <c r="T24" s="45" t="s">
        <v>51</v>
      </c>
      <c r="U24" s="45" t="s">
        <v>50</v>
      </c>
    </row>
    <row r="25" spans="1:21" ht="15" thickBot="1" x14ac:dyDescent="0.35">
      <c r="A25" s="75"/>
      <c r="B25" s="72"/>
      <c r="C25" s="12" t="s">
        <v>3</v>
      </c>
      <c r="D25" s="12" t="s">
        <v>78</v>
      </c>
      <c r="E25" s="12"/>
      <c r="F25" s="33" t="e">
        <f t="shared" ref="F25" si="21">(AVERAGEIF(D25:E25,"&gt;0",D25:E25))*10^5*100/8</f>
        <v>#DIV/0!</v>
      </c>
      <c r="G25" s="7"/>
      <c r="H25" s="5">
        <f t="array" ref="H25">IFERROR(INDEX($F$2:$F$181,SMALL(IF($G$2:$G$181=6,ROW($A$1:$A$163),""),ROW(A3))),"")</f>
        <v>581250</v>
      </c>
      <c r="I25" s="5">
        <f>AVERAGE(H23:H25)</f>
        <v>985416.66666666663</v>
      </c>
      <c r="J25" s="39">
        <f>STDEV(H23:H25)</f>
        <v>355554.87738650589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65" t="s">
        <v>67</v>
      </c>
      <c r="N25" s="14">
        <f t="shared" ref="N25:P25" si="22">STDEV(N4:N21)</f>
        <v>914210.7251613274</v>
      </c>
      <c r="O25" s="14">
        <f t="shared" si="22"/>
        <v>5671.1073286734199</v>
      </c>
      <c r="P25" s="14">
        <f t="shared" si="22"/>
        <v>555136.99510421208</v>
      </c>
      <c r="Q25" s="14">
        <f>STDEV(Q4:Q21)</f>
        <v>399429.93232021714</v>
      </c>
      <c r="R25" s="14">
        <f t="shared" ref="R25:U25" si="23">STDEV(R4:R21)</f>
        <v>437023.55009007693</v>
      </c>
      <c r="S25" s="14">
        <f t="shared" si="23"/>
        <v>355554.87738650589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75"/>
      <c r="B26" s="70">
        <v>3</v>
      </c>
      <c r="C26" s="8" t="s">
        <v>4</v>
      </c>
      <c r="D26" s="59">
        <v>249</v>
      </c>
      <c r="E26" s="59"/>
      <c r="F26" s="34">
        <f t="shared" ref="F26" si="24">(AVERAGEIF(D26:E26,"&gt;0",D26:E26))*10^3*100/8</f>
        <v>3112500</v>
      </c>
      <c r="G26" s="7">
        <v>5</v>
      </c>
      <c r="H26" s="5" t="s">
        <v>18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64"/>
      <c r="N26" s="14"/>
      <c r="O26" s="9"/>
      <c r="P26" s="9"/>
      <c r="Q26" s="9"/>
      <c r="R26" s="10"/>
      <c r="S26" s="10"/>
    </row>
    <row r="27" spans="1:21" x14ac:dyDescent="0.3">
      <c r="A27" s="75"/>
      <c r="B27" s="71"/>
      <c r="C27" s="11" t="s">
        <v>2</v>
      </c>
      <c r="D27" s="11">
        <v>23</v>
      </c>
      <c r="E27" s="11">
        <v>24</v>
      </c>
      <c r="F27" s="32">
        <f t="shared" ref="F27" si="25">(AVERAGEIF(D27:E27,"&gt;0",D27:E27))*10^4*100/8</f>
        <v>2937500</v>
      </c>
      <c r="G27" s="7"/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5" thickBot="1" x14ac:dyDescent="0.35">
      <c r="A28" s="76"/>
      <c r="B28" s="73"/>
      <c r="C28" s="35" t="s">
        <v>3</v>
      </c>
      <c r="D28" s="35" t="s">
        <v>78</v>
      </c>
      <c r="E28" s="35"/>
      <c r="F28" s="36" t="e">
        <f t="shared" ref="F28" si="26">(AVERAGEIF(D28:E28,"&gt;0",D28:E28))*10^5*100/8</f>
        <v>#DIV/0!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127.43801652892563</v>
      </c>
      <c r="P28" s="9"/>
      <c r="Q28" s="9">
        <f t="shared" ref="Q28:U28" si="27">P23/Q23</f>
        <v>2.7460674157303373</v>
      </c>
      <c r="R28" s="9"/>
      <c r="S28" s="9">
        <f t="shared" si="27"/>
        <v>2.6469344608879495</v>
      </c>
      <c r="T28" s="9"/>
      <c r="U28" s="9" t="e">
        <f t="shared" si="27"/>
        <v>#DIV/0!</v>
      </c>
    </row>
    <row r="29" spans="1:21" ht="15" thickTop="1" x14ac:dyDescent="0.3">
      <c r="A29" s="74" t="s">
        <v>59</v>
      </c>
      <c r="B29" s="77">
        <v>1</v>
      </c>
      <c r="C29" s="30" t="s">
        <v>56</v>
      </c>
      <c r="D29" s="58">
        <v>22</v>
      </c>
      <c r="E29" s="58">
        <v>25</v>
      </c>
      <c r="F29" s="31">
        <f>(AVERAGEIF(D29:E29,"&gt;0",D29:E29))*10^2*100/8</f>
        <v>29375</v>
      </c>
      <c r="G29" s="7">
        <v>2</v>
      </c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75"/>
      <c r="B30" s="71"/>
      <c r="C30" s="11" t="s">
        <v>4</v>
      </c>
      <c r="D30" s="11">
        <v>2</v>
      </c>
      <c r="E30" s="11">
        <v>1</v>
      </c>
      <c r="F30" s="32">
        <f>(AVERAGEIF(D30:E30,"&gt;0",D30:E30))*10^3*100/8</f>
        <v>18750</v>
      </c>
      <c r="G30" s="7"/>
      <c r="H30" s="5" t="s">
        <v>19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5" thickBot="1" x14ac:dyDescent="0.35">
      <c r="A31" s="75"/>
      <c r="B31" s="72"/>
      <c r="C31" s="12" t="s">
        <v>2</v>
      </c>
      <c r="D31" s="12" t="s">
        <v>78</v>
      </c>
      <c r="E31" s="12"/>
      <c r="F31" s="33" t="e">
        <f>(AVERAGEIF(D31:E31,"&gt;0",D31:E31))*10^4*100/8</f>
        <v>#DIV/0!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ht="15" thickTop="1" x14ac:dyDescent="0.3">
      <c r="A32" s="75"/>
      <c r="B32" s="70">
        <v>2</v>
      </c>
      <c r="C32" s="30" t="s">
        <v>56</v>
      </c>
      <c r="D32" s="59">
        <v>12</v>
      </c>
      <c r="E32" s="59">
        <v>8</v>
      </c>
      <c r="F32" s="31">
        <f t="shared" ref="F32" si="28">(AVERAGEIF(D32:E32,"&gt;0",D32:E32))*10^2*100/8</f>
        <v>12500</v>
      </c>
      <c r="G32" s="7"/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75"/>
      <c r="B33" s="71"/>
      <c r="C33" s="11" t="s">
        <v>4</v>
      </c>
      <c r="D33" s="11">
        <v>2</v>
      </c>
      <c r="E33" s="11">
        <v>1</v>
      </c>
      <c r="F33" s="32">
        <f t="shared" ref="F33" si="29">(AVERAGEIF(D33:E33,"&gt;0",D33:E33))*10^3*100/8</f>
        <v>18750</v>
      </c>
      <c r="G33" s="7">
        <v>2</v>
      </c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5" thickBot="1" x14ac:dyDescent="0.35">
      <c r="A34" s="75"/>
      <c r="B34" s="72"/>
      <c r="C34" s="12" t="s">
        <v>2</v>
      </c>
      <c r="D34" s="12" t="s">
        <v>78</v>
      </c>
      <c r="E34" s="12"/>
      <c r="F34" s="33" t="e">
        <f t="shared" ref="F34" si="30">(AVERAGEIF(D34:E34,"&gt;0",D34:E34))*10^4*100/8</f>
        <v>#DIV/0!</v>
      </c>
      <c r="G34" s="7"/>
      <c r="H34" s="5" t="s">
        <v>20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ht="15" thickTop="1" x14ac:dyDescent="0.3">
      <c r="A35" s="75"/>
      <c r="B35" s="70">
        <v>3</v>
      </c>
      <c r="C35" s="30" t="s">
        <v>56</v>
      </c>
      <c r="D35" s="59">
        <v>19</v>
      </c>
      <c r="E35" s="59">
        <v>25</v>
      </c>
      <c r="F35" s="31">
        <f t="shared" ref="F35" si="31">(AVERAGEIF(D35:E35,"&gt;0",D35:E35))*10^2*100/8</f>
        <v>27500</v>
      </c>
      <c r="G35" s="7">
        <v>2</v>
      </c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75"/>
      <c r="B36" s="71"/>
      <c r="C36" s="11" t="s">
        <v>4</v>
      </c>
      <c r="D36" s="11">
        <v>5</v>
      </c>
      <c r="E36" s="11">
        <v>1</v>
      </c>
      <c r="F36" s="32">
        <f t="shared" ref="F36" si="32">(AVERAGEIF(D36:E36,"&gt;0",D36:E36))*10^3*100/8</f>
        <v>37500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6"/>
      <c r="N36" s="14"/>
      <c r="O36" s="9"/>
      <c r="P36" s="9"/>
      <c r="Q36" s="9"/>
      <c r="R36" s="10"/>
      <c r="S36" s="10"/>
    </row>
    <row r="37" spans="1:19" ht="15" thickBot="1" x14ac:dyDescent="0.35">
      <c r="A37" s="76"/>
      <c r="B37" s="73"/>
      <c r="C37" s="12" t="s">
        <v>2</v>
      </c>
      <c r="D37" s="35" t="s">
        <v>78</v>
      </c>
      <c r="E37" s="35"/>
      <c r="F37" s="33" t="e">
        <f t="shared" ref="F37" si="33">(AVERAGEIF(D37:E37,"&gt;0",D37:E37))*10^4*100/8</f>
        <v>#DIV/0!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6"/>
      <c r="N37" s="14"/>
      <c r="O37" s="9"/>
      <c r="P37" s="9"/>
      <c r="Q37" s="9"/>
      <c r="R37" s="10"/>
      <c r="S37" s="10"/>
    </row>
    <row r="38" spans="1:19" ht="15" thickTop="1" x14ac:dyDescent="0.3">
      <c r="A38" s="83" t="s">
        <v>83</v>
      </c>
      <c r="B38" s="82">
        <v>1</v>
      </c>
      <c r="C38" s="30" t="s">
        <v>56</v>
      </c>
      <c r="D38" s="30" t="s">
        <v>80</v>
      </c>
      <c r="E38" s="30"/>
      <c r="F38" s="31" t="e">
        <f t="shared" ref="F38" si="34">(AVERAGEIF(D38:E38,"&gt;0",D38:E38))*10^2*100/8</f>
        <v>#DIV/0!</v>
      </c>
      <c r="G38" s="7"/>
      <c r="H38" s="5" t="s">
        <v>21</v>
      </c>
      <c r="J38" s="40"/>
      <c r="K38" s="13"/>
      <c r="L38" s="13"/>
      <c r="M38" s="66"/>
      <c r="N38" s="14"/>
      <c r="O38" s="9"/>
      <c r="P38" s="14"/>
      <c r="Q38" s="14"/>
      <c r="R38" s="10"/>
      <c r="S38" s="10"/>
    </row>
    <row r="39" spans="1:19" x14ac:dyDescent="0.3">
      <c r="A39" s="75"/>
      <c r="B39" s="79"/>
      <c r="C39" s="11" t="s">
        <v>4</v>
      </c>
      <c r="D39" s="11">
        <v>115</v>
      </c>
      <c r="E39" s="11">
        <v>101</v>
      </c>
      <c r="F39" s="32">
        <f t="shared" ref="F39" si="35">(AVERAGEIF(D39:E39,"&gt;0",D39:E39))*10^3*100/8</f>
        <v>1350000</v>
      </c>
      <c r="G39" s="7">
        <v>4</v>
      </c>
      <c r="H39" s="5" t="str">
        <f t="array" ref="H39">IFERROR(INDEX($F$2:$F$181,SMALL(IF($G$2:$G$181=10,ROW($A$1:$A$163),""),ROW(A1))),"")</f>
        <v/>
      </c>
      <c r="J39" s="40"/>
      <c r="K39" s="13"/>
      <c r="L39" s="13"/>
      <c r="M39" s="66"/>
      <c r="N39" s="14"/>
      <c r="O39" s="9"/>
      <c r="P39" s="14"/>
      <c r="Q39" s="14"/>
      <c r="R39" s="10"/>
      <c r="S39" s="10"/>
    </row>
    <row r="40" spans="1:19" ht="15" thickBot="1" x14ac:dyDescent="0.35">
      <c r="A40" s="75"/>
      <c r="B40" s="81"/>
      <c r="C40" s="12" t="s">
        <v>2</v>
      </c>
      <c r="D40" s="12">
        <v>10</v>
      </c>
      <c r="E40" s="12">
        <v>6</v>
      </c>
      <c r="F40" s="33">
        <f t="shared" ref="F40" si="36">(AVERAGEIF(D40:E40,"&gt;0",D40:E40))*10^4*100/8</f>
        <v>1000000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6"/>
      <c r="N40" s="14"/>
      <c r="O40" s="9"/>
      <c r="P40" s="14"/>
      <c r="Q40" s="14"/>
      <c r="R40" s="10"/>
      <c r="S40" s="10"/>
    </row>
    <row r="41" spans="1:19" ht="15" thickTop="1" x14ac:dyDescent="0.3">
      <c r="A41" s="75"/>
      <c r="B41" s="78">
        <v>2</v>
      </c>
      <c r="C41" s="30" t="s">
        <v>56</v>
      </c>
      <c r="D41" s="8" t="s">
        <v>80</v>
      </c>
      <c r="E41" s="8"/>
      <c r="F41" s="31" t="e">
        <f t="shared" ref="F41" si="37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6"/>
      <c r="N41" s="14"/>
      <c r="O41" s="9"/>
      <c r="P41" s="14"/>
      <c r="Q41" s="14"/>
      <c r="R41" s="10"/>
      <c r="S41" s="10"/>
    </row>
    <row r="42" spans="1:19" x14ac:dyDescent="0.3">
      <c r="A42" s="75"/>
      <c r="B42" s="79"/>
      <c r="C42" s="11" t="s">
        <v>4</v>
      </c>
      <c r="D42" s="11">
        <v>69</v>
      </c>
      <c r="E42" s="11">
        <v>55</v>
      </c>
      <c r="F42" s="32">
        <f t="shared" ref="F42" si="38">(AVERAGEIF(D42:E42,"&gt;0",D42:E42))*10^3*100/8</f>
        <v>775000</v>
      </c>
      <c r="G42" s="7"/>
      <c r="H42" s="5" t="s">
        <v>22</v>
      </c>
      <c r="J42" s="40"/>
      <c r="K42" s="13"/>
      <c r="L42" s="13"/>
      <c r="M42" s="66"/>
      <c r="N42" s="14"/>
      <c r="O42" s="9"/>
      <c r="P42" s="14"/>
      <c r="Q42" s="14"/>
      <c r="R42" s="10"/>
      <c r="S42" s="10"/>
    </row>
    <row r="43" spans="1:19" ht="15" thickBot="1" x14ac:dyDescent="0.35">
      <c r="A43" s="75"/>
      <c r="B43" s="81"/>
      <c r="C43" s="12" t="s">
        <v>2</v>
      </c>
      <c r="D43" s="12">
        <v>9</v>
      </c>
      <c r="E43" s="12">
        <v>5</v>
      </c>
      <c r="F43" s="33">
        <f t="shared" ref="F43" si="39">(AVERAGEIF(D43:E43,"&gt;0",D43:E43))*10^4*100/8</f>
        <v>875000</v>
      </c>
      <c r="G43" s="7">
        <v>4</v>
      </c>
      <c r="H43" s="5" t="str">
        <f t="array" ref="H43">IFERROR(INDEX($F$2:$F$181,SMALL(IF($G$2:$G$181=11,ROW($A$1:$A$163),""),ROW(A1))),"")</f>
        <v/>
      </c>
      <c r="J43" s="40"/>
      <c r="K43" s="13"/>
      <c r="L43" s="13"/>
      <c r="M43" s="66"/>
      <c r="N43" s="14"/>
      <c r="O43" s="9"/>
      <c r="P43" s="14"/>
      <c r="Q43" s="14"/>
      <c r="R43" s="10"/>
      <c r="S43" s="10"/>
    </row>
    <row r="44" spans="1:19" ht="15" thickTop="1" x14ac:dyDescent="0.3">
      <c r="A44" s="75"/>
      <c r="B44" s="78">
        <v>3</v>
      </c>
      <c r="C44" s="30" t="s">
        <v>56</v>
      </c>
      <c r="D44" s="8" t="s">
        <v>80</v>
      </c>
      <c r="E44" s="8"/>
      <c r="F44" s="31" t="e">
        <f t="shared" ref="F44" si="40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6"/>
      <c r="N44" s="14"/>
      <c r="O44" s="9"/>
      <c r="P44" s="14"/>
      <c r="Q44" s="14"/>
      <c r="R44" s="10"/>
      <c r="S44" s="10"/>
    </row>
    <row r="45" spans="1:19" x14ac:dyDescent="0.3">
      <c r="A45" s="75"/>
      <c r="B45" s="79"/>
      <c r="C45" s="11" t="s">
        <v>4</v>
      </c>
      <c r="D45" s="11">
        <v>44</v>
      </c>
      <c r="E45" s="11">
        <v>45</v>
      </c>
      <c r="F45" s="32">
        <f t="shared" ref="F45" si="41">(AVERAGEIF(D45:E45,"&gt;0",D45:E45))*10^3*100/8</f>
        <v>556250</v>
      </c>
      <c r="G45" s="7">
        <v>4</v>
      </c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6"/>
      <c r="N45" s="14"/>
      <c r="O45" s="9"/>
      <c r="P45" s="14"/>
      <c r="Q45" s="14"/>
      <c r="R45" s="10"/>
      <c r="S45" s="10"/>
    </row>
    <row r="46" spans="1:19" ht="15" thickBot="1" x14ac:dyDescent="0.35">
      <c r="A46" s="76"/>
      <c r="B46" s="80"/>
      <c r="C46" s="12" t="s">
        <v>2</v>
      </c>
      <c r="D46" s="35">
        <v>2</v>
      </c>
      <c r="E46" s="35"/>
      <c r="F46" s="33">
        <f t="shared" ref="F46" si="42">(AVERAGEIF(D46:E46,"&gt;0",D46:E46))*10^4*100/8</f>
        <v>250000</v>
      </c>
      <c r="G46" s="7"/>
      <c r="H46" s="5" t="s">
        <v>23</v>
      </c>
      <c r="J46" s="40"/>
      <c r="K46" s="13"/>
      <c r="L46" s="13"/>
      <c r="M46" s="66"/>
      <c r="N46" s="14"/>
      <c r="O46" s="9"/>
      <c r="P46" s="14"/>
      <c r="Q46" s="14"/>
      <c r="R46" s="10"/>
      <c r="S46" s="10"/>
    </row>
    <row r="47" spans="1:19" ht="15" thickTop="1" x14ac:dyDescent="0.3">
      <c r="A47" s="83" t="s">
        <v>84</v>
      </c>
      <c r="B47" s="82">
        <v>1</v>
      </c>
      <c r="C47" s="30" t="s">
        <v>56</v>
      </c>
      <c r="D47" s="30" t="s">
        <v>80</v>
      </c>
      <c r="E47" s="30"/>
      <c r="F47" s="31" t="e">
        <f t="shared" ref="F47" si="43">(AVERAGEIF(D47:E47,"&gt;0",D47:E47))*10^2*100/8</f>
        <v>#DIV/0!</v>
      </c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6"/>
      <c r="N47" s="14"/>
      <c r="O47" s="9"/>
      <c r="P47" s="14"/>
      <c r="Q47" s="14"/>
      <c r="R47" s="10"/>
      <c r="S47" s="10"/>
    </row>
    <row r="48" spans="1:19" x14ac:dyDescent="0.3">
      <c r="A48" s="75"/>
      <c r="B48" s="79"/>
      <c r="C48" s="11" t="s">
        <v>4</v>
      </c>
      <c r="D48" s="11">
        <v>144</v>
      </c>
      <c r="E48" s="11">
        <v>137</v>
      </c>
      <c r="F48" s="32">
        <f t="shared" ref="F48" si="44">(AVERAGEIF(D48:E48,"&gt;0",D48:E48))*10^3*100/8</f>
        <v>1756250</v>
      </c>
      <c r="G48" s="7"/>
      <c r="H48" s="5" t="str">
        <f t="array" ref="H48">IFERROR(INDEX($F$2:$F$181,SMALL(IF($G$2:$G$181=12,ROW($A$1:$A$163),""),ROW(A2))),"")</f>
        <v/>
      </c>
      <c r="J48" s="40"/>
      <c r="K48" s="13"/>
      <c r="L48" s="13"/>
      <c r="M48" s="66"/>
      <c r="N48" s="14"/>
      <c r="O48" s="9"/>
      <c r="P48" s="14"/>
      <c r="Q48" s="14"/>
      <c r="R48" s="10"/>
      <c r="S48" s="10"/>
    </row>
    <row r="49" spans="1:21" ht="15" thickBot="1" x14ac:dyDescent="0.35">
      <c r="A49" s="75"/>
      <c r="B49" s="81"/>
      <c r="C49" s="12" t="s">
        <v>2</v>
      </c>
      <c r="D49" s="12">
        <v>13</v>
      </c>
      <c r="E49" s="12">
        <v>7</v>
      </c>
      <c r="F49" s="33">
        <f t="shared" ref="F49" si="45">(AVERAGEIF(D49:E49,"&gt;0",D49:E49))*10^4*100/8</f>
        <v>1250000</v>
      </c>
      <c r="G49" s="7">
        <v>6</v>
      </c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6"/>
      <c r="N49" s="14"/>
      <c r="O49" s="9"/>
      <c r="P49" s="14"/>
      <c r="Q49" s="14"/>
      <c r="R49" s="10"/>
      <c r="S49" s="10"/>
    </row>
    <row r="50" spans="1:21" ht="15" thickTop="1" x14ac:dyDescent="0.3">
      <c r="A50" s="75"/>
      <c r="B50" s="78">
        <v>2</v>
      </c>
      <c r="C50" s="30" t="s">
        <v>56</v>
      </c>
      <c r="D50" s="8" t="s">
        <v>80</v>
      </c>
      <c r="E50" s="8"/>
      <c r="F50" s="31" t="e">
        <f t="shared" ref="F50" si="46">(AVERAGEIF(D50:E50,"&gt;0",D50:E50))*10^2*100/8</f>
        <v>#DIV/0!</v>
      </c>
      <c r="G50" s="7"/>
      <c r="H50" s="5" t="s">
        <v>24</v>
      </c>
      <c r="J50" s="40"/>
      <c r="K50" s="13"/>
      <c r="L50" s="13"/>
      <c r="M50" s="66"/>
      <c r="N50" s="14"/>
      <c r="O50" s="9"/>
      <c r="P50" s="14"/>
      <c r="Q50" s="14"/>
      <c r="R50" s="10"/>
      <c r="S50" s="10"/>
    </row>
    <row r="51" spans="1:21" x14ac:dyDescent="0.3">
      <c r="A51" s="75"/>
      <c r="B51" s="79"/>
      <c r="C51" s="11" t="s">
        <v>4</v>
      </c>
      <c r="D51" s="11">
        <v>117</v>
      </c>
      <c r="E51" s="11">
        <v>94</v>
      </c>
      <c r="F51" s="32">
        <f t="shared" ref="F51" si="47">(AVERAGEIF(D51:E51,"&gt;0",D51:E51))*10^3*100/8</f>
        <v>1318750</v>
      </c>
      <c r="G51" s="7"/>
      <c r="H51" s="5" t="str">
        <f t="array" ref="H51">IFERROR(INDEX($F$2:$F$181,SMALL(IF($G$2:$G$181=13,ROW($A$1:$A$163),""),ROW(A1))),"")</f>
        <v/>
      </c>
      <c r="J51" s="40"/>
      <c r="K51" s="13"/>
      <c r="L51" s="13"/>
      <c r="M51" s="66"/>
      <c r="N51" s="14"/>
      <c r="O51" s="9"/>
      <c r="P51" s="14"/>
      <c r="Q51" s="14"/>
      <c r="R51" s="10"/>
      <c r="S51" s="10"/>
    </row>
    <row r="52" spans="1:21" ht="15" thickBot="1" x14ac:dyDescent="0.35">
      <c r="A52" s="75"/>
      <c r="B52" s="81"/>
      <c r="C52" s="12" t="s">
        <v>2</v>
      </c>
      <c r="D52" s="12">
        <v>9</v>
      </c>
      <c r="E52" s="12">
        <v>9</v>
      </c>
      <c r="F52" s="33">
        <f t="shared" ref="F52" si="48">(AVERAGEIF(D52:E52,"&gt;0",D52:E52))*10^4*100/8</f>
        <v>1125000</v>
      </c>
      <c r="G52" s="7">
        <v>6</v>
      </c>
      <c r="H52" s="5" t="str">
        <f t="array" ref="H52">IFERROR(INDEX($F$2:$F$181,SMALL(IF($G$2:$G$181=13,ROW($A$1:$A$163),""),ROW(A2))),"")</f>
        <v/>
      </c>
      <c r="J52" s="40"/>
      <c r="K52" s="13"/>
      <c r="L52" s="13"/>
      <c r="M52" s="66"/>
      <c r="N52" s="14"/>
      <c r="O52" s="9"/>
      <c r="P52" s="14"/>
      <c r="Q52" s="14"/>
      <c r="R52" s="10"/>
      <c r="S52" s="10"/>
    </row>
    <row r="53" spans="1:21" ht="15" thickTop="1" x14ac:dyDescent="0.3">
      <c r="A53" s="75"/>
      <c r="B53" s="78">
        <v>3</v>
      </c>
      <c r="C53" s="30" t="s">
        <v>56</v>
      </c>
      <c r="D53" s="8" t="s">
        <v>80</v>
      </c>
      <c r="E53" s="8"/>
      <c r="F53" s="31" t="e">
        <f t="shared" ref="F53" si="49">(AVERAGEIF(D53:E53,"&gt;0",D53:E53))*10^2*100/8</f>
        <v>#DIV/0!</v>
      </c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6"/>
      <c r="N53" s="14"/>
      <c r="O53" s="9"/>
      <c r="P53" s="14"/>
      <c r="Q53" s="14"/>
      <c r="R53" s="10"/>
      <c r="S53" s="10"/>
    </row>
    <row r="54" spans="1:21" x14ac:dyDescent="0.3">
      <c r="A54" s="75"/>
      <c r="B54" s="79"/>
      <c r="C54" s="11" t="s">
        <v>4</v>
      </c>
      <c r="D54" s="11">
        <v>47</v>
      </c>
      <c r="E54" s="11">
        <v>46</v>
      </c>
      <c r="F54" s="32">
        <f t="shared" ref="F54" si="50">(AVERAGEIF(D54:E54,"&gt;0",D54:E54))*10^3*100/8</f>
        <v>581250</v>
      </c>
      <c r="G54" s="7">
        <v>6</v>
      </c>
      <c r="H54" s="5" t="s">
        <v>25</v>
      </c>
      <c r="J54" s="40"/>
      <c r="K54" s="13"/>
      <c r="L54" s="13"/>
      <c r="M54" s="66"/>
      <c r="N54" s="14"/>
      <c r="O54" s="9"/>
      <c r="P54" s="14"/>
      <c r="Q54" s="14"/>
      <c r="R54" s="10"/>
      <c r="S54" s="10"/>
    </row>
    <row r="55" spans="1:21" ht="15" thickBot="1" x14ac:dyDescent="0.35">
      <c r="A55" s="76"/>
      <c r="B55" s="80"/>
      <c r="C55" s="12" t="s">
        <v>2</v>
      </c>
      <c r="D55" s="35">
        <v>4</v>
      </c>
      <c r="E55" s="35">
        <v>3</v>
      </c>
      <c r="F55" s="33">
        <f t="shared" ref="F55" si="51">(AVERAGEIF(D55:E55,"&gt;0",D55:E55))*10^4*100/8</f>
        <v>437500</v>
      </c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6"/>
      <c r="N55" s="14"/>
      <c r="O55" s="9"/>
      <c r="P55" s="14"/>
      <c r="Q55" s="14"/>
      <c r="R55" s="10"/>
      <c r="S55" s="10"/>
    </row>
    <row r="56" spans="1:21" ht="15" thickTop="1" x14ac:dyDescent="0.3">
      <c r="A56" s="83"/>
      <c r="B56" s="82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6"/>
      <c r="N56" s="14"/>
      <c r="O56" s="9"/>
      <c r="P56" s="14"/>
      <c r="Q56" s="14"/>
      <c r="R56" s="10"/>
      <c r="S56" s="10"/>
    </row>
    <row r="57" spans="1:21" x14ac:dyDescent="0.3">
      <c r="A57" s="75"/>
      <c r="B57" s="79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6"/>
      <c r="N57" s="14"/>
      <c r="O57" s="9"/>
      <c r="P57" s="14"/>
      <c r="Q57" s="14"/>
      <c r="R57" s="10"/>
      <c r="S57" s="10"/>
    </row>
    <row r="58" spans="1:21" ht="15" thickBot="1" x14ac:dyDescent="0.35">
      <c r="A58" s="75"/>
      <c r="B58" s="81"/>
      <c r="C58" s="12"/>
      <c r="D58" s="12"/>
      <c r="E58" s="12"/>
      <c r="F58" s="36"/>
      <c r="G58" s="7"/>
      <c r="H58" s="5" t="s">
        <v>26</v>
      </c>
      <c r="J58" s="40"/>
      <c r="K58" s="13"/>
      <c r="L58" s="13"/>
      <c r="M58" s="66"/>
      <c r="N58" s="14"/>
      <c r="O58" s="9"/>
      <c r="P58" s="14"/>
      <c r="Q58" s="14"/>
      <c r="R58" s="10"/>
      <c r="S58" s="10"/>
    </row>
    <row r="59" spans="1:21" ht="15" thickTop="1" x14ac:dyDescent="0.3">
      <c r="A59" s="75"/>
      <c r="B59" s="78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6"/>
      <c r="N59" s="14"/>
      <c r="O59" s="9"/>
      <c r="P59" s="14"/>
      <c r="Q59" s="14"/>
      <c r="R59" s="10"/>
      <c r="S59" s="10"/>
    </row>
    <row r="60" spans="1:21" ht="15" thickBot="1" x14ac:dyDescent="0.35">
      <c r="A60" s="75"/>
      <c r="B60" s="79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6"/>
      <c r="N60" s="42"/>
      <c r="O60" s="9"/>
      <c r="P60" s="42"/>
      <c r="Q60" s="42"/>
      <c r="R60" s="43"/>
      <c r="S60" s="43"/>
      <c r="T60" s="44"/>
      <c r="U60" s="44"/>
    </row>
    <row r="61" spans="1:21" ht="15" thickBot="1" x14ac:dyDescent="0.35">
      <c r="A61" s="75"/>
      <c r="B61" s="8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6"/>
      <c r="N61" s="14"/>
      <c r="O61" s="9"/>
      <c r="P61" s="14"/>
      <c r="Q61" s="14"/>
      <c r="R61" s="10"/>
      <c r="S61" s="10"/>
    </row>
    <row r="62" spans="1:21" ht="15" thickTop="1" x14ac:dyDescent="0.3">
      <c r="A62" s="75"/>
      <c r="B62" s="78"/>
      <c r="C62" s="30"/>
      <c r="D62" s="8"/>
      <c r="E62" s="8"/>
      <c r="F62" s="34"/>
      <c r="G62" s="7"/>
      <c r="H62" s="5" t="s">
        <v>27</v>
      </c>
      <c r="J62" s="40"/>
      <c r="K62" s="13"/>
      <c r="L62" s="13"/>
      <c r="M62" s="66"/>
      <c r="N62" s="14"/>
      <c r="O62" s="9"/>
      <c r="P62" s="14"/>
      <c r="Q62" s="14"/>
      <c r="R62" s="10"/>
      <c r="S62" s="10"/>
    </row>
    <row r="63" spans="1:21" x14ac:dyDescent="0.3">
      <c r="A63" s="75"/>
      <c r="B63" s="79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6"/>
      <c r="N63" s="14"/>
      <c r="O63" s="9"/>
      <c r="P63" s="14"/>
      <c r="Q63" s="14"/>
      <c r="R63" s="10"/>
      <c r="S63" s="10"/>
    </row>
    <row r="64" spans="1:21" ht="15" thickBot="1" x14ac:dyDescent="0.35">
      <c r="A64" s="76"/>
      <c r="B64" s="80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6"/>
      <c r="N64" s="14"/>
      <c r="O64" s="9"/>
      <c r="P64" s="14"/>
      <c r="Q64" s="14"/>
      <c r="R64" s="10"/>
      <c r="S64" s="10"/>
    </row>
    <row r="65" spans="1:19" ht="15" thickTop="1" x14ac:dyDescent="0.3">
      <c r="A65" s="83"/>
      <c r="B65" s="82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6"/>
      <c r="N65" s="14"/>
      <c r="O65" s="9"/>
      <c r="P65" s="14"/>
      <c r="Q65" s="14"/>
      <c r="R65" s="10"/>
      <c r="S65" s="10"/>
    </row>
    <row r="66" spans="1:19" x14ac:dyDescent="0.3">
      <c r="A66" s="75"/>
      <c r="B66" s="79"/>
      <c r="C66" s="11"/>
      <c r="D66" s="11"/>
      <c r="E66" s="11"/>
      <c r="F66" s="32"/>
      <c r="G66" s="7"/>
      <c r="H66" s="5" t="s">
        <v>28</v>
      </c>
      <c r="J66" s="40"/>
      <c r="K66" s="13"/>
      <c r="L66" s="13"/>
      <c r="M66" s="66"/>
      <c r="N66" s="14"/>
      <c r="O66" s="9"/>
      <c r="P66" s="14"/>
      <c r="Q66" s="14"/>
      <c r="R66" s="10"/>
      <c r="S66" s="10"/>
    </row>
    <row r="67" spans="1:19" ht="15" thickBot="1" x14ac:dyDescent="0.35">
      <c r="A67" s="75"/>
      <c r="B67" s="8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6"/>
      <c r="N67" s="14"/>
      <c r="O67" s="9"/>
      <c r="P67" s="14"/>
      <c r="Q67" s="14"/>
      <c r="R67" s="10"/>
      <c r="S67" s="10"/>
    </row>
    <row r="68" spans="1:19" ht="15" thickTop="1" x14ac:dyDescent="0.3">
      <c r="A68" s="75"/>
      <c r="B68" s="78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6"/>
      <c r="N68" s="14"/>
      <c r="O68" s="9"/>
      <c r="P68" s="14"/>
      <c r="Q68" s="14"/>
      <c r="R68" s="10"/>
      <c r="S68" s="10"/>
    </row>
    <row r="69" spans="1:19" x14ac:dyDescent="0.3">
      <c r="A69" s="75"/>
      <c r="B69" s="79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6"/>
      <c r="N69" s="14"/>
      <c r="O69" s="9"/>
      <c r="P69" s="14"/>
      <c r="Q69" s="14"/>
      <c r="R69" s="10"/>
      <c r="S69" s="10"/>
    </row>
    <row r="70" spans="1:19" ht="15" thickBot="1" x14ac:dyDescent="0.35">
      <c r="A70" s="75"/>
      <c r="B70" s="81"/>
      <c r="C70" s="12"/>
      <c r="D70" s="12"/>
      <c r="E70" s="12"/>
      <c r="F70" s="36"/>
      <c r="G70" s="7"/>
      <c r="H70" s="5" t="s">
        <v>29</v>
      </c>
      <c r="J70" s="40"/>
      <c r="K70" s="13"/>
      <c r="L70" s="13"/>
      <c r="M70" s="66"/>
      <c r="N70" s="14"/>
      <c r="O70" s="9"/>
      <c r="P70" s="14"/>
      <c r="Q70" s="14"/>
      <c r="R70" s="10"/>
      <c r="S70" s="10"/>
    </row>
    <row r="71" spans="1:19" ht="15" thickTop="1" x14ac:dyDescent="0.3">
      <c r="A71" s="75"/>
      <c r="B71" s="78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6"/>
      <c r="N71" s="14"/>
      <c r="O71" s="9"/>
      <c r="P71" s="14"/>
      <c r="Q71" s="14"/>
      <c r="R71" s="10"/>
      <c r="S71" s="10"/>
    </row>
    <row r="72" spans="1:19" x14ac:dyDescent="0.3">
      <c r="A72" s="75"/>
      <c r="B72" s="79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6"/>
      <c r="N72" s="14"/>
      <c r="O72" s="9"/>
      <c r="P72" s="14"/>
      <c r="Q72" s="14"/>
      <c r="R72" s="10"/>
      <c r="S72" s="10"/>
    </row>
    <row r="73" spans="1:19" ht="15" thickBot="1" x14ac:dyDescent="0.35">
      <c r="A73" s="76"/>
      <c r="B73" s="80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6"/>
      <c r="N73" s="14"/>
      <c r="O73" s="9"/>
      <c r="P73" s="14"/>
      <c r="Q73" s="14"/>
      <c r="R73" s="10"/>
      <c r="S73" s="10"/>
    </row>
    <row r="74" spans="1:19" ht="15" thickTop="1" x14ac:dyDescent="0.3">
      <c r="A74" s="50"/>
      <c r="B74" s="53"/>
      <c r="C74" s="30"/>
      <c r="D74" s="30"/>
      <c r="E74" s="30"/>
      <c r="F74" s="31"/>
      <c r="G74" s="7"/>
      <c r="H74" s="5" t="s">
        <v>30</v>
      </c>
      <c r="J74" s="40"/>
      <c r="K74" s="13"/>
      <c r="L74" s="13"/>
      <c r="M74" s="66"/>
      <c r="N74" s="14"/>
      <c r="O74" s="9"/>
      <c r="P74" s="14"/>
      <c r="Q74" s="14"/>
      <c r="R74" s="10"/>
      <c r="S74" s="10"/>
    </row>
    <row r="75" spans="1:19" x14ac:dyDescent="0.3">
      <c r="A75" s="51"/>
      <c r="B75" s="54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6"/>
      <c r="N75" s="14"/>
      <c r="O75" s="9"/>
      <c r="P75" s="14"/>
      <c r="Q75" s="14"/>
      <c r="R75" s="10"/>
      <c r="S75" s="10"/>
    </row>
    <row r="76" spans="1:19" ht="15" thickBot="1" x14ac:dyDescent="0.35">
      <c r="A76" s="51"/>
      <c r="B76" s="55"/>
      <c r="C76" s="12"/>
      <c r="D76" s="12"/>
      <c r="E76" s="12"/>
      <c r="F76" s="33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6"/>
      <c r="N76" s="14"/>
      <c r="O76" s="9"/>
      <c r="P76" s="14"/>
      <c r="Q76" s="14"/>
      <c r="R76" s="10"/>
      <c r="S76" s="10"/>
    </row>
    <row r="77" spans="1:19" x14ac:dyDescent="0.3">
      <c r="A77" s="51"/>
      <c r="B77" s="56"/>
      <c r="C77" s="8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6"/>
      <c r="N77" s="14"/>
      <c r="O77" s="9"/>
      <c r="P77" s="14"/>
      <c r="Q77" s="14"/>
      <c r="R77" s="10"/>
      <c r="S77" s="10"/>
    </row>
    <row r="78" spans="1:19" x14ac:dyDescent="0.3">
      <c r="A78" s="51"/>
      <c r="B78" s="54"/>
      <c r="C78" s="11"/>
      <c r="D78" s="11"/>
      <c r="E78" s="11"/>
      <c r="F78" s="32"/>
      <c r="G78" s="7"/>
      <c r="H78" s="5" t="s">
        <v>31</v>
      </c>
      <c r="J78" s="40"/>
      <c r="K78" s="13"/>
      <c r="L78" s="13"/>
      <c r="M78" s="66"/>
      <c r="N78" s="14"/>
      <c r="O78" s="9"/>
      <c r="P78" s="14"/>
      <c r="Q78" s="14"/>
      <c r="R78" s="10"/>
      <c r="S78" s="10"/>
    </row>
    <row r="79" spans="1:19" ht="15" thickBot="1" x14ac:dyDescent="0.35">
      <c r="A79" s="51"/>
      <c r="B79" s="55"/>
      <c r="C79" s="12"/>
      <c r="D79" s="12"/>
      <c r="E79" s="12"/>
      <c r="F79" s="33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6"/>
      <c r="N79" s="14"/>
      <c r="O79" s="9"/>
      <c r="P79" s="14"/>
      <c r="Q79" s="14"/>
      <c r="R79" s="10"/>
      <c r="S79" s="10"/>
    </row>
    <row r="80" spans="1:19" x14ac:dyDescent="0.3">
      <c r="A80" s="51"/>
      <c r="B80" s="56"/>
      <c r="C80" s="8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6"/>
      <c r="N80" s="14"/>
      <c r="O80" s="9"/>
      <c r="P80" s="14"/>
      <c r="Q80" s="14"/>
      <c r="R80" s="10"/>
      <c r="S80" s="10"/>
    </row>
    <row r="81" spans="1:22" x14ac:dyDescent="0.3">
      <c r="A81" s="51"/>
      <c r="B81" s="54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6"/>
      <c r="N81" s="14"/>
      <c r="O81" s="9"/>
      <c r="P81" s="14"/>
      <c r="Q81" s="14"/>
      <c r="R81" s="10"/>
      <c r="S81" s="10"/>
    </row>
    <row r="82" spans="1:22" ht="15" thickBot="1" x14ac:dyDescent="0.35">
      <c r="A82" s="52"/>
      <c r="B82" s="57"/>
      <c r="C82" s="35"/>
      <c r="D82" s="35"/>
      <c r="E82" s="35"/>
      <c r="F82" s="36"/>
      <c r="G82" s="7"/>
      <c r="J82" s="40"/>
      <c r="K82" s="13"/>
      <c r="L82" s="13"/>
      <c r="M82" s="66"/>
      <c r="N82" s="14"/>
      <c r="O82" s="9"/>
      <c r="P82" s="14"/>
      <c r="Q82" s="14"/>
      <c r="R82" s="10"/>
      <c r="S82" s="10"/>
    </row>
    <row r="83" spans="1:22" ht="1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6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6"/>
      <c r="N84" s="14"/>
      <c r="O84" s="9"/>
      <c r="P84" s="14"/>
      <c r="Q84" s="14"/>
      <c r="R84" s="10"/>
      <c r="S84" s="10"/>
    </row>
    <row r="85" spans="1:22" ht="1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6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6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6"/>
      <c r="N87" s="14"/>
      <c r="O87" s="9"/>
      <c r="P87" s="14"/>
      <c r="Q87" s="14"/>
      <c r="R87" s="10"/>
      <c r="S87" s="10"/>
    </row>
    <row r="88" spans="1:22" ht="1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6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6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6"/>
      <c r="N90" s="14"/>
      <c r="O90" s="9"/>
      <c r="P90" s="14"/>
      <c r="Q90" s="14"/>
      <c r="R90" s="10"/>
      <c r="S90" s="10"/>
    </row>
    <row r="91" spans="1:22" ht="1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6"/>
      <c r="N91" s="14"/>
      <c r="O91" s="9"/>
      <c r="P91" s="14"/>
      <c r="Q91" s="14"/>
      <c r="R91" s="10"/>
      <c r="S91" s="10"/>
    </row>
    <row r="92" spans="1:22" ht="1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6"/>
      <c r="N92" s="14"/>
      <c r="O92" s="9"/>
      <c r="P92" s="14"/>
      <c r="Q92" s="14"/>
      <c r="R92" s="10"/>
      <c r="S92" s="10"/>
    </row>
    <row r="93" spans="1:22" ht="1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6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6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6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6"/>
      <c r="N96" s="14"/>
      <c r="O96" s="9"/>
      <c r="P96" s="14"/>
      <c r="Q96" s="14"/>
      <c r="R96" s="10"/>
      <c r="S96" s="10"/>
    </row>
    <row r="97" spans="1:19" ht="1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6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6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6"/>
      <c r="N99" s="14"/>
      <c r="O99" s="9"/>
      <c r="P99" s="14"/>
      <c r="Q99" s="14"/>
      <c r="R99" s="10"/>
      <c r="S99" s="10"/>
    </row>
    <row r="100" spans="1:19" ht="1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6"/>
      <c r="N100" s="14"/>
      <c r="O100" s="9"/>
      <c r="P100" s="14"/>
      <c r="Q100" s="14"/>
      <c r="R100" s="10"/>
      <c r="S100" s="10"/>
    </row>
    <row r="101" spans="1:19" ht="1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6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6"/>
      <c r="N102" s="14"/>
      <c r="O102" s="9"/>
      <c r="P102" s="14"/>
      <c r="Q102" s="14"/>
      <c r="R102" s="10"/>
      <c r="S102" s="10"/>
    </row>
    <row r="103" spans="1:19" ht="1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6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6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6"/>
      <c r="N105" s="14"/>
      <c r="O105" s="9"/>
      <c r="P105" s="14"/>
      <c r="Q105" s="14"/>
      <c r="R105" s="10"/>
      <c r="S105" s="10"/>
    </row>
    <row r="106" spans="1:19" ht="1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6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6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6"/>
      <c r="N108" s="14"/>
      <c r="O108" s="9"/>
      <c r="P108" s="14"/>
      <c r="Q108" s="14"/>
      <c r="R108" s="10"/>
      <c r="S108" s="10"/>
    </row>
    <row r="109" spans="1:19" ht="1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6"/>
      <c r="N109" s="14"/>
      <c r="O109" s="9"/>
      <c r="P109" s="14"/>
      <c r="Q109" s="14"/>
      <c r="R109" s="10"/>
      <c r="S109" s="10"/>
    </row>
    <row r="110" spans="1:19" ht="1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6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6"/>
      <c r="N111" s="14"/>
      <c r="O111" s="9"/>
      <c r="P111" s="14"/>
      <c r="Q111" s="14"/>
      <c r="R111" s="10"/>
      <c r="S111" s="10"/>
    </row>
    <row r="112" spans="1:19" ht="1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6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6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6"/>
      <c r="N114" s="14"/>
      <c r="O114" s="9"/>
      <c r="P114" s="14"/>
      <c r="Q114" s="14"/>
      <c r="R114" s="10"/>
      <c r="S114" s="10"/>
    </row>
    <row r="115" spans="1:19" ht="1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6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6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6"/>
      <c r="N117" s="14"/>
      <c r="O117" s="9"/>
      <c r="P117" s="14"/>
      <c r="Q117" s="14"/>
      <c r="R117" s="10"/>
      <c r="S117" s="10"/>
    </row>
    <row r="118" spans="1:19" ht="1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6"/>
      <c r="N118" s="14"/>
      <c r="O118" s="9"/>
      <c r="P118" s="14"/>
      <c r="Q118" s="14"/>
      <c r="R118" s="10"/>
      <c r="S118" s="10"/>
    </row>
    <row r="119" spans="1:19" ht="1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6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6"/>
      <c r="N120" s="14"/>
      <c r="O120" s="9"/>
      <c r="P120" s="14"/>
      <c r="Q120" s="14"/>
      <c r="R120" s="10"/>
      <c r="S120" s="10"/>
    </row>
    <row r="121" spans="1:19" ht="1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6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6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6"/>
      <c r="N123" s="14"/>
      <c r="O123" s="9"/>
      <c r="P123" s="14"/>
      <c r="Q123" s="14"/>
      <c r="R123" s="10"/>
      <c r="S123" s="10"/>
    </row>
    <row r="124" spans="1:19" ht="1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6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6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6"/>
      <c r="N126" s="14"/>
      <c r="O126" s="9"/>
      <c r="P126" s="14"/>
      <c r="Q126" s="14"/>
      <c r="R126" s="10"/>
      <c r="S126" s="10"/>
    </row>
    <row r="127" spans="1:19" ht="1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6"/>
      <c r="N127" s="14"/>
      <c r="O127" s="9"/>
      <c r="P127" s="14"/>
      <c r="Q127" s="14"/>
      <c r="R127" s="10"/>
      <c r="S127" s="10"/>
    </row>
    <row r="128" spans="1:19" ht="1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6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6"/>
      <c r="N129" s="14"/>
      <c r="O129" s="9"/>
      <c r="P129" s="14"/>
      <c r="Q129" s="14"/>
      <c r="R129" s="10"/>
      <c r="S129" s="10"/>
    </row>
    <row r="130" spans="1:19" ht="1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6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6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6"/>
      <c r="N132" s="14"/>
      <c r="O132" s="9"/>
      <c r="P132" s="14"/>
      <c r="Q132" s="14"/>
      <c r="R132" s="10"/>
      <c r="S132" s="10"/>
    </row>
    <row r="133" spans="1:19" ht="1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6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6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6"/>
      <c r="N135" s="14"/>
      <c r="O135" s="9"/>
      <c r="P135" s="14"/>
      <c r="Q135" s="14"/>
      <c r="R135" s="10"/>
      <c r="S135" s="10"/>
    </row>
    <row r="136" spans="1:19" ht="1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6"/>
      <c r="N136" s="14"/>
      <c r="O136" s="9"/>
      <c r="P136" s="14"/>
      <c r="Q136" s="14"/>
      <c r="R136" s="10"/>
      <c r="S136" s="10"/>
    </row>
    <row r="137" spans="1:19" ht="1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6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6"/>
      <c r="N138" s="14"/>
      <c r="O138" s="9"/>
      <c r="P138" s="14"/>
      <c r="Q138" s="14"/>
      <c r="R138" s="10"/>
      <c r="S138" s="10"/>
    </row>
    <row r="139" spans="1:19" ht="1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6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6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6"/>
      <c r="N141" s="14"/>
      <c r="O141" s="9"/>
      <c r="P141" s="14"/>
      <c r="Q141" s="14"/>
      <c r="R141" s="10"/>
      <c r="S141" s="10"/>
    </row>
    <row r="142" spans="1:19" ht="1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6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6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6"/>
      <c r="N144" s="14"/>
      <c r="O144" s="9"/>
      <c r="P144" s="14"/>
      <c r="Q144" s="14"/>
      <c r="R144" s="10"/>
      <c r="S144" s="10"/>
    </row>
    <row r="145" spans="1:19" ht="1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6"/>
      <c r="N145" s="14"/>
      <c r="O145" s="9"/>
      <c r="P145" s="14"/>
      <c r="Q145" s="14"/>
      <c r="R145" s="10"/>
      <c r="S145" s="10"/>
    </row>
    <row r="146" spans="1:19" ht="1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6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6"/>
      <c r="N147" s="14"/>
      <c r="O147" s="9"/>
      <c r="P147" s="14"/>
      <c r="Q147" s="14"/>
      <c r="R147" s="10"/>
      <c r="S147" s="10"/>
    </row>
    <row r="148" spans="1:19" ht="1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6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6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6"/>
      <c r="N150" s="14"/>
      <c r="O150" s="9"/>
      <c r="P150" s="14"/>
      <c r="Q150" s="14"/>
      <c r="R150" s="10"/>
      <c r="S150" s="10"/>
    </row>
    <row r="151" spans="1:19" ht="1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6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6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6"/>
      <c r="N153" s="14"/>
      <c r="O153" s="9"/>
      <c r="P153" s="14"/>
      <c r="Q153" s="14"/>
      <c r="R153" s="10"/>
      <c r="S153" s="10"/>
    </row>
    <row r="154" spans="1:19" ht="1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6"/>
      <c r="N154" s="14"/>
      <c r="O154" s="9"/>
      <c r="P154" s="14"/>
      <c r="Q154" s="14"/>
      <c r="R154" s="10"/>
      <c r="S154" s="10"/>
    </row>
    <row r="155" spans="1:19" ht="1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6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6"/>
      <c r="N156" s="14"/>
      <c r="O156" s="9"/>
      <c r="P156" s="14"/>
      <c r="Q156" s="14"/>
      <c r="R156" s="10"/>
      <c r="S156" s="10"/>
    </row>
    <row r="157" spans="1:19" ht="1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6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6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6"/>
      <c r="N159" s="14"/>
      <c r="O159" s="9"/>
      <c r="P159" s="14"/>
      <c r="Q159" s="14"/>
      <c r="R159" s="10"/>
      <c r="S159" s="10"/>
    </row>
    <row r="160" spans="1:19" ht="1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6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6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6"/>
      <c r="N162" s="14"/>
      <c r="O162" s="9"/>
      <c r="P162" s="14"/>
      <c r="Q162" s="14"/>
      <c r="R162" s="10"/>
      <c r="S162" s="10"/>
    </row>
    <row r="163" spans="1:19" ht="1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6"/>
      <c r="N163" s="14"/>
      <c r="O163" s="9"/>
      <c r="P163" s="14"/>
      <c r="Q163" s="14"/>
      <c r="R163" s="10"/>
      <c r="S163" s="10"/>
    </row>
    <row r="164" spans="1:19" ht="1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6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6"/>
      <c r="N165" s="14"/>
      <c r="O165" s="9"/>
      <c r="P165" s="21"/>
      <c r="Q165" s="21"/>
      <c r="R165" s="10"/>
      <c r="S165" s="10"/>
    </row>
    <row r="166" spans="1:19" ht="1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6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6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6"/>
      <c r="N168" s="14"/>
      <c r="O168" s="9"/>
      <c r="P168" s="21"/>
      <c r="Q168" s="21"/>
      <c r="R168" s="10"/>
      <c r="S168" s="10"/>
    </row>
    <row r="169" spans="1:19" ht="1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6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6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6"/>
      <c r="N171" s="14"/>
      <c r="O171" s="9"/>
      <c r="P171" s="21"/>
      <c r="Q171" s="21"/>
      <c r="R171" s="10"/>
      <c r="S171" s="10"/>
    </row>
    <row r="172" spans="1:19" ht="1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6"/>
      <c r="N172" s="14"/>
      <c r="O172" s="9"/>
      <c r="P172" s="21"/>
      <c r="Q172" s="21"/>
      <c r="R172" s="10"/>
      <c r="S172" s="10"/>
    </row>
    <row r="173" spans="1:19" ht="1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7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7"/>
      <c r="O174" s="9"/>
      <c r="P174" s="21"/>
      <c r="Q174" s="21"/>
      <c r="R174" s="10"/>
      <c r="S174" s="10"/>
    </row>
    <row r="175" spans="1:19" ht="1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7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7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7"/>
      <c r="O177" s="9"/>
      <c r="P177" s="21"/>
      <c r="Q177" s="21"/>
    </row>
    <row r="178" spans="1:17" ht="1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7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7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7"/>
      <c r="O180" s="9"/>
      <c r="P180" s="21"/>
      <c r="Q180" s="21"/>
    </row>
    <row r="181" spans="1:17" ht="1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7"/>
      <c r="O181" s="9"/>
      <c r="P181" s="21"/>
      <c r="Q181" s="21"/>
    </row>
    <row r="182" spans="1:17" ht="15" thickTop="1" x14ac:dyDescent="0.3">
      <c r="G182" s="28"/>
      <c r="O182" s="9"/>
    </row>
  </sheetData>
  <mergeCells count="32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  <mergeCell ref="A38:A46"/>
    <mergeCell ref="B38:B40"/>
    <mergeCell ref="B41:B43"/>
    <mergeCell ref="B44:B46"/>
    <mergeCell ref="A47:A55"/>
    <mergeCell ref="B47:B49"/>
    <mergeCell ref="B50:B52"/>
    <mergeCell ref="B53:B55"/>
    <mergeCell ref="A56:A64"/>
    <mergeCell ref="B56:B58"/>
    <mergeCell ref="B59:B61"/>
    <mergeCell ref="B62:B64"/>
    <mergeCell ref="A65:A73"/>
    <mergeCell ref="B65:B67"/>
    <mergeCell ref="B68:B70"/>
    <mergeCell ref="B71:B7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ACE6-5C1D-412E-B96A-9A0DED00B94E}">
  <dimension ref="A1:V182"/>
  <sheetViews>
    <sheetView topLeftCell="F29" zoomScaleNormal="100" workbookViewId="0">
      <selection activeCell="N4" sqref="N4:S6"/>
    </sheetView>
  </sheetViews>
  <sheetFormatPr defaultColWidth="9.109375" defaultRowHeight="14.4" x14ac:dyDescent="0.3"/>
  <cols>
    <col min="1" max="1" width="10.6640625" style="23" customWidth="1"/>
    <col min="2" max="2" width="10.6640625" style="24" customWidth="1"/>
    <col min="3" max="3" width="12.6640625" style="25" bestFit="1" customWidth="1"/>
    <col min="4" max="4" width="20.33203125" style="25" customWidth="1"/>
    <col min="5" max="5" width="21" style="25" customWidth="1"/>
    <col min="6" max="6" width="11.44140625" style="5" customWidth="1"/>
    <col min="7" max="7" width="11.44140625" style="29" customWidth="1"/>
    <col min="8" max="8" width="14.44140625" style="5" customWidth="1"/>
    <col min="9" max="9" width="12.6640625" style="5" bestFit="1" customWidth="1"/>
    <col min="10" max="12" width="12.6640625" style="5" customWidth="1"/>
    <col min="13" max="13" width="12.6640625" style="7" customWidth="1"/>
    <col min="14" max="15" width="12.6640625" style="21" customWidth="1"/>
    <col min="16" max="19" width="12.6640625" style="5" customWidth="1"/>
    <col min="20" max="20" width="11.88671875" style="5" customWidth="1"/>
    <col min="21" max="21" width="12.44140625" style="5" customWidth="1"/>
    <col min="22" max="22" width="13.109375" style="7" customWidth="1"/>
    <col min="23" max="16384" width="9.109375" style="7"/>
  </cols>
  <sheetData>
    <row r="1" spans="1:22" ht="28.5" thickBot="1" x14ac:dyDescent="0.35">
      <c r="A1" s="1" t="s">
        <v>0</v>
      </c>
      <c r="B1" s="2" t="s">
        <v>8</v>
      </c>
      <c r="C1" s="3" t="s">
        <v>1</v>
      </c>
      <c r="D1" s="3" t="s">
        <v>6</v>
      </c>
      <c r="E1" s="3" t="s">
        <v>7</v>
      </c>
      <c r="F1" s="4" t="s">
        <v>9</v>
      </c>
      <c r="G1" s="27" t="s">
        <v>11</v>
      </c>
      <c r="H1" s="26" t="s">
        <v>32</v>
      </c>
      <c r="I1" s="26" t="s">
        <v>33</v>
      </c>
      <c r="J1" s="26" t="s">
        <v>10</v>
      </c>
      <c r="K1" s="26" t="s">
        <v>34</v>
      </c>
      <c r="L1" s="26" t="s">
        <v>35</v>
      </c>
      <c r="M1" s="6"/>
      <c r="N1" s="48" t="s">
        <v>58</v>
      </c>
      <c r="O1" s="48" t="s">
        <v>59</v>
      </c>
      <c r="P1" s="48" t="s">
        <v>60</v>
      </c>
      <c r="Q1" s="48" t="s">
        <v>61</v>
      </c>
      <c r="R1" s="48" t="s">
        <v>85</v>
      </c>
      <c r="S1" s="48" t="s">
        <v>86</v>
      </c>
      <c r="T1" s="45" t="s">
        <v>64</v>
      </c>
      <c r="U1" s="45" t="s">
        <v>65</v>
      </c>
      <c r="V1" s="6"/>
    </row>
    <row r="2" spans="1:22" ht="15.75" customHeight="1" thickTop="1" x14ac:dyDescent="0.3">
      <c r="A2" s="74" t="s">
        <v>58</v>
      </c>
      <c r="B2" s="77">
        <v>1</v>
      </c>
      <c r="C2" s="30" t="s">
        <v>4</v>
      </c>
      <c r="D2" s="58">
        <v>119</v>
      </c>
      <c r="E2" s="58">
        <v>96</v>
      </c>
      <c r="F2" s="31">
        <f>(AVERAGEIF(D2:E2,"&gt;0",D2:E2))*10^3*100/8</f>
        <v>1343750</v>
      </c>
      <c r="G2" s="7">
        <v>1</v>
      </c>
      <c r="H2" s="5" t="s">
        <v>12</v>
      </c>
      <c r="J2" s="38"/>
      <c r="K2" s="41">
        <f t="array" ref="K2">IFERROR(INDEX($I$2:$I$81,SMALL(IF(ISNUMBER($I$2:$I$81),ROW($A$1:$A$80),""),ROW(A1))),"")</f>
        <v>1275000</v>
      </c>
      <c r="L2" s="41">
        <f t="array" ref="L2">IFERROR(INDEX($J$2:$J$81,SMALL(IF(ISNUMBER($J$2:$J$81),ROW($A$1:$A$80),""),ROW(A1))),"")</f>
        <v>395136.44795184361</v>
      </c>
      <c r="M2" s="63" t="s">
        <v>52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75"/>
      <c r="B3" s="71"/>
      <c r="C3" s="11" t="s">
        <v>2</v>
      </c>
      <c r="D3" s="11">
        <v>6</v>
      </c>
      <c r="E3" s="11">
        <v>11</v>
      </c>
      <c r="F3" s="32">
        <f>(AVERAGEIF(D3:E3,"&gt;0",D3:E3))*10^4*100/8</f>
        <v>1062500</v>
      </c>
      <c r="G3" s="7"/>
      <c r="H3" s="5">
        <f t="array" ref="H3">IFERROR(INDEX($F$2:$F$181,SMALL(IF($G$2:$G$181=1,ROW($A$1:$A$163),""),ROW(A1))),"")</f>
        <v>1343750</v>
      </c>
      <c r="J3" s="39"/>
      <c r="K3" s="41">
        <f t="array" ref="K3">IFERROR(INDEX($I$2:$I$81,SMALL(IF(ISNUMBER($I$2:$I$81),ROW($A$1:$A$80),""),ROW(A2))),"")</f>
        <v>75625</v>
      </c>
      <c r="L3" s="41">
        <f t="array" ref="L3">IFERROR(INDEX($J$2:$J$81,SMALL(IF(ISNUMBER($J$2:$J$81),ROW($A$1:$A$80),""),ROW(A2))),"")</f>
        <v>42815.921396134872</v>
      </c>
      <c r="M3" s="63" t="s">
        <v>53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5" thickBot="1" x14ac:dyDescent="0.35">
      <c r="A4" s="75"/>
      <c r="B4" s="72"/>
      <c r="C4" s="12" t="s">
        <v>3</v>
      </c>
      <c r="D4" s="12"/>
      <c r="E4" s="12"/>
      <c r="F4" s="33" t="e">
        <f>(AVERAGEIF(D4:E4,"&gt;0",D4:E4))*10^5*100/8</f>
        <v>#DIV/0!</v>
      </c>
      <c r="G4" s="7"/>
      <c r="H4" s="5">
        <f t="array" ref="H4">IFERROR(INDEX($F$2:$F$181,SMALL(IF($G$2:$G$181=1,ROW($A$1:$A$163),""),ROW(A2))),"")</f>
        <v>850000</v>
      </c>
      <c r="J4" s="39"/>
      <c r="K4" s="41">
        <f t="array" ref="K4">IFERROR(INDEX($I$2:$I$81,SMALL(IF(ISNUMBER($I$2:$I$81),ROW($A$1:$A$80),""),ROW(A3))),"")</f>
        <v>2495833.3333333335</v>
      </c>
      <c r="L4" s="41">
        <f t="array" ref="L4">IFERROR(INDEX($J$2:$J$81,SMALL(IF(ISNUMBER($J$2:$J$81),ROW($A$1:$A$80),""),ROW(A3))),"")</f>
        <v>976307.88347392448</v>
      </c>
      <c r="M4" s="64"/>
      <c r="N4" s="9">
        <f t="array" ref="N4">IFERROR(INDEX($F$2:$F$181,SMALL(_xlfn.IFS($G$2:$G$181&lt;$N$2,"",$G$2:$G$181&gt;$N$3,"",ISNUMBER($G$2:$G$181),ROW($A$1:$A$180)),ROW(A1))),"")</f>
        <v>1343750</v>
      </c>
      <c r="O4" s="9">
        <f t="array" ref="O4">IFERROR(INDEX($F$2:$F$181,SMALL(_xlfn.IFS($G$2:$G$181&lt;$O$2,"",$G$2:$G$181&gt;$O$3,"",ISNUMBER($G$2:$G$181),ROW($A$1:$A$180)),ROW(A1))),"")</f>
        <v>75000</v>
      </c>
      <c r="P4" s="9">
        <f t="array" ref="P4">IFERROR(INDEX($F$2:$F$181,SMALL(_xlfn.IFS($G$2:$G$181&lt;$P$2,"",$G$2:$G$181&gt;$P$3,"",ISNUMBER($G$2:$G$181),ROW($A$1:$A$180)),ROW(A1))),"")</f>
        <v>1550000</v>
      </c>
      <c r="Q4" s="9">
        <f t="array" ref="Q4">IFERROR(INDEX($F$2:$F$181,SMALL(_xlfn.IFS($G$2:$G$181&lt;$Q$2,"",$G$2:$G$181&gt;$Q$3,"",ISNUMBER($G$2:$G$181),ROW($A$1:$A$180)),ROW(A1))),"")</f>
        <v>162500</v>
      </c>
      <c r="R4" s="9">
        <f t="array" ref="R4">IFERROR(INDEX($F$2:$F$181,SMALL(_xlfn.IFS($G$2:$G$181&lt;$R$2,"",$G$2:$G$181&gt;$R$3,"",ISNUMBER($G$2:$G$181),ROW($A$1:$A$180)),ROW(A1))),"")</f>
        <v>2875000</v>
      </c>
      <c r="S4" s="10">
        <f t="array" ref="S4">IFERROR(INDEX($F$2:$F$181,SMALL(_xlfn.IFS($G$2:$G$181&lt;$S$2,"",$G$2:$G$181&gt;$S$3,"",ISNUMBER($G$2:$G$181),ROW($A$1:$A$180)),ROW(A1))),"")</f>
        <v>656250</v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x14ac:dyDescent="0.3">
      <c r="A5" s="75"/>
      <c r="B5" s="70">
        <v>2</v>
      </c>
      <c r="C5" s="8" t="s">
        <v>4</v>
      </c>
      <c r="D5" s="59">
        <v>60</v>
      </c>
      <c r="E5" s="59">
        <v>76</v>
      </c>
      <c r="F5" s="34">
        <f t="shared" ref="F5" si="0">(AVERAGEIF(D5:E5,"&gt;0",D5:E5))*10^3*100/8</f>
        <v>850000</v>
      </c>
      <c r="G5" s="7">
        <v>1</v>
      </c>
      <c r="H5" s="5">
        <f t="array" ref="H5">IFERROR(INDEX($F$2:$F$181,SMALL(IF($G$2:$G$181=1,ROW($A$1:$A$163),""),ROW(A3))),"")</f>
        <v>1631250</v>
      </c>
      <c r="I5" s="5">
        <f>AVERAGE(H3:H5)</f>
        <v>1275000</v>
      </c>
      <c r="J5" s="39">
        <f>STDEV(H3:H5)</f>
        <v>395136.44795184361</v>
      </c>
      <c r="K5" s="41">
        <f t="array" ref="K5">IFERROR(INDEX($I$2:$I$81,SMALL(IF(ISNUMBER($I$2:$I$81),ROW($A$1:$A$80),""),ROW(A4))),"")</f>
        <v>477083.33333333331</v>
      </c>
      <c r="L5" s="41">
        <f t="array" ref="L5">IFERROR(INDEX($J$2:$J$81,SMALL(IF(ISNUMBER($J$2:$J$81),ROW($A$1:$A$80),""),ROW(A4))),"")</f>
        <v>272598.41495014844</v>
      </c>
      <c r="M5" s="64"/>
      <c r="N5" s="9">
        <f t="array" ref="N5">IFERROR(INDEX($F$2:$F$181,SMALL(_xlfn.IFS($G$2:$G$181&lt;$N$2,"",$G$2:$G$181&gt;$N$3,"",ISNUMBER($G$2:$G$181),ROW($A$1:$A$180)),ROW(A2))),"")</f>
        <v>850000</v>
      </c>
      <c r="O5" s="9">
        <f t="array" ref="O5">IFERROR(INDEX($F$2:$F$181,SMALL(_xlfn.IFS($G$2:$G$181&lt;$O$2,"",$G$2:$G$181&gt;$O$3,"",ISNUMBER($G$2:$G$181),ROW($A$1:$A$180)),ROW(A2))),"")</f>
        <v>118750</v>
      </c>
      <c r="P5" s="9">
        <f t="array" ref="P5">IFERROR(INDEX($F$2:$F$181,SMALL(_xlfn.IFS($G$2:$G$181&lt;$P$2,"",$G$2:$G$181&gt;$P$3,"",ISNUMBER($G$2:$G$181),ROW($A$1:$A$180)),ROW(A2))),"")</f>
        <v>3500000</v>
      </c>
      <c r="Q5" s="9">
        <f t="array" ref="Q5">IFERROR(INDEX($F$2:$F$181,SMALL(_xlfn.IFS($G$2:$G$181&lt;$Q$2,"",$G$2:$G$181&gt;$Q$3,"",ISNUMBER($G$2:$G$181),ROW($A$1:$A$180)),ROW(A2))),"")</f>
        <v>643750</v>
      </c>
      <c r="R5" s="9">
        <f t="array" ref="R5">IFERROR(INDEX($F$2:$F$181,SMALL(_xlfn.IFS($G$2:$G$181&lt;$R$2,"",$G$2:$G$181&gt;$R$3,"",ISNUMBER($G$2:$G$181),ROW($A$1:$A$180)),ROW(A2))),"")</f>
        <v>918750</v>
      </c>
      <c r="S5" s="10">
        <f t="array" ref="S5">IFERROR(INDEX($F$2:$F$181,SMALL(_xlfn.IFS($G$2:$G$181&lt;$S$2,"",$G$2:$G$181&gt;$S$3,"",ISNUMBER($G$2:$G$181),ROW($A$1:$A$180)),ROW(A2))),"")</f>
        <v>193750</v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75"/>
      <c r="B6" s="71"/>
      <c r="C6" s="11" t="s">
        <v>2</v>
      </c>
      <c r="D6" s="11">
        <v>3</v>
      </c>
      <c r="E6" s="11">
        <v>3</v>
      </c>
      <c r="F6" s="32">
        <f t="shared" ref="F6" si="1">(AVERAGEIF(D6:E6,"&gt;0",D6:E6))*10^4*100/8</f>
        <v>375000</v>
      </c>
      <c r="G6" s="7"/>
      <c r="H6" s="5" t="s">
        <v>13</v>
      </c>
      <c r="J6" s="39"/>
      <c r="K6" s="41">
        <f t="array" ref="K6">IFERROR(INDEX($I$2:$I$81,SMALL(IF(ISNUMBER($I$2:$I$81),ROW($A$1:$A$80),""),ROW(A5))),"")</f>
        <v>1931250</v>
      </c>
      <c r="L6" s="41">
        <f t="array" ref="L6">IFERROR(INDEX($J$2:$J$81,SMALL(IF(ISNUMBER($J$2:$J$81),ROW($A$1:$A$80),""),ROW(A5))),"")</f>
        <v>979935.42516841379</v>
      </c>
      <c r="M6" s="64"/>
      <c r="N6" s="9">
        <f t="array" ref="N6">IFERROR(INDEX($F$2:$F$181,SMALL(_xlfn.IFS($G$2:$G$181&lt;$N$2,"",$G$2:$G$181&gt;$N$3,"",ISNUMBER($G$2:$G$181),ROW($A$1:$A$180)),ROW(A3))),"")</f>
        <v>1631250</v>
      </c>
      <c r="O6" s="9">
        <f t="array" ref="O6">IFERROR(INDEX($F$2:$F$181,SMALL(_xlfn.IFS($G$2:$G$181&lt;$O$2,"",$G$2:$G$181&gt;$O$3,"",ISNUMBER($G$2:$G$181),ROW($A$1:$A$180)),ROW(A3))),"")</f>
        <v>33125</v>
      </c>
      <c r="P6" s="9">
        <f t="array" ref="P6">IFERROR(INDEX($F$2:$F$181,SMALL(_xlfn.IFS($G$2:$G$181&lt;$P$2,"",$G$2:$G$181&gt;$P$3,"",ISNUMBER($G$2:$G$181),ROW($A$1:$A$180)),ROW(A3))),"")</f>
        <v>2437500</v>
      </c>
      <c r="Q6" s="9">
        <f t="array" ref="Q6">IFERROR(INDEX($F$2:$F$181,SMALL(_xlfn.IFS($G$2:$G$181&lt;$Q$2,"",$G$2:$G$181&gt;$Q$3,"",ISNUMBER($G$2:$G$181),ROW($A$1:$A$180)),ROW(A3))),"")</f>
        <v>625000</v>
      </c>
      <c r="R6" s="9">
        <f t="array" ref="R6">IFERROR(INDEX($F$2:$F$181,SMALL(_xlfn.IFS($G$2:$G$181&lt;$R$2,"",$G$2:$G$181&gt;$R$3,"",ISNUMBER($G$2:$G$181),ROW($A$1:$A$180)),ROW(A3))),"")</f>
        <v>2000000</v>
      </c>
      <c r="S6" s="10">
        <f t="array" ref="S6">IFERROR(INDEX($F$2:$F$181,SMALL(_xlfn.IFS($G$2:$G$181&lt;$S$2,"",$G$2:$G$181&gt;$S$3,"",ISNUMBER($G$2:$G$181),ROW($A$1:$A$180)),ROW(A3))),"")</f>
        <v>687500</v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5" thickBot="1" x14ac:dyDescent="0.35">
      <c r="A7" s="75"/>
      <c r="B7" s="72"/>
      <c r="C7" s="12" t="s">
        <v>3</v>
      </c>
      <c r="D7" s="12"/>
      <c r="E7" s="12"/>
      <c r="F7" s="33" t="e">
        <f t="shared" ref="F7" si="2">(AVERAGEIF(D7:E7,"&gt;0",D7:E7))*10^5*100/8</f>
        <v>#DIV/0!</v>
      </c>
      <c r="G7" s="7"/>
      <c r="H7" s="5">
        <f t="array" ref="H7">IFERROR(INDEX($F$2:$F$181,SMALL(IF($G$2:$G$181=2,ROW($A$1:$A$163),""),ROW(A1))),"")</f>
        <v>75000</v>
      </c>
      <c r="J7" s="39"/>
      <c r="K7" s="41">
        <f t="array" ref="K7">IFERROR(INDEX($I$2:$I$81,SMALL(IF(ISNUMBER($I$2:$I$81),ROW($A$1:$A$80),""),ROW(A6))),"")</f>
        <v>512500</v>
      </c>
      <c r="L7" s="41">
        <f t="array" ref="L7">IFERROR(INDEX($J$2:$J$81,SMALL(IF(ISNUMBER($J$2:$J$81),ROW($A$1:$A$80),""),ROW(A6))),"")</f>
        <v>276487.45450743329</v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x14ac:dyDescent="0.3">
      <c r="A8" s="75"/>
      <c r="B8" s="70">
        <v>3</v>
      </c>
      <c r="C8" s="8" t="s">
        <v>4</v>
      </c>
      <c r="D8" s="59">
        <v>131</v>
      </c>
      <c r="E8" s="59">
        <v>130</v>
      </c>
      <c r="F8" s="34">
        <f t="shared" ref="F8" si="3">(AVERAGEIF(D8:E8,"&gt;0",D8:E8))*10^3*100/8</f>
        <v>1631250</v>
      </c>
      <c r="G8" s="7">
        <v>1</v>
      </c>
      <c r="H8" s="5">
        <f t="array" ref="H8">IFERROR(INDEX($F$2:$F$181,SMALL(IF($G$2:$G$181=2,ROW($A$1:$A$163),""),ROW(A2))),"")</f>
        <v>118750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75"/>
      <c r="B9" s="71"/>
      <c r="C9" s="11" t="s">
        <v>2</v>
      </c>
      <c r="D9" s="11">
        <v>7</v>
      </c>
      <c r="E9" s="11">
        <v>2</v>
      </c>
      <c r="F9" s="32">
        <f t="shared" ref="F9" si="4">(AVERAGEIF(D9:E9,"&gt;0",D9:E9))*10^4*100/8</f>
        <v>562500</v>
      </c>
      <c r="G9" s="7"/>
      <c r="H9" s="5">
        <f t="array" ref="H9">IFERROR(INDEX($F$2:$F$181,SMALL(IF($G$2:$G$181=2,ROW($A$1:$A$163),""),ROW(A3))),"")</f>
        <v>33125</v>
      </c>
      <c r="I9" s="5">
        <f>AVERAGE(H7:H9)</f>
        <v>75625</v>
      </c>
      <c r="J9" s="39">
        <f>STDEV(H7:H9)</f>
        <v>42815.921396134872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5" thickBot="1" x14ac:dyDescent="0.35">
      <c r="A10" s="76"/>
      <c r="B10" s="73"/>
      <c r="C10" s="35" t="s">
        <v>3</v>
      </c>
      <c r="D10" s="35"/>
      <c r="E10" s="35"/>
      <c r="F10" s="36" t="e">
        <f t="shared" ref="F10" si="5">(AVERAGEIF(D10:E10,"&gt;0",D10:E10))*10^5*100/8</f>
        <v>#DIV/0!</v>
      </c>
      <c r="G10" s="7"/>
      <c r="H10" s="5" t="s">
        <v>14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" customHeight="1" thickTop="1" x14ac:dyDescent="0.3">
      <c r="A11" s="74" t="s">
        <v>81</v>
      </c>
      <c r="B11" s="77">
        <v>1</v>
      </c>
      <c r="C11" s="30" t="s">
        <v>4</v>
      </c>
      <c r="D11" s="30">
        <v>121</v>
      </c>
      <c r="E11" s="30">
        <v>127</v>
      </c>
      <c r="F11" s="31">
        <f t="shared" ref="F11" si="6">(AVERAGEIF(D11:E11,"&gt;0",D11:E11))*10^3*100/8</f>
        <v>1550000</v>
      </c>
      <c r="G11" s="7">
        <v>3</v>
      </c>
      <c r="H11" s="5">
        <f t="array" ref="H11">IFERROR(INDEX($F$2:$F$181,SMALL(IF($G$2:$G$181=3,ROW($A$1:$A$163),""),ROW(A1))),"")</f>
        <v>1550000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75"/>
      <c r="B12" s="71"/>
      <c r="C12" s="11" t="s">
        <v>2</v>
      </c>
      <c r="D12" s="11">
        <v>11</v>
      </c>
      <c r="E12" s="11">
        <v>6</v>
      </c>
      <c r="F12" s="32">
        <f t="shared" ref="F12" si="7">(AVERAGEIF(D12:E12,"&gt;0",D12:E12))*10^4*100/8</f>
        <v>1062500</v>
      </c>
      <c r="G12" s="7"/>
      <c r="H12" s="5">
        <f t="array" ref="H12">IFERROR(INDEX($F$2:$F$181,SMALL(IF($G$2:$G$181=3,ROW($A$1:$A$163),""),ROW(A2))),"")</f>
        <v>3500000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5" thickBot="1" x14ac:dyDescent="0.35">
      <c r="A13" s="75"/>
      <c r="B13" s="72"/>
      <c r="C13" s="12" t="s">
        <v>3</v>
      </c>
      <c r="D13" s="12"/>
      <c r="E13" s="12"/>
      <c r="F13" s="33" t="e">
        <f t="shared" ref="F13" si="8">(AVERAGEIF(D13:E13,"&gt;0",D13:E13))*10^5*100/8</f>
        <v>#DIV/0!</v>
      </c>
      <c r="G13" s="7"/>
      <c r="H13" s="5">
        <f t="array" ref="H13">IFERROR(INDEX($F$2:$F$181,SMALL(IF($G$2:$G$181=3,ROW($A$1:$A$163),""),ROW(A3))),"")</f>
        <v>2437500</v>
      </c>
      <c r="I13" s="5">
        <f>AVERAGE(H11:H13)</f>
        <v>2495833.3333333335</v>
      </c>
      <c r="J13" s="39">
        <f>STDEV(H11:H13)</f>
        <v>976307.88347392448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75"/>
      <c r="B14" s="70">
        <v>2</v>
      </c>
      <c r="C14" s="8" t="s">
        <v>4</v>
      </c>
      <c r="D14" s="8" t="s">
        <v>80</v>
      </c>
      <c r="E14" s="8"/>
      <c r="F14" s="34" t="e">
        <f t="shared" ref="F14" si="9">(AVERAGEIF(D14:E14,"&gt;0",D14:E14))*10^3*100/8</f>
        <v>#DIV/0!</v>
      </c>
      <c r="G14" s="7"/>
      <c r="H14" s="5" t="s">
        <v>15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75"/>
      <c r="B15" s="71"/>
      <c r="C15" s="11" t="s">
        <v>2</v>
      </c>
      <c r="D15" s="11">
        <v>25</v>
      </c>
      <c r="E15" s="11">
        <v>31</v>
      </c>
      <c r="F15" s="32">
        <f t="shared" ref="F15" si="10">(AVERAGEIF(D15:E15,"&gt;0",D15:E15))*10^4*100/8</f>
        <v>3500000</v>
      </c>
      <c r="G15" s="7">
        <v>3</v>
      </c>
      <c r="H15" s="5">
        <f t="array" ref="H15">IFERROR(INDEX($F$2:$F$181,SMALL(IF($G$2:$G$181=4,ROW($A$1:$A$163),""),ROW(A1))),"")</f>
        <v>162500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5" thickBot="1" x14ac:dyDescent="0.35">
      <c r="A16" s="75"/>
      <c r="B16" s="72"/>
      <c r="C16" s="12" t="s">
        <v>3</v>
      </c>
      <c r="D16" s="12">
        <v>5</v>
      </c>
      <c r="E16" s="12">
        <v>3</v>
      </c>
      <c r="F16" s="33">
        <f t="shared" ref="F16" si="11">(AVERAGEIF(D16:E16,"&gt;0",D16:E16))*10^5*100/8</f>
        <v>5000000</v>
      </c>
      <c r="G16" s="7"/>
      <c r="H16" s="5">
        <f t="array" ref="H16">IFERROR(INDEX($F$2:$F$181,SMALL(IF($G$2:$G$181=4,ROW($A$1:$A$163),""),ROW(A2))),"")</f>
        <v>643750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75"/>
      <c r="B17" s="70">
        <v>3</v>
      </c>
      <c r="C17" s="8" t="s">
        <v>4</v>
      </c>
      <c r="D17" s="8" t="s">
        <v>80</v>
      </c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625000</v>
      </c>
      <c r="I17" s="5">
        <f>AVERAGE(H15:H17)</f>
        <v>477083.33333333331</v>
      </c>
      <c r="J17" s="39">
        <f>STDEV(H15:H17)</f>
        <v>272598.41495014844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75"/>
      <c r="B18" s="71"/>
      <c r="C18" s="11" t="s">
        <v>2</v>
      </c>
      <c r="D18" s="11">
        <v>17</v>
      </c>
      <c r="E18" s="11">
        <v>22</v>
      </c>
      <c r="F18" s="32">
        <f t="shared" ref="F18" si="13">(AVERAGEIF(D18:E18,"&gt;0",D18:E18))*10^4*100/8</f>
        <v>2437500</v>
      </c>
      <c r="G18" s="7">
        <v>3</v>
      </c>
      <c r="H18" s="5" t="s">
        <v>16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5" thickBot="1" x14ac:dyDescent="0.35">
      <c r="A19" s="76"/>
      <c r="B19" s="73"/>
      <c r="C19" s="35" t="s">
        <v>3</v>
      </c>
      <c r="D19" s="35">
        <v>2</v>
      </c>
      <c r="E19" s="35">
        <v>0</v>
      </c>
      <c r="F19" s="36">
        <f t="shared" ref="F19" si="14">(AVERAGEIF(D19:E19,"&gt;0",D19:E19))*10^5*100/8</f>
        <v>2500000</v>
      </c>
      <c r="G19" s="7"/>
      <c r="H19" s="5">
        <f t="array" ref="H19">IFERROR(INDEX($F$2:$F$181,SMALL(IF($G$2:$G$181=5,ROW($A$1:$A$163),""),ROW(A1))),"")</f>
        <v>2875000</v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5" thickTop="1" x14ac:dyDescent="0.3">
      <c r="A20" s="74" t="s">
        <v>82</v>
      </c>
      <c r="B20" s="77">
        <v>1</v>
      </c>
      <c r="C20" s="30" t="s">
        <v>4</v>
      </c>
      <c r="D20" s="58" t="s">
        <v>80</v>
      </c>
      <c r="E20" s="58"/>
      <c r="F20" s="31" t="e">
        <f t="shared" ref="F20" si="15">(AVERAGEIF(D20:E20,"&gt;0",D20:E20))*10^3*100/8</f>
        <v>#DIV/0!</v>
      </c>
      <c r="G20" s="7"/>
      <c r="H20" s="5">
        <f t="array" ref="H20">IFERROR(INDEX($F$2:$F$181,SMALL(IF($G$2:$G$181=5,ROW($A$1:$A$163),""),ROW(A2))),"")</f>
        <v>918750</v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75"/>
      <c r="B21" s="71"/>
      <c r="C21" s="11" t="s">
        <v>2</v>
      </c>
      <c r="D21" s="11">
        <v>26</v>
      </c>
      <c r="E21" s="11">
        <v>20</v>
      </c>
      <c r="F21" s="32">
        <f t="shared" ref="F21" si="16">(AVERAGEIF(D21:E21,"&gt;0",D21:E21))*10^4*100/8</f>
        <v>2875000</v>
      </c>
      <c r="G21" s="7">
        <v>5</v>
      </c>
      <c r="H21" s="5">
        <f t="array" ref="H21">IFERROR(INDEX($F$2:$F$181,SMALL(IF($G$2:$G$181=5,ROW($A$1:$A$163),""),ROW(A3))),"")</f>
        <v>2000000</v>
      </c>
      <c r="I21" s="5">
        <f>AVERAGE(H19:H21)</f>
        <v>1931250</v>
      </c>
      <c r="J21" s="39">
        <f>STDEV(H19:H21)</f>
        <v>979935.42516841379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5" thickBot="1" x14ac:dyDescent="0.35">
      <c r="A22" s="75"/>
      <c r="B22" s="72"/>
      <c r="C22" s="12" t="s">
        <v>3</v>
      </c>
      <c r="D22" s="12">
        <v>0</v>
      </c>
      <c r="E22" s="12">
        <v>1</v>
      </c>
      <c r="F22" s="33">
        <f t="shared" ref="F22" si="17">(AVERAGEIF(D22:E22,"&gt;0",D22:E22))*10^5*100/8</f>
        <v>1250000</v>
      </c>
      <c r="G22" s="7"/>
      <c r="H22" s="5" t="s">
        <v>17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65" t="s">
        <v>66</v>
      </c>
      <c r="N22" s="46" t="s">
        <v>36</v>
      </c>
      <c r="O22" s="46" t="s">
        <v>37</v>
      </c>
      <c r="P22" s="46" t="s">
        <v>38</v>
      </c>
      <c r="Q22" s="46" t="s">
        <v>39</v>
      </c>
      <c r="R22" s="47" t="s">
        <v>40</v>
      </c>
      <c r="S22" s="47" t="s">
        <v>41</v>
      </c>
      <c r="T22" s="45" t="s">
        <v>42</v>
      </c>
      <c r="U22" s="45" t="s">
        <v>43</v>
      </c>
    </row>
    <row r="23" spans="1:21" x14ac:dyDescent="0.3">
      <c r="A23" s="75"/>
      <c r="B23" s="70">
        <v>2</v>
      </c>
      <c r="C23" s="8" t="s">
        <v>4</v>
      </c>
      <c r="D23" s="59">
        <v>88</v>
      </c>
      <c r="E23" s="59">
        <v>59</v>
      </c>
      <c r="F23" s="34">
        <f t="shared" ref="F23" si="18">(AVERAGEIF(D23:E23,"&gt;0",D23:E23))*10^3*100/8</f>
        <v>918750</v>
      </c>
      <c r="G23" s="7">
        <v>5</v>
      </c>
      <c r="H23" s="5">
        <f t="array" ref="H23">IFERROR(INDEX($F$2:$F$181,SMALL(IF($G$2:$G$181=6,ROW($A$1:$A$163),""),ROW(A1))),"")</f>
        <v>656250</v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65" t="s">
        <v>69</v>
      </c>
      <c r="N23" s="9">
        <f>AVERAGE(N4:N21)</f>
        <v>1275000</v>
      </c>
      <c r="O23" s="9">
        <f t="shared" ref="O23:U23" si="19">AVERAGE(O4:O21)</f>
        <v>75625</v>
      </c>
      <c r="P23" s="9">
        <f t="shared" si="19"/>
        <v>2495833.3333333335</v>
      </c>
      <c r="Q23" s="9">
        <f t="shared" si="19"/>
        <v>477083.33333333331</v>
      </c>
      <c r="R23" s="9">
        <f t="shared" si="19"/>
        <v>1931250</v>
      </c>
      <c r="S23" s="9">
        <f t="shared" si="19"/>
        <v>512500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75"/>
      <c r="B24" s="71"/>
      <c r="C24" s="11" t="s">
        <v>2</v>
      </c>
      <c r="D24" s="11">
        <v>9</v>
      </c>
      <c r="E24" s="11">
        <v>5</v>
      </c>
      <c r="F24" s="32">
        <f t="shared" ref="F24" si="20">(AVERAGEIF(D24:E24,"&gt;0",D24:E24))*10^4*100/8</f>
        <v>875000</v>
      </c>
      <c r="G24" s="7"/>
      <c r="H24" s="5">
        <f t="array" ref="H24">IFERROR(INDEX($F$2:$F$181,SMALL(IF($G$2:$G$181=6,ROW($A$1:$A$163),""),ROW(A2))),"")</f>
        <v>193750</v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65" t="s">
        <v>68</v>
      </c>
      <c r="N24" s="46" t="s">
        <v>44</v>
      </c>
      <c r="O24" s="46" t="s">
        <v>45</v>
      </c>
      <c r="P24" s="46" t="s">
        <v>46</v>
      </c>
      <c r="Q24" s="46" t="s">
        <v>47</v>
      </c>
      <c r="R24" s="47" t="s">
        <v>48</v>
      </c>
      <c r="S24" s="47" t="s">
        <v>49</v>
      </c>
      <c r="T24" s="45" t="s">
        <v>51</v>
      </c>
      <c r="U24" s="45" t="s">
        <v>50</v>
      </c>
    </row>
    <row r="25" spans="1:21" ht="15" thickBot="1" x14ac:dyDescent="0.35">
      <c r="A25" s="75"/>
      <c r="B25" s="72"/>
      <c r="C25" s="12" t="s">
        <v>3</v>
      </c>
      <c r="D25" s="12"/>
      <c r="E25" s="12"/>
      <c r="F25" s="33" t="e">
        <f t="shared" ref="F25" si="21">(AVERAGEIF(D25:E25,"&gt;0",D25:E25))*10^5*100/8</f>
        <v>#DIV/0!</v>
      </c>
      <c r="G25" s="7"/>
      <c r="H25" s="5">
        <f t="array" ref="H25">IFERROR(INDEX($F$2:$F$181,SMALL(IF($G$2:$G$181=6,ROW($A$1:$A$163),""),ROW(A3))),"")</f>
        <v>687500</v>
      </c>
      <c r="I25" s="5">
        <f>AVERAGE(H23:H25)</f>
        <v>512500</v>
      </c>
      <c r="J25" s="39">
        <f>STDEV(H23:H25)</f>
        <v>276487.45450743329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65" t="s">
        <v>67</v>
      </c>
      <c r="N25" s="14">
        <f t="shared" ref="N25:P25" si="22">STDEV(N4:N21)</f>
        <v>395136.44795184361</v>
      </c>
      <c r="O25" s="14">
        <f t="shared" si="22"/>
        <v>42815.921396134872</v>
      </c>
      <c r="P25" s="14">
        <f t="shared" si="22"/>
        <v>976307.88347392448</v>
      </c>
      <c r="Q25" s="14">
        <f>STDEV(Q4:Q21)</f>
        <v>272598.41495014844</v>
      </c>
      <c r="R25" s="14">
        <f t="shared" ref="R25:U25" si="23">STDEV(R4:R21)</f>
        <v>979935.42516841379</v>
      </c>
      <c r="S25" s="14">
        <f t="shared" si="23"/>
        <v>276487.45450743329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75"/>
      <c r="B26" s="70">
        <v>3</v>
      </c>
      <c r="C26" s="8" t="s">
        <v>4</v>
      </c>
      <c r="D26" s="59">
        <v>157</v>
      </c>
      <c r="E26" s="59">
        <v>192</v>
      </c>
      <c r="F26" s="34">
        <f t="shared" ref="F26" si="24">(AVERAGEIF(D26:E26,"&gt;0",D26:E26))*10^3*100/8</f>
        <v>2181250</v>
      </c>
      <c r="G26" s="7"/>
      <c r="H26" s="5" t="s">
        <v>18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64"/>
      <c r="N26" s="14"/>
      <c r="O26" s="9"/>
      <c r="P26" s="9"/>
      <c r="Q26" s="9"/>
      <c r="R26" s="10"/>
      <c r="S26" s="10"/>
    </row>
    <row r="27" spans="1:21" x14ac:dyDescent="0.3">
      <c r="A27" s="75"/>
      <c r="B27" s="71"/>
      <c r="C27" s="11" t="s">
        <v>2</v>
      </c>
      <c r="D27" s="11">
        <v>15</v>
      </c>
      <c r="E27" s="11">
        <v>17</v>
      </c>
      <c r="F27" s="32">
        <f t="shared" ref="F27" si="25">(AVERAGEIF(D27:E27,"&gt;0",D27:E27))*10^4*100/8</f>
        <v>2000000</v>
      </c>
      <c r="G27" s="7">
        <v>5</v>
      </c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5" thickBot="1" x14ac:dyDescent="0.35">
      <c r="A28" s="76"/>
      <c r="B28" s="73"/>
      <c r="C28" s="35" t="s">
        <v>3</v>
      </c>
      <c r="D28" s="35">
        <v>2</v>
      </c>
      <c r="E28" s="35">
        <v>1</v>
      </c>
      <c r="F28" s="36">
        <f t="shared" ref="F28" si="26">(AVERAGEIF(D28:E28,"&gt;0",D28:E28))*10^5*100/8</f>
        <v>1875000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16.859504132231404</v>
      </c>
      <c r="P28" s="9"/>
      <c r="Q28" s="9">
        <f t="shared" ref="Q28:U28" si="27">P23/Q23</f>
        <v>5.2314410480349354</v>
      </c>
      <c r="R28" s="9"/>
      <c r="S28" s="9">
        <f t="shared" si="27"/>
        <v>3.7682926829268291</v>
      </c>
      <c r="T28" s="9"/>
      <c r="U28" s="9" t="e">
        <f t="shared" si="27"/>
        <v>#DIV/0!</v>
      </c>
    </row>
    <row r="29" spans="1:21" ht="15" thickTop="1" x14ac:dyDescent="0.3">
      <c r="A29" s="74" t="s">
        <v>59</v>
      </c>
      <c r="B29" s="77">
        <v>1</v>
      </c>
      <c r="C29" s="30" t="s">
        <v>56</v>
      </c>
      <c r="D29" s="58">
        <v>32</v>
      </c>
      <c r="E29" s="58">
        <v>30</v>
      </c>
      <c r="F29" s="31">
        <f>(AVERAGEIF(D29:E29,"&gt;0",D29:E29))*10^2*100/8</f>
        <v>38750</v>
      </c>
      <c r="G29" s="7"/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>
        <f>Q23/O23</f>
        <v>6.3085399449035808</v>
      </c>
      <c r="P29" s="9"/>
      <c r="Q29" s="9"/>
      <c r="R29" s="10"/>
      <c r="S29" s="10"/>
      <c r="T29" s="14"/>
      <c r="U29" s="14"/>
    </row>
    <row r="30" spans="1:21" x14ac:dyDescent="0.3">
      <c r="A30" s="75"/>
      <c r="B30" s="71"/>
      <c r="C30" s="11" t="s">
        <v>4</v>
      </c>
      <c r="D30" s="11">
        <v>8</v>
      </c>
      <c r="E30" s="11">
        <v>4</v>
      </c>
      <c r="F30" s="32">
        <f>(AVERAGEIF(D30:E30,"&gt;0",D30:E30))*10^3*100/8</f>
        <v>75000</v>
      </c>
      <c r="G30" s="7">
        <v>2</v>
      </c>
      <c r="H30" s="5" t="s">
        <v>19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5" thickBot="1" x14ac:dyDescent="0.35">
      <c r="A31" s="75"/>
      <c r="B31" s="72"/>
      <c r="C31" s="12" t="s">
        <v>2</v>
      </c>
      <c r="D31" s="12"/>
      <c r="E31" s="12"/>
      <c r="F31" s="33" t="e">
        <f>(AVERAGEIF(D31:E31,"&gt;0",D31:E31))*10^4*100/8</f>
        <v>#DIV/0!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ht="15" thickTop="1" x14ac:dyDescent="0.3">
      <c r="A32" s="75"/>
      <c r="B32" s="70">
        <v>2</v>
      </c>
      <c r="C32" s="30" t="s">
        <v>56</v>
      </c>
      <c r="D32" s="59">
        <v>121</v>
      </c>
      <c r="E32" s="59">
        <v>112</v>
      </c>
      <c r="F32" s="31">
        <f t="shared" ref="F32" si="28">(AVERAGEIF(D32:E32,"&gt;0",D32:E32))*10^2*100/8</f>
        <v>145625</v>
      </c>
      <c r="G32" s="7"/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75"/>
      <c r="B33" s="71"/>
      <c r="C33" s="11" t="s">
        <v>4</v>
      </c>
      <c r="D33" s="11">
        <v>9</v>
      </c>
      <c r="E33" s="11">
        <v>10</v>
      </c>
      <c r="F33" s="32">
        <f t="shared" ref="F33" si="29">(AVERAGEIF(D33:E33,"&gt;0",D33:E33))*10^3*100/8</f>
        <v>118750</v>
      </c>
      <c r="G33" s="7">
        <v>2</v>
      </c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5" thickBot="1" x14ac:dyDescent="0.35">
      <c r="A34" s="75"/>
      <c r="B34" s="72"/>
      <c r="C34" s="12" t="s">
        <v>2</v>
      </c>
      <c r="D34" s="12"/>
      <c r="E34" s="12"/>
      <c r="F34" s="33" t="e">
        <f t="shared" ref="F34" si="30">(AVERAGEIF(D34:E34,"&gt;0",D34:E34))*10^4*100/8</f>
        <v>#DIV/0!</v>
      </c>
      <c r="G34" s="7"/>
      <c r="H34" s="5" t="s">
        <v>20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ht="15" thickTop="1" x14ac:dyDescent="0.3">
      <c r="A35" s="75"/>
      <c r="B35" s="70">
        <v>3</v>
      </c>
      <c r="C35" s="30" t="s">
        <v>56</v>
      </c>
      <c r="D35" s="59">
        <v>22</v>
      </c>
      <c r="E35" s="59">
        <v>31</v>
      </c>
      <c r="F35" s="31">
        <f t="shared" ref="F35" si="31">(AVERAGEIF(D35:E35,"&gt;0",D35:E35))*10^2*100/8</f>
        <v>33125</v>
      </c>
      <c r="G35" s="7">
        <v>2</v>
      </c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75"/>
      <c r="B36" s="71"/>
      <c r="C36" s="11" t="s">
        <v>4</v>
      </c>
      <c r="D36" s="11">
        <v>1</v>
      </c>
      <c r="E36" s="11">
        <v>3</v>
      </c>
      <c r="F36" s="32">
        <f t="shared" ref="F36" si="32">(AVERAGEIF(D36:E36,"&gt;0",D36:E36))*10^3*100/8</f>
        <v>25000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6"/>
      <c r="N36" s="14"/>
      <c r="O36" s="9"/>
      <c r="P36" s="9"/>
      <c r="Q36" s="9"/>
      <c r="R36" s="10"/>
      <c r="S36" s="10"/>
    </row>
    <row r="37" spans="1:19" ht="15" thickBot="1" x14ac:dyDescent="0.35">
      <c r="A37" s="76"/>
      <c r="B37" s="73"/>
      <c r="C37" s="12" t="s">
        <v>2</v>
      </c>
      <c r="D37" s="35"/>
      <c r="E37" s="35"/>
      <c r="F37" s="33" t="e">
        <f t="shared" ref="F37" si="33">(AVERAGEIF(D37:E37,"&gt;0",D37:E37))*10^4*100/8</f>
        <v>#DIV/0!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6"/>
      <c r="N37" s="14"/>
      <c r="O37" s="9"/>
      <c r="P37" s="9"/>
      <c r="Q37" s="9"/>
      <c r="R37" s="10"/>
      <c r="S37" s="10"/>
    </row>
    <row r="38" spans="1:19" ht="15" thickTop="1" x14ac:dyDescent="0.3">
      <c r="A38" s="83" t="s">
        <v>83</v>
      </c>
      <c r="B38" s="82">
        <v>1</v>
      </c>
      <c r="C38" s="30" t="s">
        <v>56</v>
      </c>
      <c r="D38" s="30">
        <v>123</v>
      </c>
      <c r="E38" s="30">
        <v>125</v>
      </c>
      <c r="F38" s="31">
        <f t="shared" ref="F38" si="34">(AVERAGEIF(D38:E38,"&gt;0",D38:E38))*10^2*100/8</f>
        <v>155000</v>
      </c>
      <c r="G38" s="7"/>
      <c r="H38" s="5" t="s">
        <v>21</v>
      </c>
      <c r="J38" s="40"/>
      <c r="K38" s="13"/>
      <c r="L38" s="13"/>
      <c r="M38" s="66"/>
      <c r="N38" s="14"/>
      <c r="O38" s="9"/>
      <c r="P38" s="14"/>
      <c r="Q38" s="14"/>
      <c r="R38" s="10"/>
      <c r="S38" s="10"/>
    </row>
    <row r="39" spans="1:19" x14ac:dyDescent="0.3">
      <c r="A39" s="75"/>
      <c r="B39" s="79"/>
      <c r="C39" s="11" t="s">
        <v>4</v>
      </c>
      <c r="D39" s="11">
        <v>16</v>
      </c>
      <c r="E39" s="11">
        <v>10</v>
      </c>
      <c r="F39" s="32">
        <f t="shared" ref="F39" si="35">(AVERAGEIF(D39:E39,"&gt;0",D39:E39))*10^3*100/8</f>
        <v>162500</v>
      </c>
      <c r="G39" s="7">
        <v>4</v>
      </c>
      <c r="H39" s="5" t="str">
        <f t="array" ref="H39">IFERROR(INDEX($F$2:$F$181,SMALL(IF($G$2:$G$181=10,ROW($A$1:$A$163),""),ROW(A1))),"")</f>
        <v/>
      </c>
      <c r="J39" s="40"/>
      <c r="K39" s="13"/>
      <c r="L39" s="13"/>
      <c r="M39" s="66"/>
      <c r="N39" s="14"/>
      <c r="O39" s="9"/>
      <c r="P39" s="14"/>
      <c r="Q39" s="14"/>
      <c r="R39" s="10"/>
      <c r="S39" s="10"/>
    </row>
    <row r="40" spans="1:19" ht="15" thickBot="1" x14ac:dyDescent="0.35">
      <c r="A40" s="75"/>
      <c r="B40" s="81"/>
      <c r="C40" s="12" t="s">
        <v>2</v>
      </c>
      <c r="D40" s="12"/>
      <c r="E40" s="12"/>
      <c r="F40" s="33" t="e">
        <f t="shared" ref="F40" si="36">(AVERAGEIF(D40:E40,"&gt;0",D40:E40))*10^4*100/8</f>
        <v>#DIV/0!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6"/>
      <c r="N40" s="14"/>
      <c r="O40" s="9"/>
      <c r="P40" s="14"/>
      <c r="Q40" s="14"/>
      <c r="R40" s="10"/>
      <c r="S40" s="10"/>
    </row>
    <row r="41" spans="1:19" ht="15" thickTop="1" x14ac:dyDescent="0.3">
      <c r="A41" s="75"/>
      <c r="B41" s="78">
        <v>2</v>
      </c>
      <c r="C41" s="30" t="s">
        <v>56</v>
      </c>
      <c r="D41" s="8" t="s">
        <v>80</v>
      </c>
      <c r="E41" s="8"/>
      <c r="F41" s="31" t="e">
        <f t="shared" ref="F41" si="37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6"/>
      <c r="N41" s="14"/>
      <c r="O41" s="9"/>
      <c r="P41" s="14"/>
      <c r="Q41" s="14"/>
      <c r="R41" s="10"/>
      <c r="S41" s="10"/>
    </row>
    <row r="42" spans="1:19" x14ac:dyDescent="0.3">
      <c r="A42" s="75"/>
      <c r="B42" s="79"/>
      <c r="C42" s="11" t="s">
        <v>4</v>
      </c>
      <c r="D42" s="11">
        <v>52</v>
      </c>
      <c r="E42" s="11">
        <v>51</v>
      </c>
      <c r="F42" s="32">
        <f t="shared" ref="F42" si="38">(AVERAGEIF(D42:E42,"&gt;0",D42:E42))*10^3*100/8</f>
        <v>643750</v>
      </c>
      <c r="G42" s="7">
        <v>4</v>
      </c>
      <c r="H42" s="5" t="s">
        <v>22</v>
      </c>
      <c r="J42" s="40"/>
      <c r="K42" s="13"/>
      <c r="L42" s="13"/>
      <c r="M42" s="66"/>
      <c r="N42" s="14"/>
      <c r="O42" s="9"/>
      <c r="P42" s="14"/>
      <c r="Q42" s="14"/>
      <c r="R42" s="10"/>
      <c r="S42" s="10"/>
    </row>
    <row r="43" spans="1:19" ht="15" thickBot="1" x14ac:dyDescent="0.35">
      <c r="A43" s="75"/>
      <c r="B43" s="81"/>
      <c r="C43" s="12" t="s">
        <v>2</v>
      </c>
      <c r="D43" s="12">
        <v>6</v>
      </c>
      <c r="E43" s="12">
        <v>4</v>
      </c>
      <c r="F43" s="33">
        <f t="shared" ref="F43" si="39">(AVERAGEIF(D43:E43,"&gt;0",D43:E43))*10^4*100/8</f>
        <v>625000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6"/>
      <c r="N43" s="14"/>
      <c r="O43" s="9"/>
      <c r="P43" s="14"/>
      <c r="Q43" s="14"/>
      <c r="R43" s="10"/>
      <c r="S43" s="10"/>
    </row>
    <row r="44" spans="1:19" ht="15" thickTop="1" x14ac:dyDescent="0.3">
      <c r="A44" s="75"/>
      <c r="B44" s="78">
        <v>3</v>
      </c>
      <c r="C44" s="30" t="s">
        <v>56</v>
      </c>
      <c r="D44" s="8" t="s">
        <v>80</v>
      </c>
      <c r="E44" s="8"/>
      <c r="F44" s="31" t="e">
        <f t="shared" ref="F44" si="40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6"/>
      <c r="N44" s="14"/>
      <c r="O44" s="9"/>
      <c r="P44" s="14"/>
      <c r="Q44" s="14"/>
      <c r="R44" s="10"/>
      <c r="S44" s="10"/>
    </row>
    <row r="45" spans="1:19" x14ac:dyDescent="0.3">
      <c r="A45" s="75"/>
      <c r="B45" s="79"/>
      <c r="C45" s="11" t="s">
        <v>4</v>
      </c>
      <c r="D45" s="11">
        <v>51</v>
      </c>
      <c r="E45" s="11">
        <v>47</v>
      </c>
      <c r="F45" s="32">
        <f t="shared" ref="F45" si="41">(AVERAGEIF(D45:E45,"&gt;0",D45:E45))*10^3*100/8</f>
        <v>612500</v>
      </c>
      <c r="G45" s="7"/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6"/>
      <c r="N45" s="14"/>
      <c r="O45" s="9"/>
      <c r="P45" s="14"/>
      <c r="Q45" s="14"/>
      <c r="R45" s="10"/>
      <c r="S45" s="10"/>
    </row>
    <row r="46" spans="1:19" ht="15" thickBot="1" x14ac:dyDescent="0.35">
      <c r="A46" s="76"/>
      <c r="B46" s="80"/>
      <c r="C46" s="12" t="s">
        <v>2</v>
      </c>
      <c r="D46" s="35">
        <v>5</v>
      </c>
      <c r="E46" s="35">
        <v>5</v>
      </c>
      <c r="F46" s="33">
        <f t="shared" ref="F46" si="42">(AVERAGEIF(D46:E46,"&gt;0",D46:E46))*10^4*100/8</f>
        <v>625000</v>
      </c>
      <c r="G46" s="7">
        <v>4</v>
      </c>
      <c r="H46" s="5" t="s">
        <v>23</v>
      </c>
      <c r="J46" s="40"/>
      <c r="K46" s="13"/>
      <c r="L46" s="13"/>
      <c r="M46" s="66"/>
      <c r="N46" s="14"/>
      <c r="O46" s="9"/>
      <c r="P46" s="14"/>
      <c r="Q46" s="14"/>
      <c r="R46" s="10"/>
      <c r="S46" s="10"/>
    </row>
    <row r="47" spans="1:19" ht="15" thickTop="1" x14ac:dyDescent="0.3">
      <c r="A47" s="83" t="s">
        <v>84</v>
      </c>
      <c r="B47" s="82">
        <v>1</v>
      </c>
      <c r="C47" s="30" t="s">
        <v>56</v>
      </c>
      <c r="D47" s="30" t="s">
        <v>80</v>
      </c>
      <c r="E47" s="30"/>
      <c r="F47" s="31" t="e">
        <f t="shared" ref="F47" si="43">(AVERAGEIF(D47:E47,"&gt;0",D47:E47))*10^2*100/8</f>
        <v>#DIV/0!</v>
      </c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6"/>
      <c r="N47" s="14"/>
      <c r="O47" s="9"/>
      <c r="P47" s="14"/>
      <c r="Q47" s="14"/>
      <c r="R47" s="10"/>
      <c r="S47" s="10"/>
    </row>
    <row r="48" spans="1:19" x14ac:dyDescent="0.3">
      <c r="A48" s="75"/>
      <c r="B48" s="79"/>
      <c r="C48" s="11" t="s">
        <v>4</v>
      </c>
      <c r="D48" s="11">
        <v>54</v>
      </c>
      <c r="E48" s="11">
        <v>51</v>
      </c>
      <c r="F48" s="32">
        <f t="shared" ref="F48" si="44">(AVERAGEIF(D48:E48,"&gt;0",D48:E48))*10^3*100/8</f>
        <v>656250</v>
      </c>
      <c r="G48" s="7">
        <v>6</v>
      </c>
      <c r="H48" s="5" t="str">
        <f t="array" ref="H48">IFERROR(INDEX($F$2:$F$181,SMALL(IF($G$2:$G$181=12,ROW($A$1:$A$163),""),ROW(A2))),"")</f>
        <v/>
      </c>
      <c r="J48" s="40"/>
      <c r="K48" s="13"/>
      <c r="L48" s="13"/>
      <c r="M48" s="66"/>
      <c r="N48" s="14"/>
      <c r="O48" s="9"/>
      <c r="P48" s="14"/>
      <c r="Q48" s="14"/>
      <c r="R48" s="10"/>
      <c r="S48" s="10"/>
    </row>
    <row r="49" spans="1:21" ht="15" thickBot="1" x14ac:dyDescent="0.35">
      <c r="A49" s="75"/>
      <c r="B49" s="81"/>
      <c r="C49" s="12" t="s">
        <v>2</v>
      </c>
      <c r="D49" s="12">
        <v>6</v>
      </c>
      <c r="E49" s="12">
        <v>3</v>
      </c>
      <c r="F49" s="33">
        <f t="shared" ref="F49" si="45">(AVERAGEIF(D49:E49,"&gt;0",D49:E49))*10^4*100/8</f>
        <v>562500</v>
      </c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6"/>
      <c r="N49" s="14"/>
      <c r="O49" s="9"/>
      <c r="P49" s="14"/>
      <c r="Q49" s="14"/>
      <c r="R49" s="10"/>
      <c r="S49" s="10"/>
    </row>
    <row r="50" spans="1:21" ht="15" thickTop="1" x14ac:dyDescent="0.3">
      <c r="A50" s="75"/>
      <c r="B50" s="78">
        <v>2</v>
      </c>
      <c r="C50" s="30" t="s">
        <v>56</v>
      </c>
      <c r="D50" s="8">
        <v>150</v>
      </c>
      <c r="E50" s="8">
        <v>143</v>
      </c>
      <c r="F50" s="31">
        <f t="shared" ref="F50" si="46">(AVERAGEIF(D50:E50,"&gt;0",D50:E50))*10^2*100/8</f>
        <v>183125</v>
      </c>
      <c r="G50" s="7"/>
      <c r="H50" s="5" t="s">
        <v>24</v>
      </c>
      <c r="J50" s="40"/>
      <c r="K50" s="13"/>
      <c r="L50" s="13"/>
      <c r="M50" s="66"/>
      <c r="N50" s="14"/>
      <c r="O50" s="9"/>
      <c r="P50" s="14"/>
      <c r="Q50" s="14"/>
      <c r="R50" s="10"/>
      <c r="S50" s="10"/>
    </row>
    <row r="51" spans="1:21" x14ac:dyDescent="0.3">
      <c r="A51" s="75"/>
      <c r="B51" s="79"/>
      <c r="C51" s="11" t="s">
        <v>4</v>
      </c>
      <c r="D51" s="11">
        <v>16</v>
      </c>
      <c r="E51" s="11">
        <v>15</v>
      </c>
      <c r="F51" s="32">
        <f t="shared" ref="F51" si="47">(AVERAGEIF(D51:E51,"&gt;0",D51:E51))*10^3*100/8</f>
        <v>193750</v>
      </c>
      <c r="G51" s="7">
        <v>6</v>
      </c>
      <c r="H51" s="5" t="str">
        <f t="array" ref="H51">IFERROR(INDEX($F$2:$F$181,SMALL(IF($G$2:$G$181=13,ROW($A$1:$A$163),""),ROW(A1))),"")</f>
        <v/>
      </c>
      <c r="J51" s="40"/>
      <c r="K51" s="13"/>
      <c r="L51" s="13"/>
      <c r="M51" s="66"/>
      <c r="N51" s="14"/>
      <c r="O51" s="9"/>
      <c r="P51" s="14"/>
      <c r="Q51" s="14"/>
      <c r="R51" s="10"/>
      <c r="S51" s="10"/>
    </row>
    <row r="52" spans="1:21" ht="15" thickBot="1" x14ac:dyDescent="0.35">
      <c r="A52" s="75"/>
      <c r="B52" s="81"/>
      <c r="C52" s="12" t="s">
        <v>2</v>
      </c>
      <c r="D52" s="12"/>
      <c r="E52" s="12"/>
      <c r="F52" s="33" t="e">
        <f t="shared" ref="F52" si="48">(AVERAGEIF(D52:E52,"&gt;0",D52:E52))*10^4*100/8</f>
        <v>#DIV/0!</v>
      </c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6"/>
      <c r="N52" s="14"/>
      <c r="O52" s="9"/>
      <c r="P52" s="14"/>
      <c r="Q52" s="14"/>
      <c r="R52" s="10"/>
      <c r="S52" s="10"/>
    </row>
    <row r="53" spans="1:21" ht="15" thickTop="1" x14ac:dyDescent="0.3">
      <c r="A53" s="75"/>
      <c r="B53" s="78">
        <v>3</v>
      </c>
      <c r="C53" s="30" t="s">
        <v>56</v>
      </c>
      <c r="D53" s="8" t="s">
        <v>80</v>
      </c>
      <c r="E53" s="8"/>
      <c r="F53" s="31" t="e">
        <f t="shared" ref="F53" si="49">(AVERAGEIF(D53:E53,"&gt;0",D53:E53))*10^2*100/8</f>
        <v>#DIV/0!</v>
      </c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6"/>
      <c r="N53" s="14"/>
      <c r="O53" s="9"/>
      <c r="P53" s="14"/>
      <c r="Q53" s="14"/>
      <c r="R53" s="10"/>
      <c r="S53" s="10"/>
    </row>
    <row r="54" spans="1:21" x14ac:dyDescent="0.3">
      <c r="A54" s="75"/>
      <c r="B54" s="79"/>
      <c r="C54" s="11" t="s">
        <v>4</v>
      </c>
      <c r="D54" s="11">
        <v>51</v>
      </c>
      <c r="E54" s="11">
        <v>62</v>
      </c>
      <c r="F54" s="32">
        <f t="shared" ref="F54" si="50">(AVERAGEIF(D54:E54,"&gt;0",D54:E54))*10^3*100/8</f>
        <v>706250</v>
      </c>
      <c r="G54" s="7"/>
      <c r="H54" s="5" t="s">
        <v>25</v>
      </c>
      <c r="J54" s="40"/>
      <c r="K54" s="13"/>
      <c r="L54" s="13"/>
      <c r="M54" s="66"/>
      <c r="N54" s="14"/>
      <c r="O54" s="9"/>
      <c r="P54" s="14"/>
      <c r="Q54" s="14"/>
      <c r="R54" s="10"/>
      <c r="S54" s="10"/>
    </row>
    <row r="55" spans="1:21" ht="15" thickBot="1" x14ac:dyDescent="0.35">
      <c r="A55" s="76"/>
      <c r="B55" s="80"/>
      <c r="C55" s="12" t="s">
        <v>2</v>
      </c>
      <c r="D55" s="35">
        <v>2</v>
      </c>
      <c r="E55" s="35">
        <v>9</v>
      </c>
      <c r="F55" s="33">
        <f t="shared" ref="F55" si="51">(AVERAGEIF(D55:E55,"&gt;0",D55:E55))*10^4*100/8</f>
        <v>687500</v>
      </c>
      <c r="G55" s="7">
        <v>6</v>
      </c>
      <c r="H55" s="5" t="str">
        <f t="array" ref="H55">IFERROR(INDEX($F$2:$F$181,SMALL(IF($G$2:$G$181=14,ROW($A$1:$A$163),""),ROW(A1))),"")</f>
        <v/>
      </c>
      <c r="J55" s="40"/>
      <c r="K55" s="13"/>
      <c r="L55" s="13"/>
      <c r="M55" s="66"/>
      <c r="N55" s="14"/>
      <c r="O55" s="9"/>
      <c r="P55" s="14"/>
      <c r="Q55" s="14"/>
      <c r="R55" s="10"/>
      <c r="S55" s="10"/>
    </row>
    <row r="56" spans="1:21" ht="15" thickTop="1" x14ac:dyDescent="0.3">
      <c r="A56" s="83"/>
      <c r="B56" s="82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6"/>
      <c r="N56" s="14"/>
      <c r="O56" s="9"/>
      <c r="P56" s="14"/>
      <c r="Q56" s="14"/>
      <c r="R56" s="10"/>
      <c r="S56" s="10"/>
    </row>
    <row r="57" spans="1:21" x14ac:dyDescent="0.3">
      <c r="A57" s="75"/>
      <c r="B57" s="79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6"/>
      <c r="N57" s="14"/>
      <c r="O57" s="9"/>
      <c r="P57" s="14"/>
      <c r="Q57" s="14"/>
      <c r="R57" s="10"/>
      <c r="S57" s="10"/>
    </row>
    <row r="58" spans="1:21" ht="15" thickBot="1" x14ac:dyDescent="0.35">
      <c r="A58" s="75"/>
      <c r="B58" s="81"/>
      <c r="C58" s="12"/>
      <c r="D58" s="12"/>
      <c r="E58" s="12"/>
      <c r="F58" s="36"/>
      <c r="G58" s="7"/>
      <c r="H58" s="5" t="s">
        <v>26</v>
      </c>
      <c r="J58" s="40"/>
      <c r="K58" s="13"/>
      <c r="L58" s="13"/>
      <c r="M58" s="66"/>
      <c r="N58" s="14"/>
      <c r="O58" s="9"/>
      <c r="P58" s="14"/>
      <c r="Q58" s="14"/>
      <c r="R58" s="10"/>
      <c r="S58" s="10"/>
    </row>
    <row r="59" spans="1:21" ht="15" thickTop="1" x14ac:dyDescent="0.3">
      <c r="A59" s="75"/>
      <c r="B59" s="78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6"/>
      <c r="N59" s="14"/>
      <c r="O59" s="9"/>
      <c r="P59" s="14"/>
      <c r="Q59" s="14"/>
      <c r="R59" s="10"/>
      <c r="S59" s="10"/>
    </row>
    <row r="60" spans="1:21" ht="15" thickBot="1" x14ac:dyDescent="0.35">
      <c r="A60" s="75"/>
      <c r="B60" s="79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6"/>
      <c r="N60" s="42"/>
      <c r="O60" s="9"/>
      <c r="P60" s="42"/>
      <c r="Q60" s="42"/>
      <c r="R60" s="43"/>
      <c r="S60" s="43"/>
      <c r="T60" s="44"/>
      <c r="U60" s="44"/>
    </row>
    <row r="61" spans="1:21" ht="15" thickBot="1" x14ac:dyDescent="0.35">
      <c r="A61" s="75"/>
      <c r="B61" s="8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6"/>
      <c r="N61" s="14"/>
      <c r="O61" s="9"/>
      <c r="P61" s="14"/>
      <c r="Q61" s="14"/>
      <c r="R61" s="10"/>
      <c r="S61" s="10"/>
    </row>
    <row r="62" spans="1:21" ht="15" thickTop="1" x14ac:dyDescent="0.3">
      <c r="A62" s="75"/>
      <c r="B62" s="78"/>
      <c r="C62" s="30"/>
      <c r="D62" s="8"/>
      <c r="E62" s="8"/>
      <c r="F62" s="34"/>
      <c r="G62" s="7"/>
      <c r="H62" s="5" t="s">
        <v>27</v>
      </c>
      <c r="J62" s="40"/>
      <c r="K62" s="13"/>
      <c r="L62" s="13"/>
      <c r="M62" s="66"/>
      <c r="N62" s="14"/>
      <c r="O62" s="9"/>
      <c r="P62" s="14"/>
      <c r="Q62" s="14"/>
      <c r="R62" s="10"/>
      <c r="S62" s="10"/>
    </row>
    <row r="63" spans="1:21" x14ac:dyDescent="0.3">
      <c r="A63" s="75"/>
      <c r="B63" s="79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6"/>
      <c r="N63" s="14"/>
      <c r="O63" s="9"/>
      <c r="P63" s="14"/>
      <c r="Q63" s="14"/>
      <c r="R63" s="10"/>
      <c r="S63" s="10"/>
    </row>
    <row r="64" spans="1:21" ht="15" thickBot="1" x14ac:dyDescent="0.35">
      <c r="A64" s="76"/>
      <c r="B64" s="80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6"/>
      <c r="N64" s="14"/>
      <c r="O64" s="9"/>
      <c r="P64" s="14"/>
      <c r="Q64" s="14"/>
      <c r="R64" s="10"/>
      <c r="S64" s="10"/>
    </row>
    <row r="65" spans="1:19" ht="15" thickTop="1" x14ac:dyDescent="0.3">
      <c r="A65" s="83"/>
      <c r="B65" s="82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6"/>
      <c r="N65" s="14"/>
      <c r="O65" s="9"/>
      <c r="P65" s="14"/>
      <c r="Q65" s="14"/>
      <c r="R65" s="10"/>
      <c r="S65" s="10"/>
    </row>
    <row r="66" spans="1:19" x14ac:dyDescent="0.3">
      <c r="A66" s="75"/>
      <c r="B66" s="79"/>
      <c r="C66" s="11"/>
      <c r="D66" s="11"/>
      <c r="E66" s="11"/>
      <c r="F66" s="32"/>
      <c r="G66" s="7"/>
      <c r="H66" s="5" t="s">
        <v>28</v>
      </c>
      <c r="J66" s="40"/>
      <c r="K66" s="13"/>
      <c r="L66" s="13"/>
      <c r="M66" s="66"/>
      <c r="N66" s="14"/>
      <c r="O66" s="9"/>
      <c r="P66" s="14"/>
      <c r="Q66" s="14"/>
      <c r="R66" s="10"/>
      <c r="S66" s="10"/>
    </row>
    <row r="67" spans="1:19" ht="15" thickBot="1" x14ac:dyDescent="0.35">
      <c r="A67" s="75"/>
      <c r="B67" s="8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6"/>
      <c r="N67" s="14"/>
      <c r="O67" s="9"/>
      <c r="P67" s="14"/>
      <c r="Q67" s="14"/>
      <c r="R67" s="10"/>
      <c r="S67" s="10"/>
    </row>
    <row r="68" spans="1:19" ht="15" thickTop="1" x14ac:dyDescent="0.3">
      <c r="A68" s="75"/>
      <c r="B68" s="78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6"/>
      <c r="N68" s="14"/>
      <c r="O68" s="9"/>
      <c r="P68" s="14"/>
      <c r="Q68" s="14"/>
      <c r="R68" s="10"/>
      <c r="S68" s="10"/>
    </row>
    <row r="69" spans="1:19" x14ac:dyDescent="0.3">
      <c r="A69" s="75"/>
      <c r="B69" s="79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6"/>
      <c r="N69" s="14"/>
      <c r="O69" s="9"/>
      <c r="P69" s="14"/>
      <c r="Q69" s="14"/>
      <c r="R69" s="10"/>
      <c r="S69" s="10"/>
    </row>
    <row r="70" spans="1:19" ht="15" thickBot="1" x14ac:dyDescent="0.35">
      <c r="A70" s="75"/>
      <c r="B70" s="81"/>
      <c r="C70" s="12"/>
      <c r="D70" s="12"/>
      <c r="E70" s="12"/>
      <c r="F70" s="36"/>
      <c r="G70" s="7"/>
      <c r="H70" s="5" t="s">
        <v>29</v>
      </c>
      <c r="J70" s="40"/>
      <c r="K70" s="13"/>
      <c r="L70" s="13"/>
      <c r="M70" s="66"/>
      <c r="N70" s="14"/>
      <c r="O70" s="9"/>
      <c r="P70" s="14"/>
      <c r="Q70" s="14"/>
      <c r="R70" s="10"/>
      <c r="S70" s="10"/>
    </row>
    <row r="71" spans="1:19" ht="15" thickTop="1" x14ac:dyDescent="0.3">
      <c r="A71" s="75"/>
      <c r="B71" s="78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6"/>
      <c r="N71" s="14"/>
      <c r="O71" s="9"/>
      <c r="P71" s="14"/>
      <c r="Q71" s="14"/>
      <c r="R71" s="10"/>
      <c r="S71" s="10"/>
    </row>
    <row r="72" spans="1:19" x14ac:dyDescent="0.3">
      <c r="A72" s="75"/>
      <c r="B72" s="79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6"/>
      <c r="N72" s="14"/>
      <c r="O72" s="9"/>
      <c r="P72" s="14"/>
      <c r="Q72" s="14"/>
      <c r="R72" s="10"/>
      <c r="S72" s="10"/>
    </row>
    <row r="73" spans="1:19" ht="15" thickBot="1" x14ac:dyDescent="0.35">
      <c r="A73" s="76"/>
      <c r="B73" s="80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6"/>
      <c r="N73" s="14"/>
      <c r="O73" s="9"/>
      <c r="P73" s="14"/>
      <c r="Q73" s="14"/>
      <c r="R73" s="10"/>
      <c r="S73" s="10"/>
    </row>
    <row r="74" spans="1:19" ht="15" thickTop="1" x14ac:dyDescent="0.3">
      <c r="A74" s="50"/>
      <c r="B74" s="53"/>
      <c r="C74" s="30"/>
      <c r="D74" s="30"/>
      <c r="E74" s="30"/>
      <c r="F74" s="31"/>
      <c r="G74" s="7"/>
      <c r="H74" s="5" t="s">
        <v>30</v>
      </c>
      <c r="J74" s="40"/>
      <c r="K74" s="13"/>
      <c r="L74" s="13"/>
      <c r="M74" s="66"/>
      <c r="N74" s="14"/>
      <c r="O74" s="9"/>
      <c r="P74" s="14"/>
      <c r="Q74" s="14"/>
      <c r="R74" s="10"/>
      <c r="S74" s="10"/>
    </row>
    <row r="75" spans="1:19" x14ac:dyDescent="0.3">
      <c r="A75" s="51"/>
      <c r="B75" s="54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6"/>
      <c r="N75" s="14"/>
      <c r="O75" s="9"/>
      <c r="P75" s="14"/>
      <c r="Q75" s="14"/>
      <c r="R75" s="10"/>
      <c r="S75" s="10"/>
    </row>
    <row r="76" spans="1:19" ht="15" thickBot="1" x14ac:dyDescent="0.35">
      <c r="A76" s="51"/>
      <c r="B76" s="55"/>
      <c r="C76" s="12"/>
      <c r="D76" s="12"/>
      <c r="E76" s="12"/>
      <c r="F76" s="33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6"/>
      <c r="N76" s="14"/>
      <c r="O76" s="9"/>
      <c r="P76" s="14"/>
      <c r="Q76" s="14"/>
      <c r="R76" s="10"/>
      <c r="S76" s="10"/>
    </row>
    <row r="77" spans="1:19" x14ac:dyDescent="0.3">
      <c r="A77" s="51"/>
      <c r="B77" s="56"/>
      <c r="C77" s="8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6"/>
      <c r="N77" s="14"/>
      <c r="O77" s="9"/>
      <c r="P77" s="14"/>
      <c r="Q77" s="14"/>
      <c r="R77" s="10"/>
      <c r="S77" s="10"/>
    </row>
    <row r="78" spans="1:19" x14ac:dyDescent="0.3">
      <c r="A78" s="51"/>
      <c r="B78" s="54"/>
      <c r="C78" s="11"/>
      <c r="D78" s="11"/>
      <c r="E78" s="11"/>
      <c r="F78" s="32"/>
      <c r="G78" s="7"/>
      <c r="H78" s="5" t="s">
        <v>31</v>
      </c>
      <c r="J78" s="40"/>
      <c r="K78" s="13"/>
      <c r="L78" s="13"/>
      <c r="M78" s="66"/>
      <c r="N78" s="14"/>
      <c r="O78" s="9"/>
      <c r="P78" s="14"/>
      <c r="Q78" s="14"/>
      <c r="R78" s="10"/>
      <c r="S78" s="10"/>
    </row>
    <row r="79" spans="1:19" ht="15" thickBot="1" x14ac:dyDescent="0.35">
      <c r="A79" s="51"/>
      <c r="B79" s="55"/>
      <c r="C79" s="12"/>
      <c r="D79" s="12"/>
      <c r="E79" s="12"/>
      <c r="F79" s="33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6"/>
      <c r="N79" s="14"/>
      <c r="O79" s="9"/>
      <c r="P79" s="14"/>
      <c r="Q79" s="14"/>
      <c r="R79" s="10"/>
      <c r="S79" s="10"/>
    </row>
    <row r="80" spans="1:19" x14ac:dyDescent="0.3">
      <c r="A80" s="51"/>
      <c r="B80" s="56"/>
      <c r="C80" s="8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6"/>
      <c r="N80" s="14"/>
      <c r="O80" s="9"/>
      <c r="P80" s="14"/>
      <c r="Q80" s="14"/>
      <c r="R80" s="10"/>
      <c r="S80" s="10"/>
    </row>
    <row r="81" spans="1:22" x14ac:dyDescent="0.3">
      <c r="A81" s="51"/>
      <c r="B81" s="54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6"/>
      <c r="N81" s="14"/>
      <c r="O81" s="9"/>
      <c r="P81" s="14"/>
      <c r="Q81" s="14"/>
      <c r="R81" s="10"/>
      <c r="S81" s="10"/>
    </row>
    <row r="82" spans="1:22" ht="15" thickBot="1" x14ac:dyDescent="0.35">
      <c r="A82" s="52"/>
      <c r="B82" s="57"/>
      <c r="C82" s="35"/>
      <c r="D82" s="35"/>
      <c r="E82" s="35"/>
      <c r="F82" s="36"/>
      <c r="G82" s="7"/>
      <c r="J82" s="40"/>
      <c r="K82" s="13"/>
      <c r="L82" s="13"/>
      <c r="M82" s="66"/>
      <c r="N82" s="14"/>
      <c r="O82" s="9"/>
      <c r="P82" s="14"/>
      <c r="Q82" s="14"/>
      <c r="R82" s="10"/>
      <c r="S82" s="10"/>
    </row>
    <row r="83" spans="1:22" ht="1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6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6"/>
      <c r="N84" s="14"/>
      <c r="O84" s="9"/>
      <c r="P84" s="14"/>
      <c r="Q84" s="14"/>
      <c r="R84" s="10"/>
      <c r="S84" s="10"/>
    </row>
    <row r="85" spans="1:22" ht="1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6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6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6"/>
      <c r="N87" s="14"/>
      <c r="O87" s="9"/>
      <c r="P87" s="14"/>
      <c r="Q87" s="14"/>
      <c r="R87" s="10"/>
      <c r="S87" s="10"/>
    </row>
    <row r="88" spans="1:22" ht="1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6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6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6"/>
      <c r="N90" s="14"/>
      <c r="O90" s="9"/>
      <c r="P90" s="14"/>
      <c r="Q90" s="14"/>
      <c r="R90" s="10"/>
      <c r="S90" s="10"/>
    </row>
    <row r="91" spans="1:22" ht="1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6"/>
      <c r="N91" s="14"/>
      <c r="O91" s="9"/>
      <c r="P91" s="14"/>
      <c r="Q91" s="14"/>
      <c r="R91" s="10"/>
      <c r="S91" s="10"/>
    </row>
    <row r="92" spans="1:22" ht="1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6"/>
      <c r="N92" s="14"/>
      <c r="O92" s="9"/>
      <c r="P92" s="14"/>
      <c r="Q92" s="14"/>
      <c r="R92" s="10"/>
      <c r="S92" s="10"/>
    </row>
    <row r="93" spans="1:22" ht="1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6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6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6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6"/>
      <c r="N96" s="14"/>
      <c r="O96" s="9"/>
      <c r="P96" s="14"/>
      <c r="Q96" s="14"/>
      <c r="R96" s="10"/>
      <c r="S96" s="10"/>
    </row>
    <row r="97" spans="1:19" ht="1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6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6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6"/>
      <c r="N99" s="14"/>
      <c r="O99" s="9"/>
      <c r="P99" s="14"/>
      <c r="Q99" s="14"/>
      <c r="R99" s="10"/>
      <c r="S99" s="10"/>
    </row>
    <row r="100" spans="1:19" ht="1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6"/>
      <c r="N100" s="14"/>
      <c r="O100" s="9"/>
      <c r="P100" s="14"/>
      <c r="Q100" s="14"/>
      <c r="R100" s="10"/>
      <c r="S100" s="10"/>
    </row>
    <row r="101" spans="1:19" ht="1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6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6"/>
      <c r="N102" s="14"/>
      <c r="O102" s="9"/>
      <c r="P102" s="14"/>
      <c r="Q102" s="14"/>
      <c r="R102" s="10"/>
      <c r="S102" s="10"/>
    </row>
    <row r="103" spans="1:19" ht="1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6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6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6"/>
      <c r="N105" s="14"/>
      <c r="O105" s="9"/>
      <c r="P105" s="14"/>
      <c r="Q105" s="14"/>
      <c r="R105" s="10"/>
      <c r="S105" s="10"/>
    </row>
    <row r="106" spans="1:19" ht="1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6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6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6"/>
      <c r="N108" s="14"/>
      <c r="O108" s="9"/>
      <c r="P108" s="14"/>
      <c r="Q108" s="14"/>
      <c r="R108" s="10"/>
      <c r="S108" s="10"/>
    </row>
    <row r="109" spans="1:19" ht="1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6"/>
      <c r="N109" s="14"/>
      <c r="O109" s="9"/>
      <c r="P109" s="14"/>
      <c r="Q109" s="14"/>
      <c r="R109" s="10"/>
      <c r="S109" s="10"/>
    </row>
    <row r="110" spans="1:19" ht="1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6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6"/>
      <c r="N111" s="14"/>
      <c r="O111" s="9"/>
      <c r="P111" s="14"/>
      <c r="Q111" s="14"/>
      <c r="R111" s="10"/>
      <c r="S111" s="10"/>
    </row>
    <row r="112" spans="1:19" ht="1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6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6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6"/>
      <c r="N114" s="14"/>
      <c r="O114" s="9"/>
      <c r="P114" s="14"/>
      <c r="Q114" s="14"/>
      <c r="R114" s="10"/>
      <c r="S114" s="10"/>
    </row>
    <row r="115" spans="1:19" ht="1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6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6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6"/>
      <c r="N117" s="14"/>
      <c r="O117" s="9"/>
      <c r="P117" s="14"/>
      <c r="Q117" s="14"/>
      <c r="R117" s="10"/>
      <c r="S117" s="10"/>
    </row>
    <row r="118" spans="1:19" ht="1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6"/>
      <c r="N118" s="14"/>
      <c r="O118" s="9"/>
      <c r="P118" s="14"/>
      <c r="Q118" s="14"/>
      <c r="R118" s="10"/>
      <c r="S118" s="10"/>
    </row>
    <row r="119" spans="1:19" ht="1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6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6"/>
      <c r="N120" s="14"/>
      <c r="O120" s="9"/>
      <c r="P120" s="14"/>
      <c r="Q120" s="14"/>
      <c r="R120" s="10"/>
      <c r="S120" s="10"/>
    </row>
    <row r="121" spans="1:19" ht="1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6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6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6"/>
      <c r="N123" s="14"/>
      <c r="O123" s="9"/>
      <c r="P123" s="14"/>
      <c r="Q123" s="14"/>
      <c r="R123" s="10"/>
      <c r="S123" s="10"/>
    </row>
    <row r="124" spans="1:19" ht="1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6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6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6"/>
      <c r="N126" s="14"/>
      <c r="O126" s="9"/>
      <c r="P126" s="14"/>
      <c r="Q126" s="14"/>
      <c r="R126" s="10"/>
      <c r="S126" s="10"/>
    </row>
    <row r="127" spans="1:19" ht="1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6"/>
      <c r="N127" s="14"/>
      <c r="O127" s="9"/>
      <c r="P127" s="14"/>
      <c r="Q127" s="14"/>
      <c r="R127" s="10"/>
      <c r="S127" s="10"/>
    </row>
    <row r="128" spans="1:19" ht="1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6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6"/>
      <c r="N129" s="14"/>
      <c r="O129" s="9"/>
      <c r="P129" s="14"/>
      <c r="Q129" s="14"/>
      <c r="R129" s="10"/>
      <c r="S129" s="10"/>
    </row>
    <row r="130" spans="1:19" ht="1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6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6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6"/>
      <c r="N132" s="14"/>
      <c r="O132" s="9"/>
      <c r="P132" s="14"/>
      <c r="Q132" s="14"/>
      <c r="R132" s="10"/>
      <c r="S132" s="10"/>
    </row>
    <row r="133" spans="1:19" ht="1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6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6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6"/>
      <c r="N135" s="14"/>
      <c r="O135" s="9"/>
      <c r="P135" s="14"/>
      <c r="Q135" s="14"/>
      <c r="R135" s="10"/>
      <c r="S135" s="10"/>
    </row>
    <row r="136" spans="1:19" ht="1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6"/>
      <c r="N136" s="14"/>
      <c r="O136" s="9"/>
      <c r="P136" s="14"/>
      <c r="Q136" s="14"/>
      <c r="R136" s="10"/>
      <c r="S136" s="10"/>
    </row>
    <row r="137" spans="1:19" ht="1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6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6"/>
      <c r="N138" s="14"/>
      <c r="O138" s="9"/>
      <c r="P138" s="14"/>
      <c r="Q138" s="14"/>
      <c r="R138" s="10"/>
      <c r="S138" s="10"/>
    </row>
    <row r="139" spans="1:19" ht="1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6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6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6"/>
      <c r="N141" s="14"/>
      <c r="O141" s="9"/>
      <c r="P141" s="14"/>
      <c r="Q141" s="14"/>
      <c r="R141" s="10"/>
      <c r="S141" s="10"/>
    </row>
    <row r="142" spans="1:19" ht="1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6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6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6"/>
      <c r="N144" s="14"/>
      <c r="O144" s="9"/>
      <c r="P144" s="14"/>
      <c r="Q144" s="14"/>
      <c r="R144" s="10"/>
      <c r="S144" s="10"/>
    </row>
    <row r="145" spans="1:19" ht="1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6"/>
      <c r="N145" s="14"/>
      <c r="O145" s="9"/>
      <c r="P145" s="14"/>
      <c r="Q145" s="14"/>
      <c r="R145" s="10"/>
      <c r="S145" s="10"/>
    </row>
    <row r="146" spans="1:19" ht="1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6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6"/>
      <c r="N147" s="14"/>
      <c r="O147" s="9"/>
      <c r="P147" s="14"/>
      <c r="Q147" s="14"/>
      <c r="R147" s="10"/>
      <c r="S147" s="10"/>
    </row>
    <row r="148" spans="1:19" ht="1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6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6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6"/>
      <c r="N150" s="14"/>
      <c r="O150" s="9"/>
      <c r="P150" s="14"/>
      <c r="Q150" s="14"/>
      <c r="R150" s="10"/>
      <c r="S150" s="10"/>
    </row>
    <row r="151" spans="1:19" ht="1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6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6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6"/>
      <c r="N153" s="14"/>
      <c r="O153" s="9"/>
      <c r="P153" s="14"/>
      <c r="Q153" s="14"/>
      <c r="R153" s="10"/>
      <c r="S153" s="10"/>
    </row>
    <row r="154" spans="1:19" ht="1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6"/>
      <c r="N154" s="14"/>
      <c r="O154" s="9"/>
      <c r="P154" s="14"/>
      <c r="Q154" s="14"/>
      <c r="R154" s="10"/>
      <c r="S154" s="10"/>
    </row>
    <row r="155" spans="1:19" ht="1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6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6"/>
      <c r="N156" s="14"/>
      <c r="O156" s="9"/>
      <c r="P156" s="14"/>
      <c r="Q156" s="14"/>
      <c r="R156" s="10"/>
      <c r="S156" s="10"/>
    </row>
    <row r="157" spans="1:19" ht="1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6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6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6"/>
      <c r="N159" s="14"/>
      <c r="O159" s="9"/>
      <c r="P159" s="14"/>
      <c r="Q159" s="14"/>
      <c r="R159" s="10"/>
      <c r="S159" s="10"/>
    </row>
    <row r="160" spans="1:19" ht="1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6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6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6"/>
      <c r="N162" s="14"/>
      <c r="O162" s="9"/>
      <c r="P162" s="14"/>
      <c r="Q162" s="14"/>
      <c r="R162" s="10"/>
      <c r="S162" s="10"/>
    </row>
    <row r="163" spans="1:19" ht="1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6"/>
      <c r="N163" s="14"/>
      <c r="O163" s="9"/>
      <c r="P163" s="14"/>
      <c r="Q163" s="14"/>
      <c r="R163" s="10"/>
      <c r="S163" s="10"/>
    </row>
    <row r="164" spans="1:19" ht="1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6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6"/>
      <c r="N165" s="14"/>
      <c r="O165" s="9"/>
      <c r="P165" s="21"/>
      <c r="Q165" s="21"/>
      <c r="R165" s="10"/>
      <c r="S165" s="10"/>
    </row>
    <row r="166" spans="1:19" ht="1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6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6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6"/>
      <c r="N168" s="14"/>
      <c r="O168" s="9"/>
      <c r="P168" s="21"/>
      <c r="Q168" s="21"/>
      <c r="R168" s="10"/>
      <c r="S168" s="10"/>
    </row>
    <row r="169" spans="1:19" ht="1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6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6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6"/>
      <c r="N171" s="14"/>
      <c r="O171" s="9"/>
      <c r="P171" s="21"/>
      <c r="Q171" s="21"/>
      <c r="R171" s="10"/>
      <c r="S171" s="10"/>
    </row>
    <row r="172" spans="1:19" ht="1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6"/>
      <c r="N172" s="14"/>
      <c r="O172" s="9"/>
      <c r="P172" s="21"/>
      <c r="Q172" s="21"/>
      <c r="R172" s="10"/>
      <c r="S172" s="10"/>
    </row>
    <row r="173" spans="1:19" ht="1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7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7"/>
      <c r="O174" s="9"/>
      <c r="P174" s="21"/>
      <c r="Q174" s="21"/>
      <c r="R174" s="10"/>
      <c r="S174" s="10"/>
    </row>
    <row r="175" spans="1:19" ht="1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7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7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7"/>
      <c r="O177" s="9"/>
      <c r="P177" s="21"/>
      <c r="Q177" s="21"/>
    </row>
    <row r="178" spans="1:17" ht="1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7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7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7"/>
      <c r="O180" s="9"/>
      <c r="P180" s="21"/>
      <c r="Q180" s="21"/>
    </row>
    <row r="181" spans="1:17" ht="1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7"/>
      <c r="O181" s="9"/>
      <c r="P181" s="21"/>
      <c r="Q181" s="21"/>
    </row>
    <row r="182" spans="1:17" ht="15" thickTop="1" x14ac:dyDescent="0.3">
      <c r="G182" s="28"/>
      <c r="O182" s="9"/>
    </row>
  </sheetData>
  <mergeCells count="32">
    <mergeCell ref="A56:A64"/>
    <mergeCell ref="B56:B58"/>
    <mergeCell ref="B59:B61"/>
    <mergeCell ref="B62:B64"/>
    <mergeCell ref="A65:A73"/>
    <mergeCell ref="B65:B67"/>
    <mergeCell ref="B68:B70"/>
    <mergeCell ref="B71:B73"/>
    <mergeCell ref="A38:A46"/>
    <mergeCell ref="B38:B40"/>
    <mergeCell ref="B41:B43"/>
    <mergeCell ref="B44:B46"/>
    <mergeCell ref="A47:A55"/>
    <mergeCell ref="B47:B49"/>
    <mergeCell ref="B50:B52"/>
    <mergeCell ref="B53:B55"/>
    <mergeCell ref="A20:A28"/>
    <mergeCell ref="B20:B22"/>
    <mergeCell ref="B23:B25"/>
    <mergeCell ref="B26:B28"/>
    <mergeCell ref="A29:A37"/>
    <mergeCell ref="B29:B31"/>
    <mergeCell ref="B32:B34"/>
    <mergeCell ref="B35:B37"/>
    <mergeCell ref="A2:A10"/>
    <mergeCell ref="B2:B4"/>
    <mergeCell ref="B5:B7"/>
    <mergeCell ref="B8:B10"/>
    <mergeCell ref="A11:A19"/>
    <mergeCell ref="B11:B13"/>
    <mergeCell ref="B14:B16"/>
    <mergeCell ref="B17:B1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BD94-74CC-4663-94BB-15AF0134F44A}">
  <dimension ref="A1:V182"/>
  <sheetViews>
    <sheetView topLeftCell="F31" zoomScaleNormal="100" workbookViewId="0">
      <selection activeCell="P30" sqref="P30"/>
    </sheetView>
  </sheetViews>
  <sheetFormatPr defaultColWidth="9.109375" defaultRowHeight="14.4" x14ac:dyDescent="0.3"/>
  <cols>
    <col min="1" max="1" width="10.6640625" style="23" customWidth="1"/>
    <col min="2" max="2" width="10.6640625" style="24" customWidth="1"/>
    <col min="3" max="3" width="12.6640625" style="25" bestFit="1" customWidth="1"/>
    <col min="4" max="4" width="20.33203125" style="25" customWidth="1"/>
    <col min="5" max="5" width="21" style="25" customWidth="1"/>
    <col min="6" max="6" width="11.44140625" style="5" customWidth="1"/>
    <col min="7" max="7" width="11.44140625" style="29" customWidth="1"/>
    <col min="8" max="8" width="14.44140625" style="5" customWidth="1"/>
    <col min="9" max="9" width="12.6640625" style="5" bestFit="1" customWidth="1"/>
    <col min="10" max="12" width="12.6640625" style="5" customWidth="1"/>
    <col min="13" max="13" width="12.6640625" style="7" customWidth="1"/>
    <col min="14" max="15" width="12.6640625" style="21" customWidth="1"/>
    <col min="16" max="19" width="12.6640625" style="5" customWidth="1"/>
    <col min="20" max="20" width="11.88671875" style="5" customWidth="1"/>
    <col min="21" max="21" width="12.44140625" style="5" customWidth="1"/>
    <col min="22" max="22" width="13.109375" style="7" customWidth="1"/>
    <col min="23" max="16384" width="9.109375" style="7"/>
  </cols>
  <sheetData>
    <row r="1" spans="1:22" ht="28.5" thickBot="1" x14ac:dyDescent="0.35">
      <c r="A1" s="1" t="s">
        <v>0</v>
      </c>
      <c r="B1" s="2" t="s">
        <v>8</v>
      </c>
      <c r="C1" s="3" t="s">
        <v>1</v>
      </c>
      <c r="D1" s="3" t="s">
        <v>6</v>
      </c>
      <c r="E1" s="3" t="s">
        <v>7</v>
      </c>
      <c r="F1" s="4" t="s">
        <v>9</v>
      </c>
      <c r="G1" s="27" t="s">
        <v>11</v>
      </c>
      <c r="H1" s="26" t="s">
        <v>32</v>
      </c>
      <c r="I1" s="26" t="s">
        <v>33</v>
      </c>
      <c r="J1" s="26" t="s">
        <v>10</v>
      </c>
      <c r="K1" s="26" t="s">
        <v>34</v>
      </c>
      <c r="L1" s="26" t="s">
        <v>35</v>
      </c>
      <c r="M1" s="6"/>
      <c r="N1" s="48" t="s">
        <v>58</v>
      </c>
      <c r="O1" s="48" t="s">
        <v>59</v>
      </c>
      <c r="P1" s="48" t="s">
        <v>60</v>
      </c>
      <c r="Q1" s="48" t="s">
        <v>61</v>
      </c>
      <c r="R1" s="48" t="s">
        <v>85</v>
      </c>
      <c r="S1" s="48" t="s">
        <v>86</v>
      </c>
      <c r="T1" s="45" t="s">
        <v>64</v>
      </c>
      <c r="U1" s="45" t="s">
        <v>65</v>
      </c>
      <c r="V1" s="6"/>
    </row>
    <row r="2" spans="1:22" ht="15.75" customHeight="1" thickTop="1" x14ac:dyDescent="0.3">
      <c r="A2" s="74" t="s">
        <v>58</v>
      </c>
      <c r="B2" s="77">
        <v>1</v>
      </c>
      <c r="C2" s="30" t="s">
        <v>4</v>
      </c>
      <c r="D2" s="58" t="s">
        <v>80</v>
      </c>
      <c r="E2" s="58"/>
      <c r="F2" s="31" t="e">
        <f>(AVERAGEIF(D2:E2,"&gt;0",D2:E2))*10^3*100/8</f>
        <v>#DIV/0!</v>
      </c>
      <c r="G2" s="7"/>
      <c r="H2" s="5" t="s">
        <v>12</v>
      </c>
      <c r="J2" s="38"/>
      <c r="K2" s="41">
        <f t="array" ref="K2">IFERROR(INDEX($I$2:$I$81,SMALL(IF(ISNUMBER($I$2:$I$81),ROW($A$1:$A$80),""),ROW(A1))),"")</f>
        <v>18229166.666666668</v>
      </c>
      <c r="L2" s="41">
        <f t="array" ref="L2">IFERROR(INDEX($J$2:$J$81,SMALL(IF(ISNUMBER($J$2:$J$81),ROW($A$1:$A$80),""),ROW(A1))),"")</f>
        <v>3656294.5153985219</v>
      </c>
      <c r="M2" s="63" t="s">
        <v>52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75"/>
      <c r="B3" s="71"/>
      <c r="C3" s="11" t="s">
        <v>2</v>
      </c>
      <c r="D3" s="11">
        <v>175</v>
      </c>
      <c r="E3" s="11">
        <v>117</v>
      </c>
      <c r="F3" s="32">
        <f>(AVERAGEIF(D3:E3,"&gt;0",D3:E3))*10^4*100/8</f>
        <v>18250000</v>
      </c>
      <c r="G3" s="7">
        <v>1</v>
      </c>
      <c r="H3" s="5">
        <f t="array" ref="H3">IFERROR(INDEX($F$2:$F$181,SMALL(IF($G$2:$G$181=1,ROW($A$1:$A$163),""),ROW(A1))),"")</f>
        <v>18250000</v>
      </c>
      <c r="J3" s="39"/>
      <c r="K3" s="41">
        <f t="array" ref="K3">IFERROR(INDEX($I$2:$I$81,SMALL(IF(ISNUMBER($I$2:$I$81),ROW($A$1:$A$80),""),ROW(A2))),"")</f>
        <v>754166.66666666663</v>
      </c>
      <c r="L3" s="41">
        <f t="array" ref="L3">IFERROR(INDEX($J$2:$J$81,SMALL(IF(ISNUMBER($J$2:$J$81),ROW($A$1:$A$80),""),ROW(A2))),"")</f>
        <v>225722.22051303094</v>
      </c>
      <c r="M3" s="63" t="s">
        <v>53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5" thickBot="1" x14ac:dyDescent="0.35">
      <c r="A4" s="75"/>
      <c r="B4" s="72"/>
      <c r="C4" s="12" t="s">
        <v>3</v>
      </c>
      <c r="D4" s="12">
        <v>10</v>
      </c>
      <c r="E4" s="12"/>
      <c r="F4" s="33">
        <f>(AVERAGEIF(D4:E4,"&gt;0",D4:E4))*10^5*100/8</f>
        <v>12500000</v>
      </c>
      <c r="G4" s="7"/>
      <c r="H4" s="5">
        <f t="array" ref="H4">IFERROR(INDEX($F$2:$F$181,SMALL(IF($G$2:$G$181=1,ROW($A$1:$A$163),""),ROW(A2))),"")</f>
        <v>14562500</v>
      </c>
      <c r="J4" s="39"/>
      <c r="K4" s="41">
        <f t="array" ref="K4">IFERROR(INDEX($I$2:$I$81,SMALL(IF(ISNUMBER($I$2:$I$81),ROW($A$1:$A$80),""),ROW(A3))),"")</f>
        <v>11708333.333333334</v>
      </c>
      <c r="L4" s="41">
        <f t="array" ref="L4">IFERROR(INDEX($J$2:$J$81,SMALL(IF(ISNUMBER($J$2:$J$81),ROW($A$1:$A$80),""),ROW(A3))),"")</f>
        <v>2453738.6440559118</v>
      </c>
      <c r="M4" s="64"/>
      <c r="N4" s="9">
        <f t="array" ref="N4">IFERROR(INDEX($F$2:$F$181,SMALL(_xlfn.IFS($G$2:$G$181&lt;$N$2,"",$G$2:$G$181&gt;$N$3,"",ISNUMBER($G$2:$G$181),ROW($A$1:$A$180)),ROW(A1))),"")</f>
        <v>18250000</v>
      </c>
      <c r="O4" s="9">
        <f t="array" ref="O4">IFERROR(INDEX($F$2:$F$181,SMALL(_xlfn.IFS($G$2:$G$181&lt;$O$2,"",$G$2:$G$181&gt;$O$3,"",ISNUMBER($G$2:$G$181),ROW($A$1:$A$180)),ROW(A1))),"")</f>
        <v>775000</v>
      </c>
      <c r="P4" s="9">
        <f t="array" ref="P4">IFERROR(INDEX($F$2:$F$181,SMALL(_xlfn.IFS($G$2:$G$181&lt;$P$2,"",$G$2:$G$181&gt;$P$3,"",ISNUMBER($G$2:$G$181),ROW($A$1:$A$180)),ROW(A1))),"")</f>
        <v>8875000</v>
      </c>
      <c r="Q4" s="9">
        <f t="array" ref="Q4">IFERROR(INDEX($F$2:$F$181,SMALL(_xlfn.IFS($G$2:$G$181&lt;$Q$2,"",$G$2:$G$181&gt;$Q$3,"",ISNUMBER($G$2:$G$181),ROW($A$1:$A$180)),ROW(A1))),"")</f>
        <v>1168750</v>
      </c>
      <c r="R4" s="9">
        <f t="array" ref="R4">IFERROR(INDEX($F$2:$F$181,SMALL(_xlfn.IFS($G$2:$G$181&lt;$R$2,"",$G$2:$G$181&gt;$R$3,"",ISNUMBER($G$2:$G$181),ROW($A$1:$A$180)),ROW(A1))),"")</f>
        <v>9812500</v>
      </c>
      <c r="S4" s="10">
        <f t="array" ref="S4">IFERROR(INDEX($F$2:$F$181,SMALL(_xlfn.IFS($G$2:$G$181&lt;$S$2,"",$G$2:$G$181&gt;$S$3,"",ISNUMBER($G$2:$G$181),ROW($A$1:$A$180)),ROW(A1))),"")</f>
        <v>400000</v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x14ac:dyDescent="0.3">
      <c r="A5" s="75"/>
      <c r="B5" s="70">
        <v>2</v>
      </c>
      <c r="C5" s="8" t="s">
        <v>4</v>
      </c>
      <c r="D5" s="59" t="s">
        <v>80</v>
      </c>
      <c r="E5" s="59"/>
      <c r="F5" s="34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21875000</v>
      </c>
      <c r="I5" s="5">
        <f>AVERAGE(H3:H5)</f>
        <v>18229166.666666668</v>
      </c>
      <c r="J5" s="39">
        <f>STDEV(H3:H5)</f>
        <v>3656294.5153985219</v>
      </c>
      <c r="K5" s="41">
        <f t="array" ref="K5">IFERROR(INDEX($I$2:$I$81,SMALL(IF(ISNUMBER($I$2:$I$81),ROW($A$1:$A$80),""),ROW(A4))),"")</f>
        <v>889583.33333333337</v>
      </c>
      <c r="L5" s="41">
        <f t="array" ref="L5">IFERROR(INDEX($J$2:$J$81,SMALL(IF(ISNUMBER($J$2:$J$81),ROW($A$1:$A$80),""),ROW(A4))),"")</f>
        <v>347779.41404478392</v>
      </c>
      <c r="M5" s="64"/>
      <c r="N5" s="9">
        <f t="array" ref="N5">IFERROR(INDEX($F$2:$F$181,SMALL(_xlfn.IFS($G$2:$G$181&lt;$N$2,"",$G$2:$G$181&gt;$N$3,"",ISNUMBER($G$2:$G$181),ROW($A$1:$A$180)),ROW(A2))),"")</f>
        <v>14562500</v>
      </c>
      <c r="O5" s="9">
        <f t="array" ref="O5">IFERROR(INDEX($F$2:$F$181,SMALL(_xlfn.IFS($G$2:$G$181&lt;$O$2,"",$G$2:$G$181&gt;$O$3,"",ISNUMBER($G$2:$G$181),ROW($A$1:$A$180)),ROW(A2))),"")</f>
        <v>968750</v>
      </c>
      <c r="P5" s="9">
        <f t="array" ref="P5">IFERROR(INDEX($F$2:$F$181,SMALL(_xlfn.IFS($G$2:$G$181&lt;$P$2,"",$G$2:$G$181&gt;$P$3,"",ISNUMBER($G$2:$G$181),ROW($A$1:$A$180)),ROW(A2))),"")</f>
        <v>13125000</v>
      </c>
      <c r="Q5" s="9">
        <f t="array" ref="Q5">IFERROR(INDEX($F$2:$F$181,SMALL(_xlfn.IFS($G$2:$G$181&lt;$Q$2,"",$G$2:$G$181&gt;$Q$3,"",ISNUMBER($G$2:$G$181),ROW($A$1:$A$180)),ROW(A2))),"")</f>
        <v>1000000</v>
      </c>
      <c r="R5" s="9">
        <f t="array" ref="R5">IFERROR(INDEX($F$2:$F$181,SMALL(_xlfn.IFS($G$2:$G$181&lt;$R$2,"",$G$2:$G$181&gt;$R$3,"",ISNUMBER($G$2:$G$181),ROW($A$1:$A$180)),ROW(A2))),"")</f>
        <v>10625000</v>
      </c>
      <c r="S5" s="10">
        <f t="array" ref="S5">IFERROR(INDEX($F$2:$F$181,SMALL(_xlfn.IFS($G$2:$G$181&lt;$S$2,"",$G$2:$G$181&gt;$S$3,"",ISNUMBER($G$2:$G$181),ROW($A$1:$A$180)),ROW(A2))),"")</f>
        <v>675000</v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75"/>
      <c r="B6" s="71"/>
      <c r="C6" s="11" t="s">
        <v>2</v>
      </c>
      <c r="D6" s="11">
        <v>116</v>
      </c>
      <c r="E6" s="11">
        <v>117</v>
      </c>
      <c r="F6" s="32">
        <f t="shared" ref="F6" si="1">(AVERAGEIF(D6:E6,"&gt;0",D6:E6))*10^4*100/8</f>
        <v>14562500</v>
      </c>
      <c r="G6" s="7">
        <v>1</v>
      </c>
      <c r="H6" s="5" t="s">
        <v>13</v>
      </c>
      <c r="J6" s="39"/>
      <c r="K6" s="41">
        <f t="array" ref="K6">IFERROR(INDEX($I$2:$I$81,SMALL(IF(ISNUMBER($I$2:$I$81),ROW($A$1:$A$80),""),ROW(A5))),"")</f>
        <v>11604166.666666666</v>
      </c>
      <c r="L6" s="41">
        <f t="array" ref="L6">IFERROR(INDEX($J$2:$J$81,SMALL(IF(ISNUMBER($J$2:$J$81),ROW($A$1:$A$80),""),ROW(A5))),"")</f>
        <v>2433757.8111499394</v>
      </c>
      <c r="M6" s="64"/>
      <c r="N6" s="9">
        <f t="array" ref="N6">IFERROR(INDEX($F$2:$F$181,SMALL(_xlfn.IFS($G$2:$G$181&lt;$N$2,"",$G$2:$G$181&gt;$N$3,"",ISNUMBER($G$2:$G$181),ROW($A$1:$A$180)),ROW(A3))),"")</f>
        <v>21875000</v>
      </c>
      <c r="O6" s="9">
        <f t="array" ref="O6">IFERROR(INDEX($F$2:$F$181,SMALL(_xlfn.IFS($G$2:$G$181&lt;$O$2,"",$G$2:$G$181&gt;$O$3,"",ISNUMBER($G$2:$G$181),ROW($A$1:$A$180)),ROW(A3))),"")</f>
        <v>518750</v>
      </c>
      <c r="P6" s="9">
        <f t="array" ref="P6">IFERROR(INDEX($F$2:$F$181,SMALL(_xlfn.IFS($G$2:$G$181&lt;$P$2,"",$G$2:$G$181&gt;$P$3,"",ISNUMBER($G$2:$G$181),ROW($A$1:$A$180)),ROW(A3))),"")</f>
        <v>13125000</v>
      </c>
      <c r="Q6" s="9">
        <f t="array" ref="Q6">IFERROR(INDEX($F$2:$F$181,SMALL(_xlfn.IFS($G$2:$G$181&lt;$Q$2,"",$G$2:$G$181&gt;$Q$3,"",ISNUMBER($G$2:$G$181),ROW($A$1:$A$180)),ROW(A3))),"")</f>
        <v>500000</v>
      </c>
      <c r="R6" s="9">
        <f t="array" ref="R6">IFERROR(INDEX($F$2:$F$181,SMALL(_xlfn.IFS($G$2:$G$181&lt;$R$2,"",$G$2:$G$181&gt;$R$3,"",ISNUMBER($G$2:$G$181),ROW($A$1:$A$180)),ROW(A3))),"")</f>
        <v>14375000</v>
      </c>
      <c r="S6" s="10">
        <f t="array" ref="S6">IFERROR(INDEX($F$2:$F$181,SMALL(_xlfn.IFS($G$2:$G$181&lt;$S$2,"",$G$2:$G$181&gt;$S$3,"",ISNUMBER($G$2:$G$181),ROW($A$1:$A$180)),ROW(A3))),"")</f>
        <v>268750</v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5" thickBot="1" x14ac:dyDescent="0.35">
      <c r="A7" s="75"/>
      <c r="B7" s="72"/>
      <c r="C7" s="12" t="s">
        <v>3</v>
      </c>
      <c r="D7" s="12">
        <v>19</v>
      </c>
      <c r="E7" s="12">
        <v>18</v>
      </c>
      <c r="F7" s="33">
        <f t="shared" ref="F7" si="2">(AVERAGEIF(D7:E7,"&gt;0",D7:E7))*10^5*100/8</f>
        <v>23125000</v>
      </c>
      <c r="G7" s="7"/>
      <c r="H7" s="5">
        <f t="array" ref="H7">IFERROR(INDEX($F$2:$F$181,SMALL(IF($G$2:$G$181=2,ROW($A$1:$A$163),""),ROW(A1))),"")</f>
        <v>775000</v>
      </c>
      <c r="J7" s="39"/>
      <c r="K7" s="41">
        <f t="array" ref="K7">IFERROR(INDEX($I$2:$I$81,SMALL(IF(ISNUMBER($I$2:$I$81),ROW($A$1:$A$80),""),ROW(A6))),"")</f>
        <v>447916.66666666669</v>
      </c>
      <c r="L7" s="41">
        <f t="array" ref="L7">IFERROR(INDEX($J$2:$J$81,SMALL(IF(ISNUMBER($J$2:$J$81),ROW($A$1:$A$80),""),ROW(A6))),"")</f>
        <v>207320.45444994885</v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x14ac:dyDescent="0.3">
      <c r="A8" s="75"/>
      <c r="B8" s="70">
        <v>3</v>
      </c>
      <c r="C8" s="8" t="s">
        <v>4</v>
      </c>
      <c r="D8" s="59" t="s">
        <v>80</v>
      </c>
      <c r="E8" s="59"/>
      <c r="F8" s="34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968750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75"/>
      <c r="B9" s="71"/>
      <c r="C9" s="11" t="s">
        <v>2</v>
      </c>
      <c r="D9" s="11">
        <v>170</v>
      </c>
      <c r="E9" s="11">
        <v>197</v>
      </c>
      <c r="F9" s="32">
        <f t="shared" ref="F9" si="4">(AVERAGEIF(D9:E9,"&gt;0",D9:E9))*10^4*100/8</f>
        <v>22937500</v>
      </c>
      <c r="G9" s="7"/>
      <c r="H9" s="5">
        <f t="array" ref="H9">IFERROR(INDEX($F$2:$F$181,SMALL(IF($G$2:$G$181=2,ROW($A$1:$A$163),""),ROW(A3))),"")</f>
        <v>518750</v>
      </c>
      <c r="I9" s="5">
        <f>AVERAGE(H7:H9)</f>
        <v>754166.66666666663</v>
      </c>
      <c r="J9" s="39">
        <f>STDEV(H7:H9)</f>
        <v>225722.22051303094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5" thickBot="1" x14ac:dyDescent="0.35">
      <c r="A10" s="76"/>
      <c r="B10" s="73"/>
      <c r="C10" s="35" t="s">
        <v>3</v>
      </c>
      <c r="D10" s="35">
        <v>22</v>
      </c>
      <c r="E10" s="35">
        <v>13</v>
      </c>
      <c r="F10" s="36">
        <f t="shared" ref="F10" si="5">(AVERAGEIF(D10:E10,"&gt;0",D10:E10))*10^5*100/8</f>
        <v>21875000</v>
      </c>
      <c r="G10" s="7">
        <v>1</v>
      </c>
      <c r="H10" s="5" t="s">
        <v>14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" customHeight="1" thickTop="1" x14ac:dyDescent="0.3">
      <c r="A11" s="74" t="s">
        <v>81</v>
      </c>
      <c r="B11" s="77">
        <v>1</v>
      </c>
      <c r="C11" s="30" t="s">
        <v>4</v>
      </c>
      <c r="D11" s="30" t="s">
        <v>80</v>
      </c>
      <c r="E11" s="30"/>
      <c r="F11" s="31" t="e">
        <f t="shared" ref="F11" si="6">(AVERAGEIF(D11:E11,"&gt;0",D11:E11))*10^3*100/8</f>
        <v>#DIV/0!</v>
      </c>
      <c r="G11" s="7"/>
      <c r="H11" s="5">
        <f t="array" ref="H11">IFERROR(INDEX($F$2:$F$181,SMALL(IF($G$2:$G$181=3,ROW($A$1:$A$163),""),ROW(A1))),"")</f>
        <v>8875000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75"/>
      <c r="B12" s="71"/>
      <c r="C12" s="11" t="s">
        <v>2</v>
      </c>
      <c r="D12" s="11">
        <v>73</v>
      </c>
      <c r="E12" s="11">
        <v>69</v>
      </c>
      <c r="F12" s="32">
        <f t="shared" ref="F12" si="7">(AVERAGEIF(D12:E12,"&gt;0",D12:E12))*10^4*100/8</f>
        <v>8875000</v>
      </c>
      <c r="G12" s="7">
        <v>3</v>
      </c>
      <c r="H12" s="5">
        <f t="array" ref="H12">IFERROR(INDEX($F$2:$F$181,SMALL(IF($G$2:$G$181=3,ROW($A$1:$A$163),""),ROW(A2))),"")</f>
        <v>13125000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5" thickBot="1" x14ac:dyDescent="0.35">
      <c r="A13" s="75"/>
      <c r="B13" s="72"/>
      <c r="C13" s="12" t="s">
        <v>3</v>
      </c>
      <c r="D13" s="12">
        <v>6</v>
      </c>
      <c r="E13" s="12">
        <v>6</v>
      </c>
      <c r="F13" s="33">
        <f t="shared" ref="F13" si="8">(AVERAGEIF(D13:E13,"&gt;0",D13:E13))*10^5*100/8</f>
        <v>7500000</v>
      </c>
      <c r="G13" s="7"/>
      <c r="H13" s="5">
        <f t="array" ref="H13">IFERROR(INDEX($F$2:$F$181,SMALL(IF($G$2:$G$181=3,ROW($A$1:$A$163),""),ROW(A3))),"")</f>
        <v>13125000</v>
      </c>
      <c r="I13" s="5">
        <f>AVERAGE(H11:H13)</f>
        <v>11708333.333333334</v>
      </c>
      <c r="J13" s="39">
        <f>STDEV(H11:H13)</f>
        <v>2453738.6440559118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75"/>
      <c r="B14" s="70">
        <v>2</v>
      </c>
      <c r="C14" s="8" t="s">
        <v>4</v>
      </c>
      <c r="D14" s="8" t="s">
        <v>80</v>
      </c>
      <c r="E14" s="8"/>
      <c r="F14" s="34" t="e">
        <f t="shared" ref="F14" si="9">(AVERAGEIF(D14:E14,"&gt;0",D14:E14))*10^3*100/8</f>
        <v>#DIV/0!</v>
      </c>
      <c r="G14" s="7"/>
      <c r="H14" s="5" t="s">
        <v>15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75"/>
      <c r="B15" s="71"/>
      <c r="C15" s="11" t="s">
        <v>2</v>
      </c>
      <c r="D15" s="11">
        <v>70</v>
      </c>
      <c r="E15" s="11">
        <v>84</v>
      </c>
      <c r="F15" s="32">
        <f t="shared" ref="F15" si="10">(AVERAGEIF(D15:E15,"&gt;0",D15:E15))*10^4*100/8</f>
        <v>9625000</v>
      </c>
      <c r="G15" s="7"/>
      <c r="H15" s="5">
        <f t="array" ref="H15">IFERROR(INDEX($F$2:$F$181,SMALL(IF($G$2:$G$181=4,ROW($A$1:$A$163),""),ROW(A1))),"")</f>
        <v>1168750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5" thickBot="1" x14ac:dyDescent="0.35">
      <c r="A16" s="75"/>
      <c r="B16" s="72"/>
      <c r="C16" s="12" t="s">
        <v>3</v>
      </c>
      <c r="D16" s="12">
        <v>11</v>
      </c>
      <c r="E16" s="12">
        <v>10</v>
      </c>
      <c r="F16" s="33">
        <f t="shared" ref="F16" si="11">(AVERAGEIF(D16:E16,"&gt;0",D16:E16))*10^5*100/8</f>
        <v>13125000</v>
      </c>
      <c r="G16" s="7">
        <v>3</v>
      </c>
      <c r="H16" s="5">
        <f t="array" ref="H16">IFERROR(INDEX($F$2:$F$181,SMALL(IF($G$2:$G$181=4,ROW($A$1:$A$163),""),ROW(A2))),"")</f>
        <v>1000000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75"/>
      <c r="B17" s="70">
        <v>3</v>
      </c>
      <c r="C17" s="8" t="s">
        <v>4</v>
      </c>
      <c r="D17" s="8" t="s">
        <v>80</v>
      </c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500000</v>
      </c>
      <c r="I17" s="5">
        <f>AVERAGE(H15:H17)</f>
        <v>889583.33333333337</v>
      </c>
      <c r="J17" s="39">
        <f>STDEV(H15:H17)</f>
        <v>347779.41404478392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75"/>
      <c r="B18" s="71"/>
      <c r="C18" s="11" t="s">
        <v>2</v>
      </c>
      <c r="D18" s="11">
        <v>58</v>
      </c>
      <c r="E18" s="11">
        <v>73</v>
      </c>
      <c r="F18" s="32">
        <f t="shared" ref="F18" si="13">(AVERAGEIF(D18:E18,"&gt;0",D18:E18))*10^4*100/8</f>
        <v>8187500</v>
      </c>
      <c r="G18" s="7"/>
      <c r="H18" s="5" t="s">
        <v>16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5" thickBot="1" x14ac:dyDescent="0.35">
      <c r="A19" s="76"/>
      <c r="B19" s="73"/>
      <c r="C19" s="35" t="s">
        <v>3</v>
      </c>
      <c r="D19" s="35">
        <v>11</v>
      </c>
      <c r="E19" s="35">
        <v>10</v>
      </c>
      <c r="F19" s="36">
        <f t="shared" ref="F19" si="14">(AVERAGEIF(D19:E19,"&gt;0",D19:E19))*10^5*100/8</f>
        <v>13125000</v>
      </c>
      <c r="G19" s="7">
        <v>3</v>
      </c>
      <c r="H19" s="5">
        <f t="array" ref="H19">IFERROR(INDEX($F$2:$F$181,SMALL(IF($G$2:$G$181=5,ROW($A$1:$A$163),""),ROW(A1))),"")</f>
        <v>9812500</v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5" thickTop="1" x14ac:dyDescent="0.3">
      <c r="A20" s="74" t="s">
        <v>82</v>
      </c>
      <c r="B20" s="77">
        <v>1</v>
      </c>
      <c r="C20" s="30" t="s">
        <v>4</v>
      </c>
      <c r="D20" s="58" t="s">
        <v>80</v>
      </c>
      <c r="E20" s="58"/>
      <c r="F20" s="31" t="e">
        <f t="shared" ref="F20" si="15">(AVERAGEIF(D20:E20,"&gt;0",D20:E20))*10^3*100/8</f>
        <v>#DIV/0!</v>
      </c>
      <c r="G20" s="7"/>
      <c r="H20" s="5">
        <f t="array" ref="H20">IFERROR(INDEX($F$2:$F$181,SMALL(IF($G$2:$G$181=5,ROW($A$1:$A$163),""),ROW(A2))),"")</f>
        <v>10625000</v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75"/>
      <c r="B21" s="71"/>
      <c r="C21" s="11" t="s">
        <v>2</v>
      </c>
      <c r="D21" s="11">
        <v>79</v>
      </c>
      <c r="E21" s="11">
        <v>78</v>
      </c>
      <c r="F21" s="32">
        <f t="shared" ref="F21" si="16">(AVERAGEIF(D21:E21,"&gt;0",D21:E21))*10^4*100/8</f>
        <v>9812500</v>
      </c>
      <c r="G21" s="7">
        <v>5</v>
      </c>
      <c r="H21" s="5">
        <f t="array" ref="H21">IFERROR(INDEX($F$2:$F$181,SMALL(IF($G$2:$G$181=5,ROW($A$1:$A$163),""),ROW(A3))),"")</f>
        <v>14375000</v>
      </c>
      <c r="I21" s="5">
        <f>AVERAGE(H19:H21)</f>
        <v>11604166.666666666</v>
      </c>
      <c r="J21" s="39">
        <f>STDEV(H19:H21)</f>
        <v>2433757.8111499394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5" thickBot="1" x14ac:dyDescent="0.35">
      <c r="A22" s="75"/>
      <c r="B22" s="72"/>
      <c r="C22" s="12" t="s">
        <v>3</v>
      </c>
      <c r="D22" s="12">
        <v>7</v>
      </c>
      <c r="E22" s="12">
        <v>7</v>
      </c>
      <c r="F22" s="33">
        <f t="shared" ref="F22" si="17">(AVERAGEIF(D22:E22,"&gt;0",D22:E22))*10^5*100/8</f>
        <v>8750000</v>
      </c>
      <c r="G22" s="7"/>
      <c r="H22" s="5" t="s">
        <v>17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65" t="s">
        <v>66</v>
      </c>
      <c r="N22" s="46" t="s">
        <v>36</v>
      </c>
      <c r="O22" s="46" t="s">
        <v>37</v>
      </c>
      <c r="P22" s="46" t="s">
        <v>38</v>
      </c>
      <c r="Q22" s="46" t="s">
        <v>39</v>
      </c>
      <c r="R22" s="47" t="s">
        <v>40</v>
      </c>
      <c r="S22" s="47" t="s">
        <v>41</v>
      </c>
      <c r="T22" s="45" t="s">
        <v>42</v>
      </c>
      <c r="U22" s="45" t="s">
        <v>43</v>
      </c>
    </row>
    <row r="23" spans="1:21" x14ac:dyDescent="0.3">
      <c r="A23" s="75"/>
      <c r="B23" s="70">
        <v>2</v>
      </c>
      <c r="C23" s="8" t="s">
        <v>4</v>
      </c>
      <c r="D23" s="59" t="s">
        <v>80</v>
      </c>
      <c r="E23" s="59"/>
      <c r="F23" s="34" t="e">
        <f t="shared" ref="F23" si="18">(AVERAGEIF(D23:E23,"&gt;0",D23:E23))*10^3*100/8</f>
        <v>#DIV/0!</v>
      </c>
      <c r="G23" s="7"/>
      <c r="H23" s="5">
        <f t="array" ref="H23">IFERROR(INDEX($F$2:$F$181,SMALL(IF($G$2:$G$181=6,ROW($A$1:$A$163),""),ROW(A1))),"")</f>
        <v>400000</v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65" t="s">
        <v>69</v>
      </c>
      <c r="N23" s="9">
        <f>AVERAGE(N4:N21)</f>
        <v>18229166.666666668</v>
      </c>
      <c r="O23" s="9">
        <f t="shared" ref="O23:U23" si="19">AVERAGE(O4:O21)</f>
        <v>754166.66666666663</v>
      </c>
      <c r="P23" s="9">
        <f t="shared" si="19"/>
        <v>11708333.333333334</v>
      </c>
      <c r="Q23" s="9">
        <f t="shared" si="19"/>
        <v>889583.33333333337</v>
      </c>
      <c r="R23" s="9">
        <f t="shared" si="19"/>
        <v>11604166.666666666</v>
      </c>
      <c r="S23" s="9">
        <f t="shared" si="19"/>
        <v>447916.66666666669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75"/>
      <c r="B24" s="71"/>
      <c r="C24" s="11" t="s">
        <v>2</v>
      </c>
      <c r="D24" s="11">
        <v>87</v>
      </c>
      <c r="E24" s="11">
        <v>83</v>
      </c>
      <c r="F24" s="32">
        <f t="shared" ref="F24" si="20">(AVERAGEIF(D24:E24,"&gt;0",D24:E24))*10^4*100/8</f>
        <v>10625000</v>
      </c>
      <c r="G24" s="7">
        <v>5</v>
      </c>
      <c r="H24" s="5">
        <f t="array" ref="H24">IFERROR(INDEX($F$2:$F$181,SMALL(IF($G$2:$G$181=6,ROW($A$1:$A$163),""),ROW(A2))),"")</f>
        <v>675000</v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65" t="s">
        <v>68</v>
      </c>
      <c r="N24" s="46" t="s">
        <v>44</v>
      </c>
      <c r="O24" s="46" t="s">
        <v>45</v>
      </c>
      <c r="P24" s="46" t="s">
        <v>46</v>
      </c>
      <c r="Q24" s="46" t="s">
        <v>47</v>
      </c>
      <c r="R24" s="47" t="s">
        <v>48</v>
      </c>
      <c r="S24" s="47" t="s">
        <v>49</v>
      </c>
      <c r="T24" s="45" t="s">
        <v>51</v>
      </c>
      <c r="U24" s="45" t="s">
        <v>50</v>
      </c>
    </row>
    <row r="25" spans="1:21" ht="15" thickBot="1" x14ac:dyDescent="0.35">
      <c r="A25" s="75"/>
      <c r="B25" s="72"/>
      <c r="C25" s="12" t="s">
        <v>3</v>
      </c>
      <c r="D25" s="12">
        <v>19</v>
      </c>
      <c r="E25" s="12">
        <v>10</v>
      </c>
      <c r="F25" s="33">
        <f t="shared" ref="F25" si="21">(AVERAGEIF(D25:E25,"&gt;0",D25:E25))*10^5*100/8</f>
        <v>18125000</v>
      </c>
      <c r="G25" s="7"/>
      <c r="H25" s="5">
        <f t="array" ref="H25">IFERROR(INDEX($F$2:$F$181,SMALL(IF($G$2:$G$181=6,ROW($A$1:$A$163),""),ROW(A3))),"")</f>
        <v>268750</v>
      </c>
      <c r="I25" s="5">
        <f>AVERAGE(H23:H25)</f>
        <v>447916.66666666669</v>
      </c>
      <c r="J25" s="39">
        <f>STDEV(H23:H25)</f>
        <v>207320.45444994885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65" t="s">
        <v>67</v>
      </c>
      <c r="N25" s="14">
        <f t="shared" ref="N25:P25" si="22">STDEV(N4:N21)</f>
        <v>3656294.5153985219</v>
      </c>
      <c r="O25" s="14">
        <f t="shared" si="22"/>
        <v>225722.22051303094</v>
      </c>
      <c r="P25" s="14">
        <f t="shared" si="22"/>
        <v>2453738.6440559118</v>
      </c>
      <c r="Q25" s="14">
        <f>STDEV(Q4:Q21)</f>
        <v>347779.41404478392</v>
      </c>
      <c r="R25" s="14">
        <f t="shared" ref="R25:U25" si="23">STDEV(R4:R21)</f>
        <v>2433757.8111499394</v>
      </c>
      <c r="S25" s="14">
        <f t="shared" si="23"/>
        <v>207320.45444994885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75"/>
      <c r="B26" s="70">
        <v>3</v>
      </c>
      <c r="C26" s="8" t="s">
        <v>4</v>
      </c>
      <c r="D26" s="59" t="s">
        <v>80</v>
      </c>
      <c r="E26" s="59"/>
      <c r="F26" s="34" t="e">
        <f t="shared" ref="F26" si="24">(AVERAGEIF(D26:E26,"&gt;0",D26:E26))*10^3*100/8</f>
        <v>#DIV/0!</v>
      </c>
      <c r="G26" s="7"/>
      <c r="H26" s="5" t="s">
        <v>18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64"/>
      <c r="N26" s="14"/>
      <c r="O26" s="9"/>
      <c r="P26" s="9"/>
      <c r="Q26" s="9"/>
      <c r="R26" s="10"/>
      <c r="S26" s="10"/>
    </row>
    <row r="27" spans="1:21" x14ac:dyDescent="0.3">
      <c r="A27" s="75"/>
      <c r="B27" s="71"/>
      <c r="C27" s="11" t="s">
        <v>2</v>
      </c>
      <c r="D27" s="11">
        <v>77</v>
      </c>
      <c r="E27" s="11"/>
      <c r="F27" s="32">
        <f t="shared" ref="F27" si="25">(AVERAGEIF(D27:E27,"&gt;0",D27:E27))*10^4*100/8</f>
        <v>9625000</v>
      </c>
      <c r="G27" s="7"/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5" thickBot="1" x14ac:dyDescent="0.35">
      <c r="A28" s="76"/>
      <c r="B28" s="73"/>
      <c r="C28" s="35" t="s">
        <v>3</v>
      </c>
      <c r="D28" s="35">
        <v>10</v>
      </c>
      <c r="E28" s="35">
        <v>13</v>
      </c>
      <c r="F28" s="36">
        <f t="shared" ref="F28" si="26">(AVERAGEIF(D28:E28,"&gt;0",D28:E28))*10^5*100/8</f>
        <v>14375000</v>
      </c>
      <c r="G28" s="7">
        <v>5</v>
      </c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24.171270718232048</v>
      </c>
      <c r="P28" s="9"/>
      <c r="Q28" s="9">
        <f t="shared" ref="Q28:U28" si="27">P23/Q23</f>
        <v>13.1615925058548</v>
      </c>
      <c r="R28" s="9"/>
      <c r="S28" s="9">
        <f t="shared" si="27"/>
        <v>25.906976744186043</v>
      </c>
      <c r="T28" s="9"/>
      <c r="U28" s="9" t="e">
        <f t="shared" si="27"/>
        <v>#DIV/0!</v>
      </c>
    </row>
    <row r="29" spans="1:21" ht="15" thickTop="1" x14ac:dyDescent="0.3">
      <c r="A29" s="74" t="s">
        <v>59</v>
      </c>
      <c r="B29" s="77">
        <v>1</v>
      </c>
      <c r="C29" s="30" t="s">
        <v>56</v>
      </c>
      <c r="D29" s="58" t="s">
        <v>80</v>
      </c>
      <c r="E29" s="58"/>
      <c r="F29" s="31" t="e">
        <f>(AVERAGEIF(D29:E29,"&gt;0",D29:E29))*10^2*100/8</f>
        <v>#DIV/0!</v>
      </c>
      <c r="G29" s="7"/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>
        <f>Q23/O23</f>
        <v>1.1795580110497239</v>
      </c>
      <c r="P29" s="9"/>
      <c r="Q29" s="9"/>
      <c r="R29" s="10"/>
      <c r="S29" s="10"/>
      <c r="T29" s="14"/>
      <c r="U29" s="14"/>
    </row>
    <row r="30" spans="1:21" x14ac:dyDescent="0.3">
      <c r="A30" s="75"/>
      <c r="B30" s="71"/>
      <c r="C30" s="11" t="s">
        <v>4</v>
      </c>
      <c r="D30" s="11">
        <v>59</v>
      </c>
      <c r="E30" s="11">
        <v>65</v>
      </c>
      <c r="F30" s="32">
        <f>(AVERAGEIF(D30:E30,"&gt;0",D30:E30))*10^3*100/8</f>
        <v>775000</v>
      </c>
      <c r="G30" s="7">
        <v>2</v>
      </c>
      <c r="H30" s="5" t="s">
        <v>19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5" thickBot="1" x14ac:dyDescent="0.35">
      <c r="A31" s="75"/>
      <c r="B31" s="72"/>
      <c r="C31" s="12" t="s">
        <v>2</v>
      </c>
      <c r="D31" s="12">
        <v>4</v>
      </c>
      <c r="E31" s="12">
        <v>5</v>
      </c>
      <c r="F31" s="33">
        <f>(AVERAGEIF(D31:E31,"&gt;0",D31:E31))*10^4*100/8</f>
        <v>562500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ht="15" thickTop="1" x14ac:dyDescent="0.3">
      <c r="A32" s="75"/>
      <c r="B32" s="70">
        <v>2</v>
      </c>
      <c r="C32" s="30" t="s">
        <v>56</v>
      </c>
      <c r="D32" s="59"/>
      <c r="E32" s="59"/>
      <c r="F32" s="31" t="e">
        <f t="shared" ref="F32" si="28">(AVERAGEIF(D32:E32,"&gt;0",D32:E32))*10^2*100/8</f>
        <v>#DIV/0!</v>
      </c>
      <c r="G32" s="7"/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75"/>
      <c r="B33" s="71"/>
      <c r="C33" s="11" t="s">
        <v>4</v>
      </c>
      <c r="D33" s="11">
        <v>75</v>
      </c>
      <c r="E33" s="11">
        <v>80</v>
      </c>
      <c r="F33" s="32">
        <f t="shared" ref="F33" si="29">(AVERAGEIF(D33:E33,"&gt;0",D33:E33))*10^3*100/8</f>
        <v>968750</v>
      </c>
      <c r="G33" s="7">
        <v>2</v>
      </c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5" thickBot="1" x14ac:dyDescent="0.35">
      <c r="A34" s="75"/>
      <c r="B34" s="72"/>
      <c r="C34" s="12" t="s">
        <v>2</v>
      </c>
      <c r="D34" s="12">
        <v>6</v>
      </c>
      <c r="E34" s="12">
        <v>5</v>
      </c>
      <c r="F34" s="33">
        <f t="shared" ref="F34" si="30">(AVERAGEIF(D34:E34,"&gt;0",D34:E34))*10^4*100/8</f>
        <v>687500</v>
      </c>
      <c r="G34" s="7"/>
      <c r="H34" s="5" t="s">
        <v>20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ht="15" thickTop="1" x14ac:dyDescent="0.3">
      <c r="A35" s="75"/>
      <c r="B35" s="70">
        <v>3</v>
      </c>
      <c r="C35" s="30" t="s">
        <v>56</v>
      </c>
      <c r="D35" s="59"/>
      <c r="E35" s="59"/>
      <c r="F35" s="31" t="e">
        <f t="shared" ref="F35" si="31">(AVERAGEIF(D35:E35,"&gt;0",D35:E35))*10^2*100/8</f>
        <v>#DIV/0!</v>
      </c>
      <c r="G35" s="7"/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75"/>
      <c r="B36" s="71"/>
      <c r="C36" s="11" t="s">
        <v>4</v>
      </c>
      <c r="D36" s="11">
        <v>43</v>
      </c>
      <c r="E36" s="11">
        <v>40</v>
      </c>
      <c r="F36" s="32">
        <f t="shared" ref="F36" si="32">(AVERAGEIF(D36:E36,"&gt;0",D36:E36))*10^3*100/8</f>
        <v>518750</v>
      </c>
      <c r="G36" s="7">
        <v>2</v>
      </c>
      <c r="H36" s="5" t="str">
        <f t="array" ref="H36">IFERROR(INDEX($F$2:$F$181,SMALL(IF($G$2:$G$181=9,ROW($A$1:$A$163),""),ROW(A2))),"")</f>
        <v/>
      </c>
      <c r="J36" s="40"/>
      <c r="K36" s="13"/>
      <c r="L36" s="13"/>
      <c r="M36" s="66"/>
      <c r="N36" s="14"/>
      <c r="O36" s="9"/>
      <c r="P36" s="9"/>
      <c r="Q36" s="9"/>
      <c r="R36" s="10"/>
      <c r="S36" s="10"/>
    </row>
    <row r="37" spans="1:19" ht="15" thickBot="1" x14ac:dyDescent="0.35">
      <c r="A37" s="76"/>
      <c r="B37" s="73"/>
      <c r="C37" s="12" t="s">
        <v>2</v>
      </c>
      <c r="D37" s="35">
        <v>4</v>
      </c>
      <c r="E37" s="35">
        <v>5</v>
      </c>
      <c r="F37" s="33">
        <f t="shared" ref="F37" si="33">(AVERAGEIF(D37:E37,"&gt;0",D37:E37))*10^4*100/8</f>
        <v>562500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6"/>
      <c r="N37" s="14"/>
      <c r="O37" s="9"/>
      <c r="P37" s="9"/>
      <c r="Q37" s="9"/>
      <c r="R37" s="10"/>
      <c r="S37" s="10"/>
    </row>
    <row r="38" spans="1:19" ht="15" thickTop="1" x14ac:dyDescent="0.3">
      <c r="A38" s="83" t="s">
        <v>83</v>
      </c>
      <c r="B38" s="82">
        <v>1</v>
      </c>
      <c r="C38" s="30" t="s">
        <v>56</v>
      </c>
      <c r="D38" s="30"/>
      <c r="E38" s="30"/>
      <c r="F38" s="31" t="e">
        <f t="shared" ref="F38" si="34">(AVERAGEIF(D38:E38,"&gt;0",D38:E38))*10^2*100/8</f>
        <v>#DIV/0!</v>
      </c>
      <c r="G38" s="7"/>
      <c r="H38" s="5" t="s">
        <v>21</v>
      </c>
      <c r="J38" s="40"/>
      <c r="K38" s="13"/>
      <c r="L38" s="13"/>
      <c r="M38" s="66"/>
      <c r="N38" s="14"/>
      <c r="O38" s="9"/>
      <c r="P38" s="14"/>
      <c r="Q38" s="14"/>
      <c r="R38" s="10"/>
      <c r="S38" s="10"/>
    </row>
    <row r="39" spans="1:19" x14ac:dyDescent="0.3">
      <c r="A39" s="75"/>
      <c r="B39" s="79"/>
      <c r="C39" s="11" t="s">
        <v>4</v>
      </c>
      <c r="D39" s="11">
        <v>96</v>
      </c>
      <c r="E39" s="11">
        <v>91</v>
      </c>
      <c r="F39" s="32">
        <f t="shared" ref="F39" si="35">(AVERAGEIF(D39:E39,"&gt;0",D39:E39))*10^3*100/8</f>
        <v>1168750</v>
      </c>
      <c r="G39" s="7">
        <v>4</v>
      </c>
      <c r="H39" s="5" t="str">
        <f t="array" ref="H39">IFERROR(INDEX($F$2:$F$181,SMALL(IF($G$2:$G$181=10,ROW($A$1:$A$163),""),ROW(A1))),"")</f>
        <v/>
      </c>
      <c r="J39" s="40"/>
      <c r="K39" s="13"/>
      <c r="L39" s="13"/>
      <c r="M39" s="66"/>
      <c r="N39" s="14"/>
      <c r="O39" s="9"/>
      <c r="P39" s="14"/>
      <c r="Q39" s="14"/>
      <c r="R39" s="10"/>
      <c r="S39" s="10"/>
    </row>
    <row r="40" spans="1:19" ht="15" thickBot="1" x14ac:dyDescent="0.35">
      <c r="A40" s="75"/>
      <c r="B40" s="81"/>
      <c r="C40" s="12" t="s">
        <v>2</v>
      </c>
      <c r="D40" s="12">
        <v>9</v>
      </c>
      <c r="E40" s="12">
        <v>8</v>
      </c>
      <c r="F40" s="33">
        <f t="shared" ref="F40" si="36">(AVERAGEIF(D40:E40,"&gt;0",D40:E40))*10^4*100/8</f>
        <v>1062500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6"/>
      <c r="N40" s="14"/>
      <c r="O40" s="9"/>
      <c r="P40" s="14"/>
      <c r="Q40" s="14"/>
      <c r="R40" s="10"/>
      <c r="S40" s="10"/>
    </row>
    <row r="41" spans="1:19" ht="15" thickTop="1" x14ac:dyDescent="0.3">
      <c r="A41" s="75"/>
      <c r="B41" s="78">
        <v>2</v>
      </c>
      <c r="C41" s="30" t="s">
        <v>56</v>
      </c>
      <c r="D41" s="8"/>
      <c r="E41" s="8"/>
      <c r="F41" s="31" t="e">
        <f t="shared" ref="F41" si="37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6"/>
      <c r="N41" s="14"/>
      <c r="O41" s="9"/>
      <c r="P41" s="14"/>
      <c r="Q41" s="14"/>
      <c r="R41" s="10"/>
      <c r="S41" s="10"/>
    </row>
    <row r="42" spans="1:19" x14ac:dyDescent="0.3">
      <c r="A42" s="75"/>
      <c r="B42" s="79"/>
      <c r="C42" s="11" t="s">
        <v>4</v>
      </c>
      <c r="D42" s="11">
        <v>38</v>
      </c>
      <c r="E42" s="11">
        <v>46</v>
      </c>
      <c r="F42" s="32">
        <f t="shared" ref="F42" si="38">(AVERAGEIF(D42:E42,"&gt;0",D42:E42))*10^3*100/8</f>
        <v>525000</v>
      </c>
      <c r="G42" s="7"/>
      <c r="H42" s="5" t="s">
        <v>22</v>
      </c>
      <c r="J42" s="40"/>
      <c r="K42" s="13"/>
      <c r="L42" s="13"/>
      <c r="M42" s="66"/>
      <c r="N42" s="14"/>
      <c r="O42" s="9"/>
      <c r="P42" s="14"/>
      <c r="Q42" s="14"/>
      <c r="R42" s="10"/>
      <c r="S42" s="10"/>
    </row>
    <row r="43" spans="1:19" ht="15" thickBot="1" x14ac:dyDescent="0.35">
      <c r="A43" s="75"/>
      <c r="B43" s="81"/>
      <c r="C43" s="12" t="s">
        <v>2</v>
      </c>
      <c r="D43" s="12">
        <v>8</v>
      </c>
      <c r="E43" s="12">
        <v>8</v>
      </c>
      <c r="F43" s="33">
        <f t="shared" ref="F43" si="39">(AVERAGEIF(D43:E43,"&gt;0",D43:E43))*10^4*100/8</f>
        <v>1000000</v>
      </c>
      <c r="G43" s="7">
        <v>4</v>
      </c>
      <c r="H43" s="5" t="str">
        <f t="array" ref="H43">IFERROR(INDEX($F$2:$F$181,SMALL(IF($G$2:$G$181=11,ROW($A$1:$A$163),""),ROW(A1))),"")</f>
        <v/>
      </c>
      <c r="J43" s="40"/>
      <c r="K43" s="13"/>
      <c r="L43" s="13"/>
      <c r="M43" s="66"/>
      <c r="N43" s="14"/>
      <c r="O43" s="9"/>
      <c r="P43" s="14"/>
      <c r="Q43" s="14"/>
      <c r="R43" s="10"/>
      <c r="S43" s="10"/>
    </row>
    <row r="44" spans="1:19" ht="15" thickTop="1" x14ac:dyDescent="0.3">
      <c r="A44" s="75"/>
      <c r="B44" s="78">
        <v>3</v>
      </c>
      <c r="C44" s="30" t="s">
        <v>56</v>
      </c>
      <c r="D44" s="8"/>
      <c r="E44" s="8"/>
      <c r="F44" s="31" t="e">
        <f t="shared" ref="F44" si="40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6"/>
      <c r="N44" s="14"/>
      <c r="O44" s="9"/>
      <c r="P44" s="14"/>
      <c r="Q44" s="14"/>
      <c r="R44" s="10"/>
      <c r="S44" s="10"/>
    </row>
    <row r="45" spans="1:19" x14ac:dyDescent="0.3">
      <c r="A45" s="75"/>
      <c r="B45" s="79"/>
      <c r="C45" s="11" t="s">
        <v>4</v>
      </c>
      <c r="D45" s="11">
        <v>16</v>
      </c>
      <c r="E45" s="11">
        <v>11</v>
      </c>
      <c r="F45" s="32">
        <f t="shared" ref="F45" si="41">(AVERAGEIF(D45:E45,"&gt;0",D45:E45))*10^3*100/8</f>
        <v>168750</v>
      </c>
      <c r="G45" s="7"/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6"/>
      <c r="N45" s="14"/>
      <c r="O45" s="9"/>
      <c r="P45" s="14"/>
      <c r="Q45" s="14"/>
      <c r="R45" s="10"/>
      <c r="S45" s="10"/>
    </row>
    <row r="46" spans="1:19" ht="15" thickBot="1" x14ac:dyDescent="0.35">
      <c r="A46" s="76"/>
      <c r="B46" s="80"/>
      <c r="C46" s="12" t="s">
        <v>2</v>
      </c>
      <c r="D46" s="35">
        <v>4</v>
      </c>
      <c r="E46" s="35">
        <v>4</v>
      </c>
      <c r="F46" s="33">
        <f t="shared" ref="F46" si="42">(AVERAGEIF(D46:E46,"&gt;0",D46:E46))*10^4*100/8</f>
        <v>500000</v>
      </c>
      <c r="G46" s="7">
        <v>4</v>
      </c>
      <c r="H46" s="5" t="s">
        <v>23</v>
      </c>
      <c r="J46" s="40"/>
      <c r="K46" s="13"/>
      <c r="L46" s="13"/>
      <c r="M46" s="66"/>
      <c r="N46" s="14"/>
      <c r="O46" s="9"/>
      <c r="P46" s="14"/>
      <c r="Q46" s="14"/>
      <c r="R46" s="10"/>
      <c r="S46" s="10"/>
    </row>
    <row r="47" spans="1:19" ht="15" thickTop="1" x14ac:dyDescent="0.3">
      <c r="A47" s="83" t="s">
        <v>84</v>
      </c>
      <c r="B47" s="82">
        <v>1</v>
      </c>
      <c r="C47" s="30" t="s">
        <v>56</v>
      </c>
      <c r="D47" s="30"/>
      <c r="E47" s="30"/>
      <c r="F47" s="31" t="e">
        <f t="shared" ref="F47" si="43">(AVERAGEIF(D47:E47,"&gt;0",D47:E47))*10^2*100/8</f>
        <v>#DIV/0!</v>
      </c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6"/>
      <c r="N47" s="14"/>
      <c r="O47" s="9"/>
      <c r="P47" s="14"/>
      <c r="Q47" s="14"/>
      <c r="R47" s="10"/>
      <c r="S47" s="10"/>
    </row>
    <row r="48" spans="1:19" x14ac:dyDescent="0.3">
      <c r="A48" s="75"/>
      <c r="B48" s="79"/>
      <c r="C48" s="11" t="s">
        <v>4</v>
      </c>
      <c r="D48" s="11">
        <v>35</v>
      </c>
      <c r="E48" s="11">
        <v>29</v>
      </c>
      <c r="F48" s="32">
        <f t="shared" ref="F48" si="44">(AVERAGEIF(D48:E48,"&gt;0",D48:E48))*10^3*100/8</f>
        <v>400000</v>
      </c>
      <c r="G48" s="7">
        <v>6</v>
      </c>
      <c r="H48" s="5" t="str">
        <f t="array" ref="H48">IFERROR(INDEX($F$2:$F$181,SMALL(IF($G$2:$G$181=12,ROW($A$1:$A$163),""),ROW(A2))),"")</f>
        <v/>
      </c>
      <c r="J48" s="40"/>
      <c r="K48" s="13"/>
      <c r="L48" s="13"/>
      <c r="M48" s="66"/>
      <c r="N48" s="14"/>
      <c r="O48" s="9"/>
      <c r="P48" s="14"/>
      <c r="Q48" s="14"/>
      <c r="R48" s="10"/>
      <c r="S48" s="10"/>
    </row>
    <row r="49" spans="1:21" ht="15" thickBot="1" x14ac:dyDescent="0.35">
      <c r="A49" s="75"/>
      <c r="B49" s="81"/>
      <c r="C49" s="12" t="s">
        <v>2</v>
      </c>
      <c r="D49" s="12">
        <v>6</v>
      </c>
      <c r="E49" s="12">
        <v>5</v>
      </c>
      <c r="F49" s="33">
        <f t="shared" ref="F49" si="45">(AVERAGEIF(D49:E49,"&gt;0",D49:E49))*10^4*100/8</f>
        <v>687500</v>
      </c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6"/>
      <c r="N49" s="14"/>
      <c r="O49" s="9"/>
      <c r="P49" s="14"/>
      <c r="Q49" s="14"/>
      <c r="R49" s="10"/>
      <c r="S49" s="10"/>
    </row>
    <row r="50" spans="1:21" ht="15" thickTop="1" x14ac:dyDescent="0.3">
      <c r="A50" s="75"/>
      <c r="B50" s="78">
        <v>2</v>
      </c>
      <c r="C50" s="30" t="s">
        <v>56</v>
      </c>
      <c r="D50" s="8"/>
      <c r="E50" s="8"/>
      <c r="F50" s="31" t="e">
        <f t="shared" ref="F50" si="46">(AVERAGEIF(D50:E50,"&gt;0",D50:E50))*10^2*100/8</f>
        <v>#DIV/0!</v>
      </c>
      <c r="G50" s="7"/>
      <c r="H50" s="5" t="s">
        <v>24</v>
      </c>
      <c r="J50" s="40"/>
      <c r="K50" s="13"/>
      <c r="L50" s="13"/>
      <c r="M50" s="66"/>
      <c r="N50" s="14"/>
      <c r="O50" s="9"/>
      <c r="P50" s="14"/>
      <c r="Q50" s="14"/>
      <c r="R50" s="10"/>
      <c r="S50" s="10"/>
    </row>
    <row r="51" spans="1:21" x14ac:dyDescent="0.3">
      <c r="A51" s="75"/>
      <c r="B51" s="79"/>
      <c r="C51" s="11" t="s">
        <v>4</v>
      </c>
      <c r="D51" s="11">
        <v>57</v>
      </c>
      <c r="E51" s="11">
        <v>51</v>
      </c>
      <c r="F51" s="32">
        <f t="shared" ref="F51" si="47">(AVERAGEIF(D51:E51,"&gt;0",D51:E51))*10^3*100/8</f>
        <v>675000</v>
      </c>
      <c r="G51" s="7">
        <v>6</v>
      </c>
      <c r="H51" s="5" t="str">
        <f t="array" ref="H51">IFERROR(INDEX($F$2:$F$181,SMALL(IF($G$2:$G$181=13,ROW($A$1:$A$163),""),ROW(A1))),"")</f>
        <v/>
      </c>
      <c r="J51" s="40"/>
      <c r="K51" s="13"/>
      <c r="L51" s="13"/>
      <c r="M51" s="66"/>
      <c r="N51" s="14"/>
      <c r="O51" s="9"/>
      <c r="P51" s="14"/>
      <c r="Q51" s="14"/>
      <c r="R51" s="10"/>
      <c r="S51" s="10"/>
    </row>
    <row r="52" spans="1:21" ht="15" thickBot="1" x14ac:dyDescent="0.35">
      <c r="A52" s="75"/>
      <c r="B52" s="81"/>
      <c r="C52" s="12" t="s">
        <v>2</v>
      </c>
      <c r="D52" s="12">
        <v>3</v>
      </c>
      <c r="E52" s="12">
        <v>3</v>
      </c>
      <c r="F52" s="33">
        <f t="shared" ref="F52" si="48">(AVERAGEIF(D52:E52,"&gt;0",D52:E52))*10^4*100/8</f>
        <v>375000</v>
      </c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6"/>
      <c r="N52" s="14"/>
      <c r="O52" s="9"/>
      <c r="P52" s="14"/>
      <c r="Q52" s="14"/>
      <c r="R52" s="10"/>
      <c r="S52" s="10"/>
    </row>
    <row r="53" spans="1:21" ht="15" thickTop="1" x14ac:dyDescent="0.3">
      <c r="A53" s="75"/>
      <c r="B53" s="78">
        <v>3</v>
      </c>
      <c r="C53" s="30" t="s">
        <v>56</v>
      </c>
      <c r="D53" s="8"/>
      <c r="E53" s="8"/>
      <c r="F53" s="31" t="e">
        <f t="shared" ref="F53" si="49">(AVERAGEIF(D53:E53,"&gt;0",D53:E53))*10^2*100/8</f>
        <v>#DIV/0!</v>
      </c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6"/>
      <c r="N53" s="14"/>
      <c r="O53" s="9"/>
      <c r="P53" s="14"/>
      <c r="Q53" s="14"/>
      <c r="R53" s="10"/>
      <c r="S53" s="10"/>
    </row>
    <row r="54" spans="1:21" x14ac:dyDescent="0.3">
      <c r="A54" s="75"/>
      <c r="B54" s="79"/>
      <c r="C54" s="11" t="s">
        <v>4</v>
      </c>
      <c r="D54" s="11">
        <v>21</v>
      </c>
      <c r="E54" s="11">
        <v>22</v>
      </c>
      <c r="F54" s="32">
        <f t="shared" ref="F54" si="50">(AVERAGEIF(D54:E54,"&gt;0",D54:E54))*10^3*100/8</f>
        <v>268750</v>
      </c>
      <c r="G54" s="7">
        <v>6</v>
      </c>
      <c r="H54" s="5" t="s">
        <v>25</v>
      </c>
      <c r="J54" s="40"/>
      <c r="K54" s="13"/>
      <c r="L54" s="13"/>
      <c r="M54" s="66"/>
      <c r="N54" s="14"/>
      <c r="O54" s="9"/>
      <c r="P54" s="14"/>
      <c r="Q54" s="14"/>
      <c r="R54" s="10"/>
      <c r="S54" s="10"/>
    </row>
    <row r="55" spans="1:21" ht="15" thickBot="1" x14ac:dyDescent="0.35">
      <c r="A55" s="76"/>
      <c r="B55" s="80"/>
      <c r="C55" s="12" t="s">
        <v>2</v>
      </c>
      <c r="D55" s="35">
        <v>3</v>
      </c>
      <c r="E55" s="35">
        <v>2</v>
      </c>
      <c r="F55" s="33">
        <f t="shared" ref="F55" si="51">(AVERAGEIF(D55:E55,"&gt;0",D55:E55))*10^4*100/8</f>
        <v>312500</v>
      </c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6"/>
      <c r="N55" s="14"/>
      <c r="O55" s="9"/>
      <c r="P55" s="14"/>
      <c r="Q55" s="14"/>
      <c r="R55" s="10"/>
      <c r="S55" s="10"/>
    </row>
    <row r="56" spans="1:21" ht="15" thickTop="1" x14ac:dyDescent="0.3">
      <c r="A56" s="83"/>
      <c r="B56" s="82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6"/>
      <c r="N56" s="14"/>
      <c r="O56" s="9"/>
      <c r="P56" s="14"/>
      <c r="Q56" s="14"/>
      <c r="R56" s="10"/>
      <c r="S56" s="10"/>
    </row>
    <row r="57" spans="1:21" x14ac:dyDescent="0.3">
      <c r="A57" s="75"/>
      <c r="B57" s="79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6"/>
      <c r="N57" s="14"/>
      <c r="O57" s="9"/>
      <c r="P57" s="14"/>
      <c r="Q57" s="14"/>
      <c r="R57" s="10"/>
      <c r="S57" s="10"/>
    </row>
    <row r="58" spans="1:21" ht="15" thickBot="1" x14ac:dyDescent="0.35">
      <c r="A58" s="75"/>
      <c r="B58" s="81"/>
      <c r="C58" s="12"/>
      <c r="D58" s="12"/>
      <c r="E58" s="12"/>
      <c r="F58" s="36"/>
      <c r="G58" s="7"/>
      <c r="H58" s="5" t="s">
        <v>26</v>
      </c>
      <c r="J58" s="40"/>
      <c r="K58" s="13"/>
      <c r="L58" s="13"/>
      <c r="M58" s="66"/>
      <c r="N58" s="14"/>
      <c r="O58" s="9"/>
      <c r="P58" s="14"/>
      <c r="Q58" s="14"/>
      <c r="R58" s="10"/>
      <c r="S58" s="10"/>
    </row>
    <row r="59" spans="1:21" ht="15" thickTop="1" x14ac:dyDescent="0.3">
      <c r="A59" s="75"/>
      <c r="B59" s="78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6"/>
      <c r="N59" s="14"/>
      <c r="O59" s="9"/>
      <c r="P59" s="14"/>
      <c r="Q59" s="14"/>
      <c r="R59" s="10"/>
      <c r="S59" s="10"/>
    </row>
    <row r="60" spans="1:21" ht="15" thickBot="1" x14ac:dyDescent="0.35">
      <c r="A60" s="75"/>
      <c r="B60" s="79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6"/>
      <c r="N60" s="42"/>
      <c r="O60" s="9"/>
      <c r="P60" s="42"/>
      <c r="Q60" s="42"/>
      <c r="R60" s="43"/>
      <c r="S60" s="43"/>
      <c r="T60" s="44"/>
      <c r="U60" s="44"/>
    </row>
    <row r="61" spans="1:21" ht="15" thickBot="1" x14ac:dyDescent="0.35">
      <c r="A61" s="75"/>
      <c r="B61" s="8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6"/>
      <c r="N61" s="14"/>
      <c r="O61" s="9"/>
      <c r="P61" s="14"/>
      <c r="Q61" s="14"/>
      <c r="R61" s="10"/>
      <c r="S61" s="10"/>
    </row>
    <row r="62" spans="1:21" ht="15" thickTop="1" x14ac:dyDescent="0.3">
      <c r="A62" s="75"/>
      <c r="B62" s="78"/>
      <c r="C62" s="30"/>
      <c r="D62" s="8"/>
      <c r="E62" s="8"/>
      <c r="F62" s="34"/>
      <c r="G62" s="7"/>
      <c r="H62" s="5" t="s">
        <v>27</v>
      </c>
      <c r="J62" s="40"/>
      <c r="K62" s="13"/>
      <c r="L62" s="13"/>
      <c r="M62" s="66"/>
      <c r="N62" s="14"/>
      <c r="O62" s="9"/>
      <c r="P62" s="14"/>
      <c r="Q62" s="14"/>
      <c r="R62" s="10"/>
      <c r="S62" s="10"/>
    </row>
    <row r="63" spans="1:21" x14ac:dyDescent="0.3">
      <c r="A63" s="75"/>
      <c r="B63" s="79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6"/>
      <c r="N63" s="14"/>
      <c r="O63" s="9"/>
      <c r="P63" s="14"/>
      <c r="Q63" s="14"/>
      <c r="R63" s="10"/>
      <c r="S63" s="10"/>
    </row>
    <row r="64" spans="1:21" ht="15" thickBot="1" x14ac:dyDescent="0.35">
      <c r="A64" s="76"/>
      <c r="B64" s="80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6"/>
      <c r="N64" s="14"/>
      <c r="O64" s="9"/>
      <c r="P64" s="14"/>
      <c r="Q64" s="14"/>
      <c r="R64" s="10"/>
      <c r="S64" s="10"/>
    </row>
    <row r="65" spans="1:19" ht="15" thickTop="1" x14ac:dyDescent="0.3">
      <c r="A65" s="83"/>
      <c r="B65" s="82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6"/>
      <c r="N65" s="14"/>
      <c r="O65" s="9"/>
      <c r="P65" s="14"/>
      <c r="Q65" s="14"/>
      <c r="R65" s="10"/>
      <c r="S65" s="10"/>
    </row>
    <row r="66" spans="1:19" x14ac:dyDescent="0.3">
      <c r="A66" s="75"/>
      <c r="B66" s="79"/>
      <c r="C66" s="11"/>
      <c r="D66" s="11"/>
      <c r="E66" s="11"/>
      <c r="F66" s="32"/>
      <c r="G66" s="7"/>
      <c r="H66" s="5" t="s">
        <v>28</v>
      </c>
      <c r="J66" s="40"/>
      <c r="K66" s="13"/>
      <c r="L66" s="13"/>
      <c r="M66" s="66"/>
      <c r="N66" s="14"/>
      <c r="O66" s="9"/>
      <c r="P66" s="14"/>
      <c r="Q66" s="14"/>
      <c r="R66" s="10"/>
      <c r="S66" s="10"/>
    </row>
    <row r="67" spans="1:19" ht="15" thickBot="1" x14ac:dyDescent="0.35">
      <c r="A67" s="75"/>
      <c r="B67" s="8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6"/>
      <c r="N67" s="14"/>
      <c r="O67" s="9"/>
      <c r="P67" s="14"/>
      <c r="Q67" s="14"/>
      <c r="R67" s="10"/>
      <c r="S67" s="10"/>
    </row>
    <row r="68" spans="1:19" ht="15" thickTop="1" x14ac:dyDescent="0.3">
      <c r="A68" s="75"/>
      <c r="B68" s="78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6"/>
      <c r="N68" s="14"/>
      <c r="O68" s="9"/>
      <c r="P68" s="14"/>
      <c r="Q68" s="14"/>
      <c r="R68" s="10"/>
      <c r="S68" s="10"/>
    </row>
    <row r="69" spans="1:19" x14ac:dyDescent="0.3">
      <c r="A69" s="75"/>
      <c r="B69" s="79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6"/>
      <c r="N69" s="14"/>
      <c r="O69" s="9"/>
      <c r="P69" s="14"/>
      <c r="Q69" s="14"/>
      <c r="R69" s="10"/>
      <c r="S69" s="10"/>
    </row>
    <row r="70" spans="1:19" ht="15" thickBot="1" x14ac:dyDescent="0.35">
      <c r="A70" s="75"/>
      <c r="B70" s="81"/>
      <c r="C70" s="12"/>
      <c r="D70" s="12"/>
      <c r="E70" s="12"/>
      <c r="F70" s="36"/>
      <c r="G70" s="7"/>
      <c r="H70" s="5" t="s">
        <v>29</v>
      </c>
      <c r="J70" s="40"/>
      <c r="K70" s="13"/>
      <c r="L70" s="13"/>
      <c r="M70" s="66"/>
      <c r="N70" s="14"/>
      <c r="O70" s="9"/>
      <c r="P70" s="14"/>
      <c r="Q70" s="14"/>
      <c r="R70" s="10"/>
      <c r="S70" s="10"/>
    </row>
    <row r="71" spans="1:19" ht="15" thickTop="1" x14ac:dyDescent="0.3">
      <c r="A71" s="75"/>
      <c r="B71" s="78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6"/>
      <c r="N71" s="14"/>
      <c r="O71" s="9"/>
      <c r="P71" s="14"/>
      <c r="Q71" s="14"/>
      <c r="R71" s="10"/>
      <c r="S71" s="10"/>
    </row>
    <row r="72" spans="1:19" x14ac:dyDescent="0.3">
      <c r="A72" s="75"/>
      <c r="B72" s="79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6"/>
      <c r="N72" s="14"/>
      <c r="O72" s="9"/>
      <c r="P72" s="14"/>
      <c r="Q72" s="14"/>
      <c r="R72" s="10"/>
      <c r="S72" s="10"/>
    </row>
    <row r="73" spans="1:19" ht="15" thickBot="1" x14ac:dyDescent="0.35">
      <c r="A73" s="76"/>
      <c r="B73" s="80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6"/>
      <c r="N73" s="14"/>
      <c r="O73" s="9"/>
      <c r="P73" s="14"/>
      <c r="Q73" s="14"/>
      <c r="R73" s="10"/>
      <c r="S73" s="10"/>
    </row>
    <row r="74" spans="1:19" ht="15" thickTop="1" x14ac:dyDescent="0.3">
      <c r="A74" s="50"/>
      <c r="B74" s="53"/>
      <c r="C74" s="30"/>
      <c r="D74" s="30"/>
      <c r="E74" s="30"/>
      <c r="F74" s="31"/>
      <c r="G74" s="7"/>
      <c r="H74" s="5" t="s">
        <v>30</v>
      </c>
      <c r="J74" s="40"/>
      <c r="K74" s="13"/>
      <c r="L74" s="13"/>
      <c r="M74" s="66"/>
      <c r="N74" s="14"/>
      <c r="O74" s="9"/>
      <c r="P74" s="14"/>
      <c r="Q74" s="14"/>
      <c r="R74" s="10"/>
      <c r="S74" s="10"/>
    </row>
    <row r="75" spans="1:19" x14ac:dyDescent="0.3">
      <c r="A75" s="51"/>
      <c r="B75" s="54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6"/>
      <c r="N75" s="14"/>
      <c r="O75" s="9"/>
      <c r="P75" s="14"/>
      <c r="Q75" s="14"/>
      <c r="R75" s="10"/>
      <c r="S75" s="10"/>
    </row>
    <row r="76" spans="1:19" ht="15" thickBot="1" x14ac:dyDescent="0.35">
      <c r="A76" s="51"/>
      <c r="B76" s="55"/>
      <c r="C76" s="12"/>
      <c r="D76" s="12"/>
      <c r="E76" s="12"/>
      <c r="F76" s="33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6"/>
      <c r="N76" s="14"/>
      <c r="O76" s="9"/>
      <c r="P76" s="14"/>
      <c r="Q76" s="14"/>
      <c r="R76" s="10"/>
      <c r="S76" s="10"/>
    </row>
    <row r="77" spans="1:19" x14ac:dyDescent="0.3">
      <c r="A77" s="51"/>
      <c r="B77" s="56"/>
      <c r="C77" s="8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6"/>
      <c r="N77" s="14"/>
      <c r="O77" s="9"/>
      <c r="P77" s="14"/>
      <c r="Q77" s="14"/>
      <c r="R77" s="10"/>
      <c r="S77" s="10"/>
    </row>
    <row r="78" spans="1:19" x14ac:dyDescent="0.3">
      <c r="A78" s="51"/>
      <c r="B78" s="54"/>
      <c r="C78" s="11"/>
      <c r="D78" s="11"/>
      <c r="E78" s="11"/>
      <c r="F78" s="32"/>
      <c r="G78" s="7"/>
      <c r="H78" s="5" t="s">
        <v>31</v>
      </c>
      <c r="J78" s="40"/>
      <c r="K78" s="13"/>
      <c r="L78" s="13"/>
      <c r="M78" s="66"/>
      <c r="N78" s="14"/>
      <c r="O78" s="9"/>
      <c r="P78" s="14"/>
      <c r="Q78" s="14"/>
      <c r="R78" s="10"/>
      <c r="S78" s="10"/>
    </row>
    <row r="79" spans="1:19" ht="15" thickBot="1" x14ac:dyDescent="0.35">
      <c r="A79" s="51"/>
      <c r="B79" s="55"/>
      <c r="C79" s="12"/>
      <c r="D79" s="12"/>
      <c r="E79" s="12"/>
      <c r="F79" s="33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6"/>
      <c r="N79" s="14"/>
      <c r="O79" s="9"/>
      <c r="P79" s="14"/>
      <c r="Q79" s="14"/>
      <c r="R79" s="10"/>
      <c r="S79" s="10"/>
    </row>
    <row r="80" spans="1:19" x14ac:dyDescent="0.3">
      <c r="A80" s="51"/>
      <c r="B80" s="56"/>
      <c r="C80" s="8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6"/>
      <c r="N80" s="14"/>
      <c r="O80" s="9"/>
      <c r="P80" s="14"/>
      <c r="Q80" s="14"/>
      <c r="R80" s="10"/>
      <c r="S80" s="10"/>
    </row>
    <row r="81" spans="1:22" x14ac:dyDescent="0.3">
      <c r="A81" s="51"/>
      <c r="B81" s="54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6"/>
      <c r="N81" s="14"/>
      <c r="O81" s="9"/>
      <c r="P81" s="14"/>
      <c r="Q81" s="14"/>
      <c r="R81" s="10"/>
      <c r="S81" s="10"/>
    </row>
    <row r="82" spans="1:22" ht="15" thickBot="1" x14ac:dyDescent="0.35">
      <c r="A82" s="52"/>
      <c r="B82" s="57"/>
      <c r="C82" s="35"/>
      <c r="D82" s="35"/>
      <c r="E82" s="35"/>
      <c r="F82" s="36"/>
      <c r="G82" s="7"/>
      <c r="J82" s="40"/>
      <c r="K82" s="13"/>
      <c r="L82" s="13"/>
      <c r="M82" s="66"/>
      <c r="N82" s="14"/>
      <c r="O82" s="9"/>
      <c r="P82" s="14"/>
      <c r="Q82" s="14"/>
      <c r="R82" s="10"/>
      <c r="S82" s="10"/>
    </row>
    <row r="83" spans="1:22" ht="1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6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6"/>
      <c r="N84" s="14"/>
      <c r="O84" s="9"/>
      <c r="P84" s="14"/>
      <c r="Q84" s="14"/>
      <c r="R84" s="10"/>
      <c r="S84" s="10"/>
    </row>
    <row r="85" spans="1:22" ht="1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6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6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6"/>
      <c r="N87" s="14"/>
      <c r="O87" s="9"/>
      <c r="P87" s="14"/>
      <c r="Q87" s="14"/>
      <c r="R87" s="10"/>
      <c r="S87" s="10"/>
    </row>
    <row r="88" spans="1:22" ht="1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6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6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6"/>
      <c r="N90" s="14"/>
      <c r="O90" s="9"/>
      <c r="P90" s="14"/>
      <c r="Q90" s="14"/>
      <c r="R90" s="10"/>
      <c r="S90" s="10"/>
    </row>
    <row r="91" spans="1:22" ht="1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6"/>
      <c r="N91" s="14"/>
      <c r="O91" s="9"/>
      <c r="P91" s="14"/>
      <c r="Q91" s="14"/>
      <c r="R91" s="10"/>
      <c r="S91" s="10"/>
    </row>
    <row r="92" spans="1:22" ht="1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6"/>
      <c r="N92" s="14"/>
      <c r="O92" s="9"/>
      <c r="P92" s="14"/>
      <c r="Q92" s="14"/>
      <c r="R92" s="10"/>
      <c r="S92" s="10"/>
    </row>
    <row r="93" spans="1:22" ht="1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6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6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6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6"/>
      <c r="N96" s="14"/>
      <c r="O96" s="9"/>
      <c r="P96" s="14"/>
      <c r="Q96" s="14"/>
      <c r="R96" s="10"/>
      <c r="S96" s="10"/>
    </row>
    <row r="97" spans="1:19" ht="1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6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6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6"/>
      <c r="N99" s="14"/>
      <c r="O99" s="9"/>
      <c r="P99" s="14"/>
      <c r="Q99" s="14"/>
      <c r="R99" s="10"/>
      <c r="S99" s="10"/>
    </row>
    <row r="100" spans="1:19" ht="1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6"/>
      <c r="N100" s="14"/>
      <c r="O100" s="9"/>
      <c r="P100" s="14"/>
      <c r="Q100" s="14"/>
      <c r="R100" s="10"/>
      <c r="S100" s="10"/>
    </row>
    <row r="101" spans="1:19" ht="1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6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6"/>
      <c r="N102" s="14"/>
      <c r="O102" s="9"/>
      <c r="P102" s="14"/>
      <c r="Q102" s="14"/>
      <c r="R102" s="10"/>
      <c r="S102" s="10"/>
    </row>
    <row r="103" spans="1:19" ht="1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6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6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6"/>
      <c r="N105" s="14"/>
      <c r="O105" s="9"/>
      <c r="P105" s="14"/>
      <c r="Q105" s="14"/>
      <c r="R105" s="10"/>
      <c r="S105" s="10"/>
    </row>
    <row r="106" spans="1:19" ht="1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6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6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6"/>
      <c r="N108" s="14"/>
      <c r="O108" s="9"/>
      <c r="P108" s="14"/>
      <c r="Q108" s="14"/>
      <c r="R108" s="10"/>
      <c r="S108" s="10"/>
    </row>
    <row r="109" spans="1:19" ht="1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6"/>
      <c r="N109" s="14"/>
      <c r="O109" s="9"/>
      <c r="P109" s="14"/>
      <c r="Q109" s="14"/>
      <c r="R109" s="10"/>
      <c r="S109" s="10"/>
    </row>
    <row r="110" spans="1:19" ht="1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6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6"/>
      <c r="N111" s="14"/>
      <c r="O111" s="9"/>
      <c r="P111" s="14"/>
      <c r="Q111" s="14"/>
      <c r="R111" s="10"/>
      <c r="S111" s="10"/>
    </row>
    <row r="112" spans="1:19" ht="1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6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6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6"/>
      <c r="N114" s="14"/>
      <c r="O114" s="9"/>
      <c r="P114" s="14"/>
      <c r="Q114" s="14"/>
      <c r="R114" s="10"/>
      <c r="S114" s="10"/>
    </row>
    <row r="115" spans="1:19" ht="1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6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6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6"/>
      <c r="N117" s="14"/>
      <c r="O117" s="9"/>
      <c r="P117" s="14"/>
      <c r="Q117" s="14"/>
      <c r="R117" s="10"/>
      <c r="S117" s="10"/>
    </row>
    <row r="118" spans="1:19" ht="1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6"/>
      <c r="N118" s="14"/>
      <c r="O118" s="9"/>
      <c r="P118" s="14"/>
      <c r="Q118" s="14"/>
      <c r="R118" s="10"/>
      <c r="S118" s="10"/>
    </row>
    <row r="119" spans="1:19" ht="1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6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6"/>
      <c r="N120" s="14"/>
      <c r="O120" s="9"/>
      <c r="P120" s="14"/>
      <c r="Q120" s="14"/>
      <c r="R120" s="10"/>
      <c r="S120" s="10"/>
    </row>
    <row r="121" spans="1:19" ht="1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6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6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6"/>
      <c r="N123" s="14"/>
      <c r="O123" s="9"/>
      <c r="P123" s="14"/>
      <c r="Q123" s="14"/>
      <c r="R123" s="10"/>
      <c r="S123" s="10"/>
    </row>
    <row r="124" spans="1:19" ht="1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6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6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6"/>
      <c r="N126" s="14"/>
      <c r="O126" s="9"/>
      <c r="P126" s="14"/>
      <c r="Q126" s="14"/>
      <c r="R126" s="10"/>
      <c r="S126" s="10"/>
    </row>
    <row r="127" spans="1:19" ht="1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6"/>
      <c r="N127" s="14"/>
      <c r="O127" s="9"/>
      <c r="P127" s="14"/>
      <c r="Q127" s="14"/>
      <c r="R127" s="10"/>
      <c r="S127" s="10"/>
    </row>
    <row r="128" spans="1:19" ht="1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6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6"/>
      <c r="N129" s="14"/>
      <c r="O129" s="9"/>
      <c r="P129" s="14"/>
      <c r="Q129" s="14"/>
      <c r="R129" s="10"/>
      <c r="S129" s="10"/>
    </row>
    <row r="130" spans="1:19" ht="1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6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6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6"/>
      <c r="N132" s="14"/>
      <c r="O132" s="9"/>
      <c r="P132" s="14"/>
      <c r="Q132" s="14"/>
      <c r="R132" s="10"/>
      <c r="S132" s="10"/>
    </row>
    <row r="133" spans="1:19" ht="1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6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6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6"/>
      <c r="N135" s="14"/>
      <c r="O135" s="9"/>
      <c r="P135" s="14"/>
      <c r="Q135" s="14"/>
      <c r="R135" s="10"/>
      <c r="S135" s="10"/>
    </row>
    <row r="136" spans="1:19" ht="1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6"/>
      <c r="N136" s="14"/>
      <c r="O136" s="9"/>
      <c r="P136" s="14"/>
      <c r="Q136" s="14"/>
      <c r="R136" s="10"/>
      <c r="S136" s="10"/>
    </row>
    <row r="137" spans="1:19" ht="1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6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6"/>
      <c r="N138" s="14"/>
      <c r="O138" s="9"/>
      <c r="P138" s="14"/>
      <c r="Q138" s="14"/>
      <c r="R138" s="10"/>
      <c r="S138" s="10"/>
    </row>
    <row r="139" spans="1:19" ht="1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6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6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6"/>
      <c r="N141" s="14"/>
      <c r="O141" s="9"/>
      <c r="P141" s="14"/>
      <c r="Q141" s="14"/>
      <c r="R141" s="10"/>
      <c r="S141" s="10"/>
    </row>
    <row r="142" spans="1:19" ht="1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6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6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6"/>
      <c r="N144" s="14"/>
      <c r="O144" s="9"/>
      <c r="P144" s="14"/>
      <c r="Q144" s="14"/>
      <c r="R144" s="10"/>
      <c r="S144" s="10"/>
    </row>
    <row r="145" spans="1:19" ht="1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6"/>
      <c r="N145" s="14"/>
      <c r="O145" s="9"/>
      <c r="P145" s="14"/>
      <c r="Q145" s="14"/>
      <c r="R145" s="10"/>
      <c r="S145" s="10"/>
    </row>
    <row r="146" spans="1:19" ht="1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6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6"/>
      <c r="N147" s="14"/>
      <c r="O147" s="9"/>
      <c r="P147" s="14"/>
      <c r="Q147" s="14"/>
      <c r="R147" s="10"/>
      <c r="S147" s="10"/>
    </row>
    <row r="148" spans="1:19" ht="1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6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6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6"/>
      <c r="N150" s="14"/>
      <c r="O150" s="9"/>
      <c r="P150" s="14"/>
      <c r="Q150" s="14"/>
      <c r="R150" s="10"/>
      <c r="S150" s="10"/>
    </row>
    <row r="151" spans="1:19" ht="1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6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6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6"/>
      <c r="N153" s="14"/>
      <c r="O153" s="9"/>
      <c r="P153" s="14"/>
      <c r="Q153" s="14"/>
      <c r="R153" s="10"/>
      <c r="S153" s="10"/>
    </row>
    <row r="154" spans="1:19" ht="1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6"/>
      <c r="N154" s="14"/>
      <c r="O154" s="9"/>
      <c r="P154" s="14"/>
      <c r="Q154" s="14"/>
      <c r="R154" s="10"/>
      <c r="S154" s="10"/>
    </row>
    <row r="155" spans="1:19" ht="1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6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6"/>
      <c r="N156" s="14"/>
      <c r="O156" s="9"/>
      <c r="P156" s="14"/>
      <c r="Q156" s="14"/>
      <c r="R156" s="10"/>
      <c r="S156" s="10"/>
    </row>
    <row r="157" spans="1:19" ht="1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6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6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6"/>
      <c r="N159" s="14"/>
      <c r="O159" s="9"/>
      <c r="P159" s="14"/>
      <c r="Q159" s="14"/>
      <c r="R159" s="10"/>
      <c r="S159" s="10"/>
    </row>
    <row r="160" spans="1:19" ht="1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6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6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6"/>
      <c r="N162" s="14"/>
      <c r="O162" s="9"/>
      <c r="P162" s="14"/>
      <c r="Q162" s="14"/>
      <c r="R162" s="10"/>
      <c r="S162" s="10"/>
    </row>
    <row r="163" spans="1:19" ht="1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6"/>
      <c r="N163" s="14"/>
      <c r="O163" s="9"/>
      <c r="P163" s="14"/>
      <c r="Q163" s="14"/>
      <c r="R163" s="10"/>
      <c r="S163" s="10"/>
    </row>
    <row r="164" spans="1:19" ht="1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6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6"/>
      <c r="N165" s="14"/>
      <c r="O165" s="9"/>
      <c r="P165" s="21"/>
      <c r="Q165" s="21"/>
      <c r="R165" s="10"/>
      <c r="S165" s="10"/>
    </row>
    <row r="166" spans="1:19" ht="1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6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6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6"/>
      <c r="N168" s="14"/>
      <c r="O168" s="9"/>
      <c r="P168" s="21"/>
      <c r="Q168" s="21"/>
      <c r="R168" s="10"/>
      <c r="S168" s="10"/>
    </row>
    <row r="169" spans="1:19" ht="1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6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6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6"/>
      <c r="N171" s="14"/>
      <c r="O171" s="9"/>
      <c r="P171" s="21"/>
      <c r="Q171" s="21"/>
      <c r="R171" s="10"/>
      <c r="S171" s="10"/>
    </row>
    <row r="172" spans="1:19" ht="1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6"/>
      <c r="N172" s="14"/>
      <c r="O172" s="9"/>
      <c r="P172" s="21"/>
      <c r="Q172" s="21"/>
      <c r="R172" s="10"/>
      <c r="S172" s="10"/>
    </row>
    <row r="173" spans="1:19" ht="1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7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7"/>
      <c r="O174" s="9"/>
      <c r="P174" s="21"/>
      <c r="Q174" s="21"/>
      <c r="R174" s="10"/>
      <c r="S174" s="10"/>
    </row>
    <row r="175" spans="1:19" ht="1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7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7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7"/>
      <c r="O177" s="9"/>
      <c r="P177" s="21"/>
      <c r="Q177" s="21"/>
    </row>
    <row r="178" spans="1:17" ht="1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7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7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7"/>
      <c r="O180" s="9"/>
      <c r="P180" s="21"/>
      <c r="Q180" s="21"/>
    </row>
    <row r="181" spans="1:17" ht="1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7"/>
      <c r="O181" s="9"/>
      <c r="P181" s="21"/>
      <c r="Q181" s="21"/>
    </row>
    <row r="182" spans="1:17" ht="15" thickTop="1" x14ac:dyDescent="0.3">
      <c r="G182" s="28"/>
      <c r="O182" s="9"/>
    </row>
  </sheetData>
  <mergeCells count="32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  <mergeCell ref="A38:A46"/>
    <mergeCell ref="B38:B40"/>
    <mergeCell ref="B41:B43"/>
    <mergeCell ref="B44:B46"/>
    <mergeCell ref="A47:A55"/>
    <mergeCell ref="B47:B49"/>
    <mergeCell ref="B50:B52"/>
    <mergeCell ref="B53:B55"/>
    <mergeCell ref="A56:A64"/>
    <mergeCell ref="B56:B58"/>
    <mergeCell ref="B59:B61"/>
    <mergeCell ref="B62:B64"/>
    <mergeCell ref="A65:A73"/>
    <mergeCell ref="B65:B67"/>
    <mergeCell ref="B68:B70"/>
    <mergeCell ref="B71:B7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B508-F770-4EDD-96C9-5B67D13E1D9F}">
  <dimension ref="A1:V182"/>
  <sheetViews>
    <sheetView topLeftCell="B1" zoomScale="101" zoomScaleNormal="115" workbookViewId="0">
      <selection activeCell="O34" sqref="O34"/>
    </sheetView>
  </sheetViews>
  <sheetFormatPr defaultColWidth="9.109375" defaultRowHeight="14.4" x14ac:dyDescent="0.3"/>
  <cols>
    <col min="1" max="1" width="10.6640625" style="23" customWidth="1"/>
    <col min="2" max="2" width="10.6640625" style="24" customWidth="1"/>
    <col min="3" max="3" width="12.6640625" style="25" bestFit="1" customWidth="1"/>
    <col min="4" max="4" width="20.33203125" style="25" customWidth="1"/>
    <col min="5" max="5" width="21" style="25" customWidth="1"/>
    <col min="6" max="6" width="11.44140625" style="5" customWidth="1"/>
    <col min="7" max="7" width="11.44140625" style="29" customWidth="1"/>
    <col min="8" max="8" width="14.44140625" style="5" customWidth="1"/>
    <col min="9" max="9" width="12.6640625" style="5" bestFit="1" customWidth="1"/>
    <col min="10" max="12" width="12.6640625" style="5" customWidth="1"/>
    <col min="13" max="13" width="12.6640625" style="7" customWidth="1"/>
    <col min="14" max="15" width="12.6640625" style="21" customWidth="1"/>
    <col min="16" max="19" width="12.6640625" style="5" customWidth="1"/>
    <col min="20" max="20" width="11.88671875" style="5" customWidth="1"/>
    <col min="21" max="21" width="12.44140625" style="5" customWidth="1"/>
    <col min="22" max="22" width="13.109375" style="7" customWidth="1"/>
    <col min="23" max="16384" width="9.109375" style="7"/>
  </cols>
  <sheetData>
    <row r="1" spans="1:22" ht="28.5" thickBot="1" x14ac:dyDescent="0.35">
      <c r="A1" s="1" t="s">
        <v>0</v>
      </c>
      <c r="B1" s="2" t="s">
        <v>8</v>
      </c>
      <c r="C1" s="3" t="s">
        <v>1</v>
      </c>
      <c r="D1" s="3" t="s">
        <v>6</v>
      </c>
      <c r="E1" s="3" t="s">
        <v>7</v>
      </c>
      <c r="F1" s="4" t="s">
        <v>9</v>
      </c>
      <c r="G1" s="27" t="s">
        <v>11</v>
      </c>
      <c r="H1" s="26" t="s">
        <v>32</v>
      </c>
      <c r="I1" s="26" t="s">
        <v>33</v>
      </c>
      <c r="J1" s="26" t="s">
        <v>10</v>
      </c>
      <c r="K1" s="26" t="s">
        <v>34</v>
      </c>
      <c r="L1" s="26" t="s">
        <v>35</v>
      </c>
      <c r="M1" s="6"/>
      <c r="N1" s="48" t="s">
        <v>58</v>
      </c>
      <c r="O1" s="48" t="s">
        <v>59</v>
      </c>
      <c r="P1" s="48" t="s">
        <v>60</v>
      </c>
      <c r="Q1" s="48" t="s">
        <v>61</v>
      </c>
      <c r="R1" s="48" t="s">
        <v>85</v>
      </c>
      <c r="S1" s="48" t="s">
        <v>86</v>
      </c>
      <c r="T1" s="45" t="s">
        <v>64</v>
      </c>
      <c r="U1" s="45" t="s">
        <v>65</v>
      </c>
      <c r="V1" s="6"/>
    </row>
    <row r="2" spans="1:22" ht="15.75" customHeight="1" thickTop="1" x14ac:dyDescent="0.3">
      <c r="A2" s="74" t="s">
        <v>58</v>
      </c>
      <c r="B2" s="77">
        <v>1</v>
      </c>
      <c r="C2" s="30" t="s">
        <v>4</v>
      </c>
      <c r="D2" s="58" t="s">
        <v>80</v>
      </c>
      <c r="E2" s="58"/>
      <c r="F2" s="31" t="e">
        <f>(AVERAGEIF(D2:E2,"&gt;0",D2:E2))*10^3*100/8</f>
        <v>#DIV/0!</v>
      </c>
      <c r="G2" s="7"/>
      <c r="H2" s="5" t="s">
        <v>12</v>
      </c>
      <c r="J2" s="38"/>
      <c r="K2" s="41">
        <f t="array" ref="K2">IFERROR(INDEX($I$2:$I$81,SMALL(IF(ISNUMBER($I$2:$I$81),ROW($A$1:$A$80),""),ROW(A1))),"")</f>
        <v>24500000</v>
      </c>
      <c r="L2" s="41">
        <f t="array" ref="L2">IFERROR(INDEX($J$2:$J$81,SMALL(IF(ISNUMBER($J$2:$J$81),ROW($A$1:$A$80),""),ROW(A1))),"")</f>
        <v>2625000</v>
      </c>
      <c r="M2" s="63" t="s">
        <v>52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75"/>
      <c r="B3" s="71"/>
      <c r="C3" s="11" t="s">
        <v>2</v>
      </c>
      <c r="D3" s="11">
        <v>271</v>
      </c>
      <c r="E3" s="11"/>
      <c r="F3" s="32">
        <f>(AVERAGEIF(D3:E3,"&gt;0",D3:E3))*10^4*100/8</f>
        <v>33875000</v>
      </c>
      <c r="G3" s="7"/>
      <c r="H3" s="5">
        <f t="array" ref="H3">IFERROR(INDEX($F$2:$F$181,SMALL(IF($G$2:$G$181=1,ROW($A$1:$A$163),""),ROW(A1))),"")</f>
        <v>27500000</v>
      </c>
      <c r="J3" s="39"/>
      <c r="K3" s="41">
        <f t="array" ref="K3">IFERROR(INDEX($I$2:$I$81,SMALL(IF(ISNUMBER($I$2:$I$81),ROW($A$1:$A$80),""),ROW(A2))),"")</f>
        <v>70208.333333333328</v>
      </c>
      <c r="L3" s="41">
        <f t="array" ref="L3">IFERROR(INDEX($J$2:$J$81,SMALL(IF(ISNUMBER($J$2:$J$81),ROW($A$1:$A$80),""),ROW(A2))),"")</f>
        <v>30492.912427863183</v>
      </c>
      <c r="M3" s="63" t="s">
        <v>53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5" thickBot="1" x14ac:dyDescent="0.35">
      <c r="A4" s="75"/>
      <c r="B4" s="72"/>
      <c r="C4" s="12" t="s">
        <v>3</v>
      </c>
      <c r="D4" s="12">
        <v>22</v>
      </c>
      <c r="E4" s="12">
        <v>22</v>
      </c>
      <c r="F4" s="33">
        <f>(AVERAGEIF(D4:E4,"&gt;0",D4:E4))*10^5*100/8</f>
        <v>27500000</v>
      </c>
      <c r="G4" s="7">
        <v>1</v>
      </c>
      <c r="H4" s="5">
        <f t="array" ref="H4">IFERROR(INDEX($F$2:$F$181,SMALL(IF($G$2:$G$181=1,ROW($A$1:$A$163),""),ROW(A2))),"")</f>
        <v>22625000</v>
      </c>
      <c r="J4" s="39"/>
      <c r="K4" s="41">
        <f t="array" ref="K4">IFERROR(INDEX($I$2:$I$81,SMALL(IF(ISNUMBER($I$2:$I$81),ROW($A$1:$A$80),""),ROW(A3))),"")</f>
        <v>8312500</v>
      </c>
      <c r="L4" s="41">
        <f t="array" ref="L4">IFERROR(INDEX($J$2:$J$81,SMALL(IF(ISNUMBER($J$2:$J$81),ROW($A$1:$A$80),""),ROW(A3))),"")</f>
        <v>962175.26989629073</v>
      </c>
      <c r="M4" s="64"/>
      <c r="N4" s="9">
        <f t="array" ref="N4">IFERROR(INDEX($F$2:$F$181,SMALL(_xlfn.IFS($G$2:$G$181&lt;$N$2,"",$G$2:$G$181&gt;$N$3,"",ISNUMBER($G$2:$G$181),ROW($A$1:$A$180)),ROW(A1))),"")</f>
        <v>27500000</v>
      </c>
      <c r="O4" s="9">
        <f t="array" ref="O4">IFERROR(INDEX($F$2:$F$181,SMALL(_xlfn.IFS($G$2:$G$181&lt;$O$2,"",$G$2:$G$181&gt;$O$3,"",ISNUMBER($G$2:$G$181),ROW($A$1:$A$180)),ROW(A1))),"")</f>
        <v>105000</v>
      </c>
      <c r="P4" s="9">
        <f t="array" ref="P4">IFERROR(INDEX($F$2:$F$181,SMALL(_xlfn.IFS($G$2:$G$181&lt;$P$2,"",$G$2:$G$181&gt;$P$3,"",ISNUMBER($G$2:$G$181),ROW($A$1:$A$180)),ROW(A1))),"")</f>
        <v>8062500</v>
      </c>
      <c r="Q4" s="9">
        <f t="array" ref="Q4">IFERROR(INDEX($F$2:$F$181,SMALL(_xlfn.IFS($G$2:$G$181&lt;$Q$2,"",$G$2:$G$181&gt;$Q$3,"",ISNUMBER($G$2:$G$181),ROW($A$1:$A$180)),ROW(A1))),"")</f>
        <v>656250</v>
      </c>
      <c r="R4" s="9">
        <f t="array" ref="R4">IFERROR(INDEX($F$2:$F$181,SMALL(_xlfn.IFS($G$2:$G$181&lt;$R$2,"",$G$2:$G$181&gt;$R$3,"",ISNUMBER($G$2:$G$181),ROW($A$1:$A$180)),ROW(A1))),"")</f>
        <v>12187500</v>
      </c>
      <c r="S4" s="10">
        <f t="array" ref="S4">IFERROR(INDEX($F$2:$F$181,SMALL(_xlfn.IFS($G$2:$G$181&lt;$S$2,"",$G$2:$G$181&gt;$S$3,"",ISNUMBER($G$2:$G$181),ROW($A$1:$A$180)),ROW(A1))),"")</f>
        <v>300000</v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x14ac:dyDescent="0.3">
      <c r="A5" s="75"/>
      <c r="B5" s="70">
        <v>2</v>
      </c>
      <c r="C5" s="8" t="s">
        <v>4</v>
      </c>
      <c r="D5" s="59" t="s">
        <v>80</v>
      </c>
      <c r="E5" s="59"/>
      <c r="F5" s="34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23375000</v>
      </c>
      <c r="I5" s="5">
        <f>AVERAGE(H3:H5)</f>
        <v>24500000</v>
      </c>
      <c r="J5" s="39">
        <f>STDEV(H3:H5)</f>
        <v>2625000</v>
      </c>
      <c r="K5" s="41">
        <f t="array" ref="K5">IFERROR(INDEX($I$2:$I$81,SMALL(IF(ISNUMBER($I$2:$I$81),ROW($A$1:$A$80),""),ROW(A4))),"")</f>
        <v>616666.66666666663</v>
      </c>
      <c r="L5" s="41">
        <f t="array" ref="L5">IFERROR(INDEX($J$2:$J$81,SMALL(IF(ISNUMBER($J$2:$J$81),ROW($A$1:$A$80),""),ROW(A4))),"")</f>
        <v>181393.62125866878</v>
      </c>
      <c r="M5" s="64"/>
      <c r="N5" s="9">
        <f t="array" ref="N5">IFERROR(INDEX($F$2:$F$181,SMALL(_xlfn.IFS($G$2:$G$181&lt;$N$2,"",$G$2:$G$181&gt;$N$3,"",ISNUMBER($G$2:$G$181),ROW($A$1:$A$180)),ROW(A2))),"")</f>
        <v>22625000</v>
      </c>
      <c r="O5" s="9">
        <f t="array" ref="O5">IFERROR(INDEX($F$2:$F$181,SMALL(_xlfn.IFS($G$2:$G$181&lt;$O$2,"",$G$2:$G$181&gt;$O$3,"",ISNUMBER($G$2:$G$181),ROW($A$1:$A$180)),ROW(A2))),"")</f>
        <v>48125</v>
      </c>
      <c r="P5" s="9">
        <f t="array" ref="P5">IFERROR(INDEX($F$2:$F$181,SMALL(_xlfn.IFS($G$2:$G$181&lt;$P$2,"",$G$2:$G$181&gt;$P$3,"",ISNUMBER($G$2:$G$181),ROW($A$1:$A$180)),ROW(A2))),"")</f>
        <v>7500000</v>
      </c>
      <c r="Q5" s="9">
        <f t="array" ref="Q5">IFERROR(INDEX($F$2:$F$181,SMALL(_xlfn.IFS($G$2:$G$181&lt;$Q$2,"",$G$2:$G$181&gt;$Q$3,"",ISNUMBER($G$2:$G$181),ROW($A$1:$A$180)),ROW(A2))),"")</f>
        <v>775000</v>
      </c>
      <c r="R5" s="9">
        <f t="array" ref="R5">IFERROR(INDEX($F$2:$F$181,SMALL(_xlfn.IFS($G$2:$G$181&lt;$R$2,"",$G$2:$G$181&gt;$R$3,"",ISNUMBER($G$2:$G$181),ROW($A$1:$A$180)),ROW(A2))),"")</f>
        <v>12937500</v>
      </c>
      <c r="S5" s="10">
        <f t="array" ref="S5">IFERROR(INDEX($F$2:$F$181,SMALL(_xlfn.IFS($G$2:$G$181&lt;$S$2,"",$G$2:$G$181&gt;$S$3,"",ISNUMBER($G$2:$G$181),ROW($A$1:$A$180)),ROW(A2))),"")</f>
        <v>631250</v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75"/>
      <c r="B6" s="71"/>
      <c r="C6" s="11" t="s">
        <v>2</v>
      </c>
      <c r="D6" s="11">
        <v>181</v>
      </c>
      <c r="E6" s="11"/>
      <c r="F6" s="32">
        <f t="shared" ref="F6" si="1">(AVERAGEIF(D6:E6,"&gt;0",D6:E6))*10^4*100/8</f>
        <v>22625000</v>
      </c>
      <c r="G6" s="7">
        <v>1</v>
      </c>
      <c r="H6" s="5" t="s">
        <v>13</v>
      </c>
      <c r="J6" s="39"/>
      <c r="K6" s="41">
        <f t="array" ref="K6">IFERROR(INDEX($I$2:$I$81,SMALL(IF(ISNUMBER($I$2:$I$81),ROW($A$1:$A$80),""),ROW(A5))),"")</f>
        <v>12916666.666666666</v>
      </c>
      <c r="L6" s="41">
        <f t="array" ref="L6">IFERROR(INDEX($J$2:$J$81,SMALL(IF(ISNUMBER($J$2:$J$81),ROW($A$1:$A$80),""),ROW(A5))),"")</f>
        <v>718976.41361405829</v>
      </c>
      <c r="M6" s="64"/>
      <c r="N6" s="9">
        <f t="array" ref="N6">IFERROR(INDEX($F$2:$F$181,SMALL(_xlfn.IFS($G$2:$G$181&lt;$N$2,"",$G$2:$G$181&gt;$N$3,"",ISNUMBER($G$2:$G$181),ROW($A$1:$A$180)),ROW(A3))),"")</f>
        <v>23375000</v>
      </c>
      <c r="O6" s="9">
        <f t="array" ref="O6">IFERROR(INDEX($F$2:$F$181,SMALL(_xlfn.IFS($G$2:$G$181&lt;$O$2,"",$G$2:$G$181&gt;$O$3,"",ISNUMBER($G$2:$G$181),ROW($A$1:$A$180)),ROW(A3))),"")</f>
        <v>57500</v>
      </c>
      <c r="P6" s="9">
        <f t="array" ref="P6">IFERROR(INDEX($F$2:$F$181,SMALL(_xlfn.IFS($G$2:$G$181&lt;$P$2,"",$G$2:$G$181&gt;$P$3,"",ISNUMBER($G$2:$G$181),ROW($A$1:$A$180)),ROW(A3))),"")</f>
        <v>9375000</v>
      </c>
      <c r="Q6" s="9">
        <f t="array" ref="Q6">IFERROR(INDEX($F$2:$F$181,SMALL(_xlfn.IFS($G$2:$G$181&lt;$Q$2,"",$G$2:$G$181&gt;$Q$3,"",ISNUMBER($G$2:$G$181),ROW($A$1:$A$180)),ROW(A3))),"")</f>
        <v>418750</v>
      </c>
      <c r="R6" s="9">
        <f t="array" ref="R6">IFERROR(INDEX($F$2:$F$181,SMALL(_xlfn.IFS($G$2:$G$181&lt;$R$2,"",$G$2:$G$181&gt;$R$3,"",ISNUMBER($G$2:$G$181),ROW($A$1:$A$180)),ROW(A3))),"")</f>
        <v>13625000</v>
      </c>
      <c r="S6" s="10">
        <f t="array" ref="S6">IFERROR(INDEX($F$2:$F$181,SMALL(_xlfn.IFS($G$2:$G$181&lt;$S$2,"",$G$2:$G$181&gt;$S$3,"",ISNUMBER($G$2:$G$181),ROW($A$1:$A$180)),ROW(A3))),"")</f>
        <v>1287500</v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5" thickBot="1" x14ac:dyDescent="0.35">
      <c r="A7" s="75"/>
      <c r="B7" s="72"/>
      <c r="C7" s="12" t="s">
        <v>3</v>
      </c>
      <c r="D7" s="12">
        <v>22</v>
      </c>
      <c r="E7" s="12">
        <v>20</v>
      </c>
      <c r="F7" s="33">
        <f t="shared" ref="F7" si="2">(AVERAGEIF(D7:E7,"&gt;0",D7:E7))*10^5*100/8</f>
        <v>26250000</v>
      </c>
      <c r="G7" s="7"/>
      <c r="H7" s="5">
        <f t="array" ref="H7">IFERROR(INDEX($F$2:$F$181,SMALL(IF($G$2:$G$181=2,ROW($A$1:$A$163),""),ROW(A1))),"")</f>
        <v>105000</v>
      </c>
      <c r="J7" s="39"/>
      <c r="K7" s="41">
        <f t="array" ref="K7">IFERROR(INDEX($I$2:$I$81,SMALL(IF(ISNUMBER($I$2:$I$81),ROW($A$1:$A$80),""),ROW(A6))),"")</f>
        <v>739583.33333333337</v>
      </c>
      <c r="L7" s="41">
        <f t="array" ref="L7">IFERROR(INDEX($J$2:$J$81,SMALL(IF(ISNUMBER($J$2:$J$81),ROW($A$1:$A$80),""),ROW(A6))),"")</f>
        <v>502584.46636693156</v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x14ac:dyDescent="0.3">
      <c r="A8" s="75"/>
      <c r="B8" s="70">
        <v>3</v>
      </c>
      <c r="C8" s="8" t="s">
        <v>4</v>
      </c>
      <c r="D8" s="59" t="s">
        <v>80</v>
      </c>
      <c r="E8" s="59"/>
      <c r="F8" s="34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48125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75"/>
      <c r="B9" s="71"/>
      <c r="C9" s="11" t="s">
        <v>2</v>
      </c>
      <c r="D9" s="11">
        <v>187</v>
      </c>
      <c r="E9" s="11"/>
      <c r="F9" s="32">
        <f t="shared" ref="F9" si="4">(AVERAGEIF(D9:E9,"&gt;0",D9:E9))*10^4*100/8</f>
        <v>23375000</v>
      </c>
      <c r="G9" s="7">
        <v>1</v>
      </c>
      <c r="H9" s="5">
        <f t="array" ref="H9">IFERROR(INDEX($F$2:$F$181,SMALL(IF($G$2:$G$181=2,ROW($A$1:$A$163),""),ROW(A3))),"")</f>
        <v>57500</v>
      </c>
      <c r="I9" s="5">
        <f>AVERAGE(H7:H9)</f>
        <v>70208.333333333328</v>
      </c>
      <c r="J9" s="39">
        <f>STDEV(H7:H9)</f>
        <v>30492.912427863183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5" thickBot="1" x14ac:dyDescent="0.35">
      <c r="A10" s="76"/>
      <c r="B10" s="73"/>
      <c r="C10" s="35" t="s">
        <v>3</v>
      </c>
      <c r="D10" s="35">
        <v>26</v>
      </c>
      <c r="E10" s="35">
        <v>21</v>
      </c>
      <c r="F10" s="36">
        <f t="shared" ref="F10" si="5">(AVERAGEIF(D10:E10,"&gt;0",D10:E10))*10^5*100/8</f>
        <v>29375000</v>
      </c>
      <c r="G10" s="7"/>
      <c r="H10" s="5" t="s">
        <v>14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" customHeight="1" thickTop="1" x14ac:dyDescent="0.3">
      <c r="A11" s="74" t="s">
        <v>81</v>
      </c>
      <c r="B11" s="77">
        <v>1</v>
      </c>
      <c r="C11" s="30" t="s">
        <v>4</v>
      </c>
      <c r="D11" s="30" t="s">
        <v>80</v>
      </c>
      <c r="E11" s="30"/>
      <c r="F11" s="31" t="e">
        <f t="shared" ref="F11" si="6">(AVERAGEIF(D11:E11,"&gt;0",D11:E11))*10^3*100/8</f>
        <v>#DIV/0!</v>
      </c>
      <c r="G11" s="7"/>
      <c r="H11" s="5">
        <f t="array" ref="H11">IFERROR(INDEX($F$2:$F$181,SMALL(IF($G$2:$G$181=3,ROW($A$1:$A$163),""),ROW(A1))),"")</f>
        <v>8062500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75"/>
      <c r="B12" s="71"/>
      <c r="C12" s="11" t="s">
        <v>2</v>
      </c>
      <c r="D12" s="11">
        <v>70</v>
      </c>
      <c r="E12" s="11">
        <v>59</v>
      </c>
      <c r="F12" s="32">
        <f t="shared" ref="F12" si="7">(AVERAGEIF(D12:E12,"&gt;0",D12:E12))*10^4*100/8</f>
        <v>8062500</v>
      </c>
      <c r="G12" s="7">
        <v>3</v>
      </c>
      <c r="H12" s="5">
        <f t="array" ref="H12">IFERROR(INDEX($F$2:$F$181,SMALL(IF($G$2:$G$181=3,ROW($A$1:$A$163),""),ROW(A2))),"")</f>
        <v>7500000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5" thickBot="1" x14ac:dyDescent="0.35">
      <c r="A13" s="75"/>
      <c r="B13" s="72"/>
      <c r="C13" s="12" t="s">
        <v>3</v>
      </c>
      <c r="D13" s="12">
        <v>6</v>
      </c>
      <c r="E13" s="12">
        <v>7</v>
      </c>
      <c r="F13" s="33">
        <f t="shared" ref="F13" si="8">(AVERAGEIF(D13:E13,"&gt;0",D13:E13))*10^5*100/8</f>
        <v>8125000</v>
      </c>
      <c r="G13" s="7"/>
      <c r="H13" s="5">
        <f t="array" ref="H13">IFERROR(INDEX($F$2:$F$181,SMALL(IF($G$2:$G$181=3,ROW($A$1:$A$163),""),ROW(A3))),"")</f>
        <v>9375000</v>
      </c>
      <c r="I13" s="5">
        <f>AVERAGE(H11:H13)</f>
        <v>8312500</v>
      </c>
      <c r="J13" s="39">
        <f>STDEV(H11:H13)</f>
        <v>962175.26989629073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75"/>
      <c r="B14" s="70">
        <v>2</v>
      </c>
      <c r="C14" s="8" t="s">
        <v>4</v>
      </c>
      <c r="D14" s="8" t="s">
        <v>80</v>
      </c>
      <c r="E14" s="8"/>
      <c r="F14" s="34" t="e">
        <f t="shared" ref="F14" si="9">(AVERAGEIF(D14:E14,"&gt;0",D14:E14))*10^3*100/8</f>
        <v>#DIV/0!</v>
      </c>
      <c r="G14" s="7"/>
      <c r="H14" s="5" t="s">
        <v>15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75"/>
      <c r="B15" s="71"/>
      <c r="C15" s="11" t="s">
        <v>2</v>
      </c>
      <c r="D15" s="11">
        <v>49</v>
      </c>
      <c r="E15" s="11">
        <v>58</v>
      </c>
      <c r="F15" s="32">
        <f t="shared" ref="F15" si="10">(AVERAGEIF(D15:E15,"&gt;0",D15:E15))*10^4*100/8</f>
        <v>6687500</v>
      </c>
      <c r="G15" s="7"/>
      <c r="H15" s="5">
        <f t="array" ref="H15">IFERROR(INDEX($F$2:$F$181,SMALL(IF($G$2:$G$181=4,ROW($A$1:$A$163),""),ROW(A1))),"")</f>
        <v>656250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5" thickBot="1" x14ac:dyDescent="0.35">
      <c r="A16" s="75"/>
      <c r="B16" s="72"/>
      <c r="C16" s="12" t="s">
        <v>3</v>
      </c>
      <c r="D16" s="12">
        <v>6</v>
      </c>
      <c r="E16" s="12">
        <v>6</v>
      </c>
      <c r="F16" s="33">
        <f t="shared" ref="F16" si="11">(AVERAGEIF(D16:E16,"&gt;0",D16:E16))*10^5*100/8</f>
        <v>7500000</v>
      </c>
      <c r="G16" s="7">
        <v>3</v>
      </c>
      <c r="H16" s="5">
        <f t="array" ref="H16">IFERROR(INDEX($F$2:$F$181,SMALL(IF($G$2:$G$181=4,ROW($A$1:$A$163),""),ROW(A2))),"")</f>
        <v>775000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75"/>
      <c r="B17" s="70">
        <v>3</v>
      </c>
      <c r="C17" s="8" t="s">
        <v>4</v>
      </c>
      <c r="D17" s="8" t="s">
        <v>80</v>
      </c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418750</v>
      </c>
      <c r="I17" s="5">
        <f>AVERAGE(H15:H17)</f>
        <v>616666.66666666663</v>
      </c>
      <c r="J17" s="39">
        <f>STDEV(H15:H17)</f>
        <v>181393.62125866878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75"/>
      <c r="B18" s="71"/>
      <c r="C18" s="11" t="s">
        <v>2</v>
      </c>
      <c r="D18" s="11">
        <v>68</v>
      </c>
      <c r="E18" s="11">
        <v>73</v>
      </c>
      <c r="F18" s="32">
        <f t="shared" ref="F18" si="13">(AVERAGEIF(D18:E18,"&gt;0",D18:E18))*10^4*100/8</f>
        <v>8812500</v>
      </c>
      <c r="G18" s="7"/>
      <c r="H18" s="5" t="s">
        <v>16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5" thickBot="1" x14ac:dyDescent="0.35">
      <c r="A19" s="76"/>
      <c r="B19" s="73"/>
      <c r="C19" s="35" t="s">
        <v>3</v>
      </c>
      <c r="D19" s="35">
        <v>8</v>
      </c>
      <c r="E19" s="35">
        <v>7</v>
      </c>
      <c r="F19" s="36">
        <f t="shared" ref="F19" si="14">(AVERAGEIF(D19:E19,"&gt;0",D19:E19))*10^5*100/8</f>
        <v>9375000</v>
      </c>
      <c r="G19" s="7">
        <v>3</v>
      </c>
      <c r="H19" s="5">
        <f t="array" ref="H19">IFERROR(INDEX($F$2:$F$181,SMALL(IF($G$2:$G$181=5,ROW($A$1:$A$163),""),ROW(A1))),"")</f>
        <v>12187500</v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5" thickTop="1" x14ac:dyDescent="0.3">
      <c r="A20" s="74" t="s">
        <v>82</v>
      </c>
      <c r="B20" s="77">
        <v>1</v>
      </c>
      <c r="C20" s="30" t="s">
        <v>4</v>
      </c>
      <c r="D20" s="58" t="s">
        <v>80</v>
      </c>
      <c r="E20" s="58"/>
      <c r="F20" s="31" t="e">
        <f t="shared" ref="F20" si="15">(AVERAGEIF(D20:E20,"&gt;0",D20:E20))*10^3*100/8</f>
        <v>#DIV/0!</v>
      </c>
      <c r="G20" s="7"/>
      <c r="H20" s="5">
        <f t="array" ref="H20">IFERROR(INDEX($F$2:$F$181,SMALL(IF($G$2:$G$181=5,ROW($A$1:$A$163),""),ROW(A2))),"")</f>
        <v>12937500</v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75"/>
      <c r="B21" s="71"/>
      <c r="C21" s="11" t="s">
        <v>2</v>
      </c>
      <c r="D21" s="11">
        <v>96</v>
      </c>
      <c r="E21" s="11">
        <v>99</v>
      </c>
      <c r="F21" s="32">
        <f t="shared" ref="F21" si="16">(AVERAGEIF(D21:E21,"&gt;0",D21:E21))*10^4*100/8</f>
        <v>12187500</v>
      </c>
      <c r="G21" s="7">
        <v>5</v>
      </c>
      <c r="H21" s="5">
        <f t="array" ref="H21">IFERROR(INDEX($F$2:$F$181,SMALL(IF($G$2:$G$181=5,ROW($A$1:$A$163),""),ROW(A3))),"")</f>
        <v>13625000</v>
      </c>
      <c r="I21" s="5">
        <f>AVERAGE(H19:H21)</f>
        <v>12916666.666666666</v>
      </c>
      <c r="J21" s="39">
        <f>STDEV(H19:H21)</f>
        <v>718976.41361405829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5" thickBot="1" x14ac:dyDescent="0.35">
      <c r="A22" s="75"/>
      <c r="B22" s="72"/>
      <c r="C22" s="12" t="s">
        <v>3</v>
      </c>
      <c r="D22" s="12">
        <v>8</v>
      </c>
      <c r="E22" s="12">
        <v>8</v>
      </c>
      <c r="F22" s="33">
        <f t="shared" ref="F22" si="17">(AVERAGEIF(D22:E22,"&gt;0",D22:E22))*10^5*100/8</f>
        <v>10000000</v>
      </c>
      <c r="G22" s="7"/>
      <c r="H22" s="5" t="s">
        <v>17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65" t="s">
        <v>66</v>
      </c>
      <c r="N22" s="46" t="s">
        <v>36</v>
      </c>
      <c r="O22" s="46" t="s">
        <v>37</v>
      </c>
      <c r="P22" s="46" t="s">
        <v>38</v>
      </c>
      <c r="Q22" s="46" t="s">
        <v>39</v>
      </c>
      <c r="R22" s="47" t="s">
        <v>40</v>
      </c>
      <c r="S22" s="47" t="s">
        <v>41</v>
      </c>
      <c r="T22" s="45" t="s">
        <v>42</v>
      </c>
      <c r="U22" s="45" t="s">
        <v>43</v>
      </c>
    </row>
    <row r="23" spans="1:21" x14ac:dyDescent="0.3">
      <c r="A23" s="75"/>
      <c r="B23" s="70">
        <v>2</v>
      </c>
      <c r="C23" s="8" t="s">
        <v>4</v>
      </c>
      <c r="D23" s="59" t="s">
        <v>80</v>
      </c>
      <c r="E23" s="59"/>
      <c r="F23" s="34" t="e">
        <f t="shared" ref="F23" si="18">(AVERAGEIF(D23:E23,"&gt;0",D23:E23))*10^3*100/8</f>
        <v>#DIV/0!</v>
      </c>
      <c r="G23" s="7"/>
      <c r="H23" s="5">
        <f t="array" ref="H23">IFERROR(INDEX($F$2:$F$181,SMALL(IF($G$2:$G$181=6,ROW($A$1:$A$163),""),ROW(A1))),"")</f>
        <v>300000</v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65" t="s">
        <v>69</v>
      </c>
      <c r="N23" s="9">
        <f>AVERAGE(N4:N21)</f>
        <v>24500000</v>
      </c>
      <c r="O23" s="9">
        <f t="shared" ref="O23:U23" si="19">AVERAGE(O4:O21)</f>
        <v>70208.333333333328</v>
      </c>
      <c r="P23" s="9">
        <f t="shared" si="19"/>
        <v>8312500</v>
      </c>
      <c r="Q23" s="9">
        <f t="shared" si="19"/>
        <v>616666.66666666663</v>
      </c>
      <c r="R23" s="9">
        <f t="shared" si="19"/>
        <v>12916666.666666666</v>
      </c>
      <c r="S23" s="9">
        <f t="shared" si="19"/>
        <v>739583.33333333337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75"/>
      <c r="B24" s="71"/>
      <c r="C24" s="11" t="s">
        <v>2</v>
      </c>
      <c r="D24" s="11">
        <v>96</v>
      </c>
      <c r="E24" s="11">
        <v>111</v>
      </c>
      <c r="F24" s="32">
        <f t="shared" ref="F24" si="20">(AVERAGEIF(D24:E24,"&gt;0",D24:E24))*10^4*100/8</f>
        <v>12937500</v>
      </c>
      <c r="G24" s="7">
        <v>5</v>
      </c>
      <c r="H24" s="5">
        <f t="array" ref="H24">IFERROR(INDEX($F$2:$F$181,SMALL(IF($G$2:$G$181=6,ROW($A$1:$A$163),""),ROW(A2))),"")</f>
        <v>631250</v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65" t="s">
        <v>68</v>
      </c>
      <c r="N24" s="46" t="s">
        <v>44</v>
      </c>
      <c r="O24" s="46" t="s">
        <v>45</v>
      </c>
      <c r="P24" s="46" t="s">
        <v>46</v>
      </c>
      <c r="Q24" s="46" t="s">
        <v>47</v>
      </c>
      <c r="R24" s="47" t="s">
        <v>48</v>
      </c>
      <c r="S24" s="47" t="s">
        <v>49</v>
      </c>
      <c r="T24" s="45" t="s">
        <v>51</v>
      </c>
      <c r="U24" s="45" t="s">
        <v>50</v>
      </c>
    </row>
    <row r="25" spans="1:21" ht="15" thickBot="1" x14ac:dyDescent="0.35">
      <c r="A25" s="75"/>
      <c r="B25" s="72"/>
      <c r="C25" s="12" t="s">
        <v>3</v>
      </c>
      <c r="D25" s="12">
        <v>11</v>
      </c>
      <c r="E25" s="12">
        <v>11</v>
      </c>
      <c r="F25" s="33">
        <f t="shared" ref="F25" si="21">(AVERAGEIF(D25:E25,"&gt;0",D25:E25))*10^5*100/8</f>
        <v>13750000</v>
      </c>
      <c r="G25" s="7"/>
      <c r="H25" s="5">
        <f t="array" ref="H25">IFERROR(INDEX($F$2:$F$181,SMALL(IF($G$2:$G$181=6,ROW($A$1:$A$163),""),ROW(A3))),"")</f>
        <v>1287500</v>
      </c>
      <c r="I25" s="5">
        <f>AVERAGE(H23:H25)</f>
        <v>739583.33333333337</v>
      </c>
      <c r="J25" s="39">
        <f>STDEV(H23:H25)</f>
        <v>502584.46636693156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65" t="s">
        <v>67</v>
      </c>
      <c r="N25" s="14">
        <f t="shared" ref="N25:P25" si="22">STDEV(N4:N21)</f>
        <v>2625000</v>
      </c>
      <c r="O25" s="14">
        <f t="shared" si="22"/>
        <v>30492.912427863183</v>
      </c>
      <c r="P25" s="14">
        <f t="shared" si="22"/>
        <v>962175.26989629073</v>
      </c>
      <c r="Q25" s="14">
        <f>STDEV(Q4:Q21)</f>
        <v>181393.62125866878</v>
      </c>
      <c r="R25" s="14">
        <f t="shared" ref="R25:U25" si="23">STDEV(R4:R21)</f>
        <v>718976.41361405829</v>
      </c>
      <c r="S25" s="14">
        <f t="shared" si="23"/>
        <v>502584.46636693156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75"/>
      <c r="B26" s="70">
        <v>3</v>
      </c>
      <c r="C26" s="8" t="s">
        <v>4</v>
      </c>
      <c r="D26" s="59" t="s">
        <v>80</v>
      </c>
      <c r="E26" s="59"/>
      <c r="F26" s="34" t="e">
        <f t="shared" ref="F26" si="24">(AVERAGEIF(D26:E26,"&gt;0",D26:E26))*10^3*100/8</f>
        <v>#DIV/0!</v>
      </c>
      <c r="G26" s="7"/>
      <c r="H26" s="5" t="s">
        <v>18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64"/>
      <c r="N26" s="14"/>
      <c r="O26" s="9"/>
      <c r="P26" s="9"/>
      <c r="Q26" s="9"/>
      <c r="R26" s="10"/>
      <c r="S26" s="10"/>
    </row>
    <row r="27" spans="1:21" x14ac:dyDescent="0.3">
      <c r="A27" s="75"/>
      <c r="B27" s="71"/>
      <c r="C27" s="11" t="s">
        <v>2</v>
      </c>
      <c r="D27" s="11">
        <v>111</v>
      </c>
      <c r="E27" s="11">
        <v>107</v>
      </c>
      <c r="F27" s="32">
        <f t="shared" ref="F27" si="25">(AVERAGEIF(D27:E27,"&gt;0",D27:E27))*10^4*100/8</f>
        <v>13625000</v>
      </c>
      <c r="G27" s="7">
        <v>5</v>
      </c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5" thickBot="1" x14ac:dyDescent="0.35">
      <c r="A28" s="76"/>
      <c r="B28" s="73"/>
      <c r="C28" s="35" t="s">
        <v>3</v>
      </c>
      <c r="D28" s="35">
        <v>7</v>
      </c>
      <c r="E28" s="35">
        <v>7</v>
      </c>
      <c r="F28" s="36">
        <f t="shared" ref="F28" si="26">(AVERAGEIF(D28:E28,"&gt;0",D28:E28))*10^5*100/8</f>
        <v>8750000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348.96142433234422</v>
      </c>
      <c r="P28" s="9"/>
      <c r="Q28" s="9">
        <f t="shared" ref="Q28:S28" si="27">P23/Q23</f>
        <v>13.47972972972973</v>
      </c>
      <c r="R28" s="9"/>
      <c r="S28" s="9">
        <f t="shared" si="27"/>
        <v>17.464788732394364</v>
      </c>
      <c r="T28" s="9"/>
      <c r="U28" s="9"/>
    </row>
    <row r="29" spans="1:21" ht="15" thickTop="1" x14ac:dyDescent="0.3">
      <c r="A29" s="74" t="s">
        <v>59</v>
      </c>
      <c r="B29" s="77">
        <v>1</v>
      </c>
      <c r="C29" s="30" t="s">
        <v>56</v>
      </c>
      <c r="D29" s="58">
        <v>80</v>
      </c>
      <c r="E29" s="58">
        <v>88</v>
      </c>
      <c r="F29" s="31">
        <f>(AVERAGEIF(D29:E29,"&gt;0",D29:E29))*10^2*100/8</f>
        <v>105000</v>
      </c>
      <c r="G29" s="7">
        <v>2</v>
      </c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>
        <f>Q23/O23</f>
        <v>8.7833827893175069</v>
      </c>
      <c r="R29" s="9"/>
      <c r="S29" s="9">
        <f>S23/O23</f>
        <v>10.53412462908012</v>
      </c>
      <c r="T29" s="9"/>
      <c r="U29" s="9"/>
    </row>
    <row r="30" spans="1:21" x14ac:dyDescent="0.3">
      <c r="A30" s="75"/>
      <c r="B30" s="71"/>
      <c r="C30" s="11" t="s">
        <v>4</v>
      </c>
      <c r="D30" s="11">
        <v>8</v>
      </c>
      <c r="E30" s="11">
        <v>8</v>
      </c>
      <c r="F30" s="32">
        <f>(AVERAGEIF(D30:E30,"&gt;0",D30:E30))*10^3*100/8</f>
        <v>100000</v>
      </c>
      <c r="G30" s="7"/>
      <c r="H30" s="5" t="s">
        <v>19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5" thickBot="1" x14ac:dyDescent="0.35">
      <c r="A31" s="75"/>
      <c r="B31" s="72"/>
      <c r="C31" s="12" t="s">
        <v>2</v>
      </c>
      <c r="D31" s="12"/>
      <c r="E31" s="12"/>
      <c r="F31" s="33" t="e">
        <f>(AVERAGEIF(D31:E31,"&gt;0",D31:E31))*10^4*100/8</f>
        <v>#DIV/0!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ht="15" thickTop="1" x14ac:dyDescent="0.3">
      <c r="A32" s="75"/>
      <c r="B32" s="70">
        <v>2</v>
      </c>
      <c r="C32" s="30" t="s">
        <v>56</v>
      </c>
      <c r="D32" s="59">
        <v>40</v>
      </c>
      <c r="E32" s="59">
        <v>37</v>
      </c>
      <c r="F32" s="31">
        <f t="shared" ref="F32" si="28">(AVERAGEIF(D32:E32,"&gt;0",D32:E32))*10^2*100/8</f>
        <v>48125</v>
      </c>
      <c r="G32" s="7">
        <v>2</v>
      </c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75"/>
      <c r="B33" s="71"/>
      <c r="C33" s="11" t="s">
        <v>4</v>
      </c>
      <c r="D33" s="11">
        <v>5</v>
      </c>
      <c r="E33" s="11">
        <v>5</v>
      </c>
      <c r="F33" s="32">
        <f t="shared" ref="F33" si="29">(AVERAGEIF(D33:E33,"&gt;0",D33:E33))*10^3*100/8</f>
        <v>62500</v>
      </c>
      <c r="G33" s="7"/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5" thickBot="1" x14ac:dyDescent="0.35">
      <c r="A34" s="75"/>
      <c r="B34" s="72"/>
      <c r="C34" s="12" t="s">
        <v>2</v>
      </c>
      <c r="D34" s="12"/>
      <c r="E34" s="12"/>
      <c r="F34" s="33" t="e">
        <f t="shared" ref="F34" si="30">(AVERAGEIF(D34:E34,"&gt;0",D34:E34))*10^4*100/8</f>
        <v>#DIV/0!</v>
      </c>
      <c r="G34" s="7"/>
      <c r="H34" s="5" t="s">
        <v>20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ht="15" thickTop="1" x14ac:dyDescent="0.3">
      <c r="A35" s="75"/>
      <c r="B35" s="70">
        <v>3</v>
      </c>
      <c r="C35" s="30" t="s">
        <v>56</v>
      </c>
      <c r="D35" s="59">
        <v>38</v>
      </c>
      <c r="E35" s="59">
        <v>54</v>
      </c>
      <c r="F35" s="31">
        <f t="shared" ref="F35" si="31">(AVERAGEIF(D35:E35,"&gt;0",D35:E35))*10^2*100/8</f>
        <v>57500</v>
      </c>
      <c r="G35" s="7">
        <v>2</v>
      </c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75"/>
      <c r="B36" s="71"/>
      <c r="C36" s="11" t="s">
        <v>4</v>
      </c>
      <c r="D36" s="11">
        <v>2</v>
      </c>
      <c r="E36" s="11">
        <v>3</v>
      </c>
      <c r="F36" s="32">
        <f t="shared" ref="F36" si="32">(AVERAGEIF(D36:E36,"&gt;0",D36:E36))*10^3*100/8</f>
        <v>31250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6"/>
      <c r="N36" s="14"/>
      <c r="O36" s="9"/>
      <c r="P36" s="9"/>
      <c r="Q36" s="9"/>
      <c r="R36" s="10"/>
      <c r="S36" s="10"/>
    </row>
    <row r="37" spans="1:19" ht="15" thickBot="1" x14ac:dyDescent="0.35">
      <c r="A37" s="76"/>
      <c r="B37" s="73"/>
      <c r="C37" s="12" t="s">
        <v>2</v>
      </c>
      <c r="D37" s="35"/>
      <c r="E37" s="35"/>
      <c r="F37" s="33" t="e">
        <f t="shared" ref="F37" si="33">(AVERAGEIF(D37:E37,"&gt;0",D37:E37))*10^4*100/8</f>
        <v>#DIV/0!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6"/>
      <c r="N37" s="14"/>
      <c r="O37" s="9"/>
      <c r="P37" s="9"/>
      <c r="Q37" s="9"/>
      <c r="R37" s="10"/>
      <c r="S37" s="10"/>
    </row>
    <row r="38" spans="1:19" ht="15" thickTop="1" x14ac:dyDescent="0.3">
      <c r="A38" s="83" t="s">
        <v>83</v>
      </c>
      <c r="B38" s="82">
        <v>1</v>
      </c>
      <c r="C38" s="30" t="s">
        <v>56</v>
      </c>
      <c r="D38" s="30" t="s">
        <v>80</v>
      </c>
      <c r="E38" s="30"/>
      <c r="F38" s="31" t="e">
        <f t="shared" ref="F38" si="34">(AVERAGEIF(D38:E38,"&gt;0",D38:E38))*10^2*100/8</f>
        <v>#DIV/0!</v>
      </c>
      <c r="G38" s="7"/>
      <c r="H38" s="5" t="s">
        <v>21</v>
      </c>
      <c r="J38" s="40"/>
      <c r="K38" s="13"/>
      <c r="L38" s="13"/>
      <c r="M38" s="66"/>
      <c r="N38" s="14"/>
      <c r="O38" s="9"/>
      <c r="P38" s="14"/>
      <c r="Q38" s="14"/>
      <c r="R38" s="10"/>
      <c r="S38" s="10"/>
    </row>
    <row r="39" spans="1:19" x14ac:dyDescent="0.3">
      <c r="A39" s="75"/>
      <c r="B39" s="79"/>
      <c r="C39" s="11" t="s">
        <v>4</v>
      </c>
      <c r="D39" s="11">
        <v>68</v>
      </c>
      <c r="E39" s="11">
        <v>37</v>
      </c>
      <c r="F39" s="32">
        <f t="shared" ref="F39" si="35">(AVERAGEIF(D39:E39,"&gt;0",D39:E39))*10^3*100/8</f>
        <v>656250</v>
      </c>
      <c r="G39" s="7">
        <v>4</v>
      </c>
      <c r="H39" s="5" t="str">
        <f t="array" ref="H39">IFERROR(INDEX($F$2:$F$181,SMALL(IF($G$2:$G$181=10,ROW($A$1:$A$163),""),ROW(A1))),"")</f>
        <v/>
      </c>
      <c r="J39" s="40"/>
      <c r="K39" s="13"/>
      <c r="L39" s="13"/>
      <c r="M39" s="66"/>
      <c r="N39" s="14"/>
      <c r="O39" s="9"/>
      <c r="P39" s="14"/>
      <c r="Q39" s="14"/>
      <c r="R39" s="10"/>
      <c r="S39" s="10"/>
    </row>
    <row r="40" spans="1:19" ht="15" thickBot="1" x14ac:dyDescent="0.35">
      <c r="A40" s="75"/>
      <c r="B40" s="81"/>
      <c r="C40" s="12" t="s">
        <v>2</v>
      </c>
      <c r="D40" s="12">
        <v>2</v>
      </c>
      <c r="E40" s="12"/>
      <c r="F40" s="33">
        <f t="shared" ref="F40" si="36">(AVERAGEIF(D40:E40,"&gt;0",D40:E40))*10^4*100/8</f>
        <v>250000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6"/>
      <c r="N40" s="14"/>
      <c r="O40" s="9"/>
      <c r="P40" s="14"/>
      <c r="Q40" s="14"/>
      <c r="R40" s="10"/>
      <c r="S40" s="10"/>
    </row>
    <row r="41" spans="1:19" ht="15" thickTop="1" x14ac:dyDescent="0.3">
      <c r="A41" s="75"/>
      <c r="B41" s="78">
        <v>2</v>
      </c>
      <c r="C41" s="30" t="s">
        <v>56</v>
      </c>
      <c r="D41" s="8"/>
      <c r="E41" s="8"/>
      <c r="F41" s="31" t="e">
        <f t="shared" ref="F41" si="37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6"/>
      <c r="N41" s="14"/>
      <c r="O41" s="9"/>
      <c r="P41" s="14"/>
      <c r="Q41" s="14"/>
      <c r="R41" s="10"/>
      <c r="S41" s="10"/>
    </row>
    <row r="42" spans="1:19" x14ac:dyDescent="0.3">
      <c r="A42" s="75"/>
      <c r="B42" s="79"/>
      <c r="C42" s="11" t="s">
        <v>4</v>
      </c>
      <c r="D42" s="11">
        <v>65</v>
      </c>
      <c r="E42" s="11">
        <v>59</v>
      </c>
      <c r="F42" s="32">
        <f t="shared" ref="F42" si="38">(AVERAGEIF(D42:E42,"&gt;0",D42:E42))*10^3*100/8</f>
        <v>775000</v>
      </c>
      <c r="G42" s="7">
        <v>4</v>
      </c>
      <c r="H42" s="5" t="s">
        <v>22</v>
      </c>
      <c r="J42" s="40"/>
      <c r="K42" s="13"/>
      <c r="L42" s="13"/>
      <c r="M42" s="66"/>
      <c r="N42" s="14"/>
      <c r="O42" s="9"/>
      <c r="P42" s="14"/>
      <c r="Q42" s="14"/>
      <c r="R42" s="10"/>
      <c r="S42" s="10"/>
    </row>
    <row r="43" spans="1:19" ht="15" thickBot="1" x14ac:dyDescent="0.35">
      <c r="A43" s="75"/>
      <c r="B43" s="81"/>
      <c r="C43" s="12" t="s">
        <v>2</v>
      </c>
      <c r="D43" s="12">
        <v>7</v>
      </c>
      <c r="E43" s="12">
        <v>5</v>
      </c>
      <c r="F43" s="33">
        <f t="shared" ref="F43" si="39">(AVERAGEIF(D43:E43,"&gt;0",D43:E43))*10^4*100/8</f>
        <v>750000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6"/>
      <c r="N43" s="14"/>
      <c r="O43" s="9"/>
      <c r="P43" s="14"/>
      <c r="Q43" s="14"/>
      <c r="R43" s="10"/>
      <c r="S43" s="10"/>
    </row>
    <row r="44" spans="1:19" ht="15" thickTop="1" x14ac:dyDescent="0.3">
      <c r="A44" s="75"/>
      <c r="B44" s="78">
        <v>3</v>
      </c>
      <c r="C44" s="30" t="s">
        <v>56</v>
      </c>
      <c r="D44" s="8"/>
      <c r="E44" s="8"/>
      <c r="F44" s="31" t="e">
        <f t="shared" ref="F44" si="40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6"/>
      <c r="N44" s="14"/>
      <c r="O44" s="9"/>
      <c r="P44" s="14"/>
      <c r="Q44" s="14"/>
      <c r="R44" s="10"/>
      <c r="S44" s="10"/>
    </row>
    <row r="45" spans="1:19" x14ac:dyDescent="0.3">
      <c r="A45" s="75"/>
      <c r="B45" s="79"/>
      <c r="C45" s="11" t="s">
        <v>4</v>
      </c>
      <c r="D45" s="11">
        <v>33</v>
      </c>
      <c r="E45" s="11">
        <v>34</v>
      </c>
      <c r="F45" s="32">
        <f t="shared" ref="F45" si="41">(AVERAGEIF(D45:E45,"&gt;0",D45:E45))*10^3*100/8</f>
        <v>418750</v>
      </c>
      <c r="G45" s="7">
        <v>4</v>
      </c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6"/>
      <c r="N45" s="14"/>
      <c r="O45" s="9"/>
      <c r="P45" s="14"/>
      <c r="Q45" s="14"/>
      <c r="R45" s="10"/>
      <c r="S45" s="10"/>
    </row>
    <row r="46" spans="1:19" ht="15" thickBot="1" x14ac:dyDescent="0.35">
      <c r="A46" s="76"/>
      <c r="B46" s="80"/>
      <c r="C46" s="12" t="s">
        <v>2</v>
      </c>
      <c r="D46" s="35">
        <v>3</v>
      </c>
      <c r="E46" s="35">
        <v>1</v>
      </c>
      <c r="F46" s="33">
        <f t="shared" ref="F46" si="42">(AVERAGEIF(D46:E46,"&gt;0",D46:E46))*10^4*100/8</f>
        <v>250000</v>
      </c>
      <c r="G46" s="7"/>
      <c r="H46" s="5" t="s">
        <v>23</v>
      </c>
      <c r="J46" s="40"/>
      <c r="K46" s="13"/>
      <c r="L46" s="13"/>
      <c r="M46" s="66"/>
      <c r="N46" s="14"/>
      <c r="O46" s="9"/>
      <c r="P46" s="14"/>
      <c r="Q46" s="14"/>
      <c r="R46" s="10"/>
      <c r="S46" s="10"/>
    </row>
    <row r="47" spans="1:19" ht="15" thickTop="1" x14ac:dyDescent="0.3">
      <c r="A47" s="83" t="s">
        <v>84</v>
      </c>
      <c r="B47" s="82">
        <v>1</v>
      </c>
      <c r="C47" s="30" t="s">
        <v>56</v>
      </c>
      <c r="D47" s="30"/>
      <c r="E47" s="30"/>
      <c r="F47" s="31" t="e">
        <f t="shared" ref="F47" si="43">(AVERAGEIF(D47:E47,"&gt;0",D47:E47))*10^2*100/8</f>
        <v>#DIV/0!</v>
      </c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6"/>
      <c r="N47" s="14"/>
      <c r="O47" s="9"/>
      <c r="P47" s="14"/>
      <c r="Q47" s="14"/>
      <c r="R47" s="10"/>
      <c r="S47" s="10"/>
    </row>
    <row r="48" spans="1:19" x14ac:dyDescent="0.3">
      <c r="A48" s="75"/>
      <c r="B48" s="79"/>
      <c r="C48" s="11" t="s">
        <v>4</v>
      </c>
      <c r="D48" s="11">
        <v>27</v>
      </c>
      <c r="E48" s="11">
        <v>21</v>
      </c>
      <c r="F48" s="32">
        <f t="shared" ref="F48" si="44">(AVERAGEIF(D48:E48,"&gt;0",D48:E48))*10^3*100/8</f>
        <v>300000</v>
      </c>
      <c r="G48" s="7">
        <v>6</v>
      </c>
      <c r="H48" s="5" t="str">
        <f t="array" ref="H48">IFERROR(INDEX($F$2:$F$181,SMALL(IF($G$2:$G$181=12,ROW($A$1:$A$163),""),ROW(A2))),"")</f>
        <v/>
      </c>
      <c r="J48" s="40"/>
      <c r="K48" s="13"/>
      <c r="L48" s="13"/>
      <c r="M48" s="66"/>
      <c r="N48" s="14"/>
      <c r="O48" s="9"/>
      <c r="P48" s="14"/>
      <c r="Q48" s="14"/>
      <c r="R48" s="10"/>
      <c r="S48" s="10"/>
    </row>
    <row r="49" spans="1:21" ht="15" thickBot="1" x14ac:dyDescent="0.35">
      <c r="A49" s="75"/>
      <c r="B49" s="81"/>
      <c r="C49" s="12" t="s">
        <v>2</v>
      </c>
      <c r="D49" s="12"/>
      <c r="E49" s="12"/>
      <c r="F49" s="33" t="e">
        <f t="shared" ref="F49" si="45">(AVERAGEIF(D49:E49,"&gt;0",D49:E49))*10^4*100/8</f>
        <v>#DIV/0!</v>
      </c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6"/>
      <c r="N49" s="14"/>
      <c r="O49" s="9"/>
      <c r="P49" s="14"/>
      <c r="Q49" s="14"/>
      <c r="R49" s="10"/>
      <c r="S49" s="10"/>
    </row>
    <row r="50" spans="1:21" ht="15" thickTop="1" x14ac:dyDescent="0.3">
      <c r="A50" s="75"/>
      <c r="B50" s="78">
        <v>2</v>
      </c>
      <c r="C50" s="30" t="s">
        <v>56</v>
      </c>
      <c r="D50" s="8"/>
      <c r="E50" s="8"/>
      <c r="F50" s="31" t="e">
        <f t="shared" ref="F50" si="46">(AVERAGEIF(D50:E50,"&gt;0",D50:E50))*10^2*100/8</f>
        <v>#DIV/0!</v>
      </c>
      <c r="G50" s="7"/>
      <c r="H50" s="5" t="s">
        <v>24</v>
      </c>
      <c r="J50" s="40"/>
      <c r="K50" s="13"/>
      <c r="L50" s="13"/>
      <c r="M50" s="66"/>
      <c r="N50" s="14"/>
      <c r="O50" s="9"/>
      <c r="P50" s="14"/>
      <c r="Q50" s="14"/>
      <c r="R50" s="10"/>
      <c r="S50" s="10"/>
    </row>
    <row r="51" spans="1:21" x14ac:dyDescent="0.3">
      <c r="A51" s="75"/>
      <c r="B51" s="79"/>
      <c r="C51" s="11" t="s">
        <v>4</v>
      </c>
      <c r="D51" s="11">
        <v>45</v>
      </c>
      <c r="E51" s="11">
        <v>56</v>
      </c>
      <c r="F51" s="32">
        <f t="shared" ref="F51" si="47">(AVERAGEIF(D51:E51,"&gt;0",D51:E51))*10^3*100/8</f>
        <v>631250</v>
      </c>
      <c r="G51" s="7">
        <v>6</v>
      </c>
      <c r="H51" s="5" t="str">
        <f t="array" ref="H51">IFERROR(INDEX($F$2:$F$181,SMALL(IF($G$2:$G$181=13,ROW($A$1:$A$163),""),ROW(A1))),"")</f>
        <v/>
      </c>
      <c r="J51" s="40"/>
      <c r="K51" s="13"/>
      <c r="L51" s="13"/>
      <c r="M51" s="66"/>
      <c r="N51" s="14"/>
      <c r="O51" s="9"/>
      <c r="P51" s="14"/>
      <c r="Q51" s="14"/>
      <c r="R51" s="10"/>
      <c r="S51" s="10"/>
    </row>
    <row r="52" spans="1:21" ht="15" thickBot="1" x14ac:dyDescent="0.35">
      <c r="A52" s="75"/>
      <c r="B52" s="81"/>
      <c r="C52" s="12" t="s">
        <v>2</v>
      </c>
      <c r="D52" s="12"/>
      <c r="E52" s="12"/>
      <c r="F52" s="33" t="e">
        <f t="shared" ref="F52" si="48">(AVERAGEIF(D52:E52,"&gt;0",D52:E52))*10^4*100/8</f>
        <v>#DIV/0!</v>
      </c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6"/>
      <c r="N52" s="14"/>
      <c r="O52" s="9"/>
      <c r="P52" s="14"/>
      <c r="Q52" s="14"/>
      <c r="R52" s="10"/>
      <c r="S52" s="10"/>
    </row>
    <row r="53" spans="1:21" ht="15" thickTop="1" x14ac:dyDescent="0.3">
      <c r="A53" s="75"/>
      <c r="B53" s="78">
        <v>3</v>
      </c>
      <c r="C53" s="30" t="s">
        <v>56</v>
      </c>
      <c r="D53" s="8"/>
      <c r="E53" s="8"/>
      <c r="F53" s="31" t="e">
        <f t="shared" ref="F53" si="49">(AVERAGEIF(D53:E53,"&gt;0",D53:E53))*10^2*100/8</f>
        <v>#DIV/0!</v>
      </c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6"/>
      <c r="N53" s="14"/>
      <c r="O53" s="9"/>
      <c r="P53" s="14"/>
      <c r="Q53" s="14"/>
      <c r="R53" s="10"/>
      <c r="S53" s="10"/>
    </row>
    <row r="54" spans="1:21" x14ac:dyDescent="0.3">
      <c r="A54" s="75"/>
      <c r="B54" s="79"/>
      <c r="C54" s="11" t="s">
        <v>4</v>
      </c>
      <c r="D54" s="11">
        <v>105</v>
      </c>
      <c r="E54" s="11">
        <v>101</v>
      </c>
      <c r="F54" s="32">
        <f t="shared" ref="F54" si="50">(AVERAGEIF(D54:E54,"&gt;0",D54:E54))*10^3*100/8</f>
        <v>1287500</v>
      </c>
      <c r="G54" s="7">
        <v>6</v>
      </c>
      <c r="H54" s="5" t="s">
        <v>25</v>
      </c>
      <c r="J54" s="40"/>
      <c r="K54" s="13"/>
      <c r="L54" s="13"/>
      <c r="M54" s="66"/>
      <c r="N54" s="14"/>
      <c r="O54" s="9"/>
      <c r="P54" s="14"/>
      <c r="Q54" s="14"/>
      <c r="R54" s="10"/>
      <c r="S54" s="10"/>
    </row>
    <row r="55" spans="1:21" ht="15" thickBot="1" x14ac:dyDescent="0.35">
      <c r="A55" s="76"/>
      <c r="B55" s="80"/>
      <c r="C55" s="12" t="s">
        <v>2</v>
      </c>
      <c r="D55" s="35">
        <v>7</v>
      </c>
      <c r="E55" s="35">
        <v>11</v>
      </c>
      <c r="F55" s="33">
        <f t="shared" ref="F55" si="51">(AVERAGEIF(D55:E55,"&gt;0",D55:E55))*10^4*100/8</f>
        <v>1125000</v>
      </c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6"/>
      <c r="N55" s="14"/>
      <c r="O55" s="9"/>
      <c r="P55" s="14"/>
      <c r="Q55" s="14"/>
      <c r="R55" s="10"/>
      <c r="S55" s="10"/>
    </row>
    <row r="56" spans="1:21" ht="15" thickTop="1" x14ac:dyDescent="0.3">
      <c r="A56" s="83"/>
      <c r="B56" s="82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6"/>
      <c r="N56" s="14"/>
      <c r="O56" s="9"/>
      <c r="P56" s="14"/>
      <c r="Q56" s="14"/>
      <c r="R56" s="10"/>
      <c r="S56" s="10"/>
    </row>
    <row r="57" spans="1:21" x14ac:dyDescent="0.3">
      <c r="A57" s="75"/>
      <c r="B57" s="79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6"/>
      <c r="N57" s="14"/>
      <c r="O57" s="9"/>
      <c r="P57" s="14"/>
      <c r="Q57" s="14"/>
      <c r="R57" s="10"/>
      <c r="S57" s="10"/>
    </row>
    <row r="58" spans="1:21" ht="15" thickBot="1" x14ac:dyDescent="0.35">
      <c r="A58" s="75"/>
      <c r="B58" s="81"/>
      <c r="C58" s="12"/>
      <c r="D58" s="12"/>
      <c r="E58" s="12"/>
      <c r="F58" s="36"/>
      <c r="G58" s="7"/>
      <c r="H58" s="5" t="s">
        <v>26</v>
      </c>
      <c r="J58" s="40"/>
      <c r="K58" s="13"/>
      <c r="L58" s="13"/>
      <c r="M58" s="66"/>
      <c r="N58" s="14"/>
      <c r="O58" s="9"/>
      <c r="P58" s="14"/>
      <c r="Q58" s="14"/>
      <c r="R58" s="10"/>
      <c r="S58" s="10"/>
    </row>
    <row r="59" spans="1:21" ht="15" thickTop="1" x14ac:dyDescent="0.3">
      <c r="A59" s="75"/>
      <c r="B59" s="78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6"/>
      <c r="N59" s="14"/>
      <c r="O59" s="9"/>
      <c r="P59" s="14"/>
      <c r="Q59" s="14"/>
      <c r="R59" s="10"/>
      <c r="S59" s="10"/>
    </row>
    <row r="60" spans="1:21" ht="15" thickBot="1" x14ac:dyDescent="0.35">
      <c r="A60" s="75"/>
      <c r="B60" s="79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6"/>
      <c r="N60" s="42"/>
      <c r="O60" s="9"/>
      <c r="P60" s="42"/>
      <c r="Q60" s="42"/>
      <c r="R60" s="43"/>
      <c r="S60" s="43"/>
      <c r="T60" s="44"/>
      <c r="U60" s="44"/>
    </row>
    <row r="61" spans="1:21" ht="15" thickBot="1" x14ac:dyDescent="0.35">
      <c r="A61" s="75"/>
      <c r="B61" s="8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6"/>
      <c r="N61" s="14"/>
      <c r="O61" s="9"/>
      <c r="P61" s="14"/>
      <c r="Q61" s="14"/>
      <c r="R61" s="10"/>
      <c r="S61" s="10"/>
    </row>
    <row r="62" spans="1:21" ht="15" thickTop="1" x14ac:dyDescent="0.3">
      <c r="A62" s="75"/>
      <c r="B62" s="78"/>
      <c r="C62" s="30"/>
      <c r="D62" s="8"/>
      <c r="E62" s="8"/>
      <c r="F62" s="34"/>
      <c r="G62" s="7"/>
      <c r="H62" s="5" t="s">
        <v>27</v>
      </c>
      <c r="J62" s="40"/>
      <c r="K62" s="13"/>
      <c r="L62" s="13"/>
      <c r="M62" s="66"/>
      <c r="N62" s="14"/>
      <c r="O62" s="9"/>
      <c r="P62" s="14"/>
      <c r="Q62" s="14"/>
      <c r="R62" s="10"/>
      <c r="S62" s="10"/>
    </row>
    <row r="63" spans="1:21" x14ac:dyDescent="0.3">
      <c r="A63" s="75"/>
      <c r="B63" s="79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6"/>
      <c r="N63" s="14"/>
      <c r="O63" s="9"/>
      <c r="P63" s="14"/>
      <c r="Q63" s="14"/>
      <c r="R63" s="10"/>
      <c r="S63" s="10"/>
    </row>
    <row r="64" spans="1:21" ht="15" thickBot="1" x14ac:dyDescent="0.35">
      <c r="A64" s="76"/>
      <c r="B64" s="80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6"/>
      <c r="N64" s="14"/>
      <c r="O64" s="9"/>
      <c r="P64" s="14"/>
      <c r="Q64" s="14"/>
      <c r="R64" s="10"/>
      <c r="S64" s="10"/>
    </row>
    <row r="65" spans="1:19" ht="15" thickTop="1" x14ac:dyDescent="0.3">
      <c r="A65" s="83"/>
      <c r="B65" s="82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6"/>
      <c r="N65" s="14"/>
      <c r="O65" s="9"/>
      <c r="P65" s="14"/>
      <c r="Q65" s="14"/>
      <c r="R65" s="10"/>
      <c r="S65" s="10"/>
    </row>
    <row r="66" spans="1:19" x14ac:dyDescent="0.3">
      <c r="A66" s="75"/>
      <c r="B66" s="79"/>
      <c r="C66" s="11"/>
      <c r="D66" s="11"/>
      <c r="E66" s="11"/>
      <c r="F66" s="32"/>
      <c r="G66" s="7"/>
      <c r="H66" s="5" t="s">
        <v>28</v>
      </c>
      <c r="J66" s="40"/>
      <c r="K66" s="13"/>
      <c r="L66" s="13"/>
      <c r="M66" s="66"/>
      <c r="N66" s="14"/>
      <c r="O66" s="9"/>
      <c r="P66" s="14"/>
      <c r="Q66" s="14"/>
      <c r="R66" s="10"/>
      <c r="S66" s="10"/>
    </row>
    <row r="67" spans="1:19" ht="15" thickBot="1" x14ac:dyDescent="0.35">
      <c r="A67" s="75"/>
      <c r="B67" s="8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6"/>
      <c r="N67" s="14"/>
      <c r="O67" s="9"/>
      <c r="P67" s="14"/>
      <c r="Q67" s="14"/>
      <c r="R67" s="10"/>
      <c r="S67" s="10"/>
    </row>
    <row r="68" spans="1:19" ht="15" thickTop="1" x14ac:dyDescent="0.3">
      <c r="A68" s="75"/>
      <c r="B68" s="78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6"/>
      <c r="N68" s="14"/>
      <c r="O68" s="9"/>
      <c r="P68" s="14"/>
      <c r="Q68" s="14"/>
      <c r="R68" s="10"/>
      <c r="S68" s="10"/>
    </row>
    <row r="69" spans="1:19" x14ac:dyDescent="0.3">
      <c r="A69" s="75"/>
      <c r="B69" s="79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6"/>
      <c r="N69" s="14"/>
      <c r="O69" s="9"/>
      <c r="P69" s="14"/>
      <c r="Q69" s="14"/>
      <c r="R69" s="10"/>
      <c r="S69" s="10"/>
    </row>
    <row r="70" spans="1:19" ht="15" thickBot="1" x14ac:dyDescent="0.35">
      <c r="A70" s="75"/>
      <c r="B70" s="81"/>
      <c r="C70" s="12"/>
      <c r="D70" s="12"/>
      <c r="E70" s="12"/>
      <c r="F70" s="36"/>
      <c r="G70" s="7"/>
      <c r="H70" s="5" t="s">
        <v>29</v>
      </c>
      <c r="J70" s="40"/>
      <c r="K70" s="13"/>
      <c r="L70" s="13"/>
      <c r="M70" s="66"/>
      <c r="N70" s="14"/>
      <c r="O70" s="9"/>
      <c r="P70" s="14"/>
      <c r="Q70" s="14"/>
      <c r="R70" s="10"/>
      <c r="S70" s="10"/>
    </row>
    <row r="71" spans="1:19" ht="15" thickTop="1" x14ac:dyDescent="0.3">
      <c r="A71" s="75"/>
      <c r="B71" s="78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6"/>
      <c r="N71" s="14"/>
      <c r="O71" s="9"/>
      <c r="P71" s="14"/>
      <c r="Q71" s="14"/>
      <c r="R71" s="10"/>
      <c r="S71" s="10"/>
    </row>
    <row r="72" spans="1:19" x14ac:dyDescent="0.3">
      <c r="A72" s="75"/>
      <c r="B72" s="79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6"/>
      <c r="N72" s="14"/>
      <c r="O72" s="9"/>
      <c r="P72" s="14"/>
      <c r="Q72" s="14"/>
      <c r="R72" s="10"/>
      <c r="S72" s="10"/>
    </row>
    <row r="73" spans="1:19" ht="15" thickBot="1" x14ac:dyDescent="0.35">
      <c r="A73" s="76"/>
      <c r="B73" s="80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6"/>
      <c r="N73" s="14"/>
      <c r="O73" s="9"/>
      <c r="P73" s="14"/>
      <c r="Q73" s="14"/>
      <c r="R73" s="10"/>
      <c r="S73" s="10"/>
    </row>
    <row r="74" spans="1:19" ht="15" thickTop="1" x14ac:dyDescent="0.3">
      <c r="A74" s="50"/>
      <c r="B74" s="53"/>
      <c r="C74" s="30"/>
      <c r="D74" s="30"/>
      <c r="E74" s="30"/>
      <c r="F74" s="31"/>
      <c r="G74" s="7"/>
      <c r="H74" s="5" t="s">
        <v>30</v>
      </c>
      <c r="J74" s="40"/>
      <c r="K74" s="13"/>
      <c r="L74" s="13"/>
      <c r="M74" s="66"/>
      <c r="N74" s="14"/>
      <c r="O74" s="9"/>
      <c r="P74" s="14"/>
      <c r="Q74" s="14"/>
      <c r="R74" s="10"/>
      <c r="S74" s="10"/>
    </row>
    <row r="75" spans="1:19" x14ac:dyDescent="0.3">
      <c r="A75" s="51"/>
      <c r="B75" s="54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6"/>
      <c r="N75" s="14"/>
      <c r="O75" s="9"/>
      <c r="P75" s="14"/>
      <c r="Q75" s="14"/>
      <c r="R75" s="10"/>
      <c r="S75" s="10"/>
    </row>
    <row r="76" spans="1:19" ht="15" thickBot="1" x14ac:dyDescent="0.35">
      <c r="A76" s="51"/>
      <c r="B76" s="55"/>
      <c r="C76" s="12"/>
      <c r="D76" s="12"/>
      <c r="E76" s="12"/>
      <c r="F76" s="33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6"/>
      <c r="N76" s="14"/>
      <c r="O76" s="9"/>
      <c r="P76" s="14"/>
      <c r="Q76" s="14"/>
      <c r="R76" s="10"/>
      <c r="S76" s="10"/>
    </row>
    <row r="77" spans="1:19" x14ac:dyDescent="0.3">
      <c r="A77" s="51"/>
      <c r="B77" s="56"/>
      <c r="C77" s="8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6"/>
      <c r="N77" s="14"/>
      <c r="O77" s="9"/>
      <c r="P77" s="14"/>
      <c r="Q77" s="14"/>
      <c r="R77" s="10"/>
      <c r="S77" s="10"/>
    </row>
    <row r="78" spans="1:19" x14ac:dyDescent="0.3">
      <c r="A78" s="51"/>
      <c r="B78" s="54"/>
      <c r="C78" s="11"/>
      <c r="D78" s="11"/>
      <c r="E78" s="11"/>
      <c r="F78" s="32"/>
      <c r="G78" s="7"/>
      <c r="H78" s="5" t="s">
        <v>31</v>
      </c>
      <c r="J78" s="40"/>
      <c r="K78" s="13"/>
      <c r="L78" s="13"/>
      <c r="M78" s="66"/>
      <c r="N78" s="14"/>
      <c r="O78" s="9"/>
      <c r="P78" s="14"/>
      <c r="Q78" s="14"/>
      <c r="R78" s="10"/>
      <c r="S78" s="10"/>
    </row>
    <row r="79" spans="1:19" ht="15" thickBot="1" x14ac:dyDescent="0.35">
      <c r="A79" s="51"/>
      <c r="B79" s="55"/>
      <c r="C79" s="12"/>
      <c r="D79" s="12"/>
      <c r="E79" s="12"/>
      <c r="F79" s="33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6"/>
      <c r="N79" s="14"/>
      <c r="O79" s="9"/>
      <c r="P79" s="14"/>
      <c r="Q79" s="14"/>
      <c r="R79" s="10"/>
      <c r="S79" s="10"/>
    </row>
    <row r="80" spans="1:19" x14ac:dyDescent="0.3">
      <c r="A80" s="51"/>
      <c r="B80" s="56"/>
      <c r="C80" s="8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6"/>
      <c r="N80" s="14"/>
      <c r="O80" s="9"/>
      <c r="P80" s="14"/>
      <c r="Q80" s="14"/>
      <c r="R80" s="10"/>
      <c r="S80" s="10"/>
    </row>
    <row r="81" spans="1:22" x14ac:dyDescent="0.3">
      <c r="A81" s="51"/>
      <c r="B81" s="54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6"/>
      <c r="N81" s="14"/>
      <c r="O81" s="9"/>
      <c r="P81" s="14"/>
      <c r="Q81" s="14"/>
      <c r="R81" s="10"/>
      <c r="S81" s="10"/>
    </row>
    <row r="82" spans="1:22" ht="15" thickBot="1" x14ac:dyDescent="0.35">
      <c r="A82" s="52"/>
      <c r="B82" s="57"/>
      <c r="C82" s="35"/>
      <c r="D82" s="35"/>
      <c r="E82" s="35"/>
      <c r="F82" s="36"/>
      <c r="G82" s="7"/>
      <c r="J82" s="40"/>
      <c r="K82" s="13"/>
      <c r="L82" s="13"/>
      <c r="M82" s="66"/>
      <c r="N82" s="14"/>
      <c r="O82" s="9"/>
      <c r="P82" s="14"/>
      <c r="Q82" s="14"/>
      <c r="R82" s="10"/>
      <c r="S82" s="10"/>
    </row>
    <row r="83" spans="1:22" ht="1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6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6"/>
      <c r="N84" s="14"/>
      <c r="O84" s="9"/>
      <c r="P84" s="14"/>
      <c r="Q84" s="14"/>
      <c r="R84" s="10"/>
      <c r="S84" s="10"/>
    </row>
    <row r="85" spans="1:22" ht="1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6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6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6"/>
      <c r="N87" s="14"/>
      <c r="O87" s="9"/>
      <c r="P87" s="14"/>
      <c r="Q87" s="14"/>
      <c r="R87" s="10"/>
      <c r="S87" s="10"/>
    </row>
    <row r="88" spans="1:22" ht="1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6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6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6"/>
      <c r="N90" s="14"/>
      <c r="O90" s="9"/>
      <c r="P90" s="14"/>
      <c r="Q90" s="14"/>
      <c r="R90" s="10"/>
      <c r="S90" s="10"/>
    </row>
    <row r="91" spans="1:22" ht="1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6"/>
      <c r="N91" s="14"/>
      <c r="O91" s="9"/>
      <c r="P91" s="14"/>
      <c r="Q91" s="14"/>
      <c r="R91" s="10"/>
      <c r="S91" s="10"/>
    </row>
    <row r="92" spans="1:22" ht="1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6"/>
      <c r="N92" s="14"/>
      <c r="O92" s="9"/>
      <c r="P92" s="14"/>
      <c r="Q92" s="14"/>
      <c r="R92" s="10"/>
      <c r="S92" s="10"/>
    </row>
    <row r="93" spans="1:22" ht="1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6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6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6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6"/>
      <c r="N96" s="14"/>
      <c r="O96" s="9"/>
      <c r="P96" s="14"/>
      <c r="Q96" s="14"/>
      <c r="R96" s="10"/>
      <c r="S96" s="10"/>
    </row>
    <row r="97" spans="1:19" ht="1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6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6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6"/>
      <c r="N99" s="14"/>
      <c r="O99" s="9"/>
      <c r="P99" s="14"/>
      <c r="Q99" s="14"/>
      <c r="R99" s="10"/>
      <c r="S99" s="10"/>
    </row>
    <row r="100" spans="1:19" ht="1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6"/>
      <c r="N100" s="14"/>
      <c r="O100" s="9"/>
      <c r="P100" s="14"/>
      <c r="Q100" s="14"/>
      <c r="R100" s="10"/>
      <c r="S100" s="10"/>
    </row>
    <row r="101" spans="1:19" ht="1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6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6"/>
      <c r="N102" s="14"/>
      <c r="O102" s="9"/>
      <c r="P102" s="14"/>
      <c r="Q102" s="14"/>
      <c r="R102" s="10"/>
      <c r="S102" s="10"/>
    </row>
    <row r="103" spans="1:19" ht="1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6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6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6"/>
      <c r="N105" s="14"/>
      <c r="O105" s="9"/>
      <c r="P105" s="14"/>
      <c r="Q105" s="14"/>
      <c r="R105" s="10"/>
      <c r="S105" s="10"/>
    </row>
    <row r="106" spans="1:19" ht="1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6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6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6"/>
      <c r="N108" s="14"/>
      <c r="O108" s="9"/>
      <c r="P108" s="14"/>
      <c r="Q108" s="14"/>
      <c r="R108" s="10"/>
      <c r="S108" s="10"/>
    </row>
    <row r="109" spans="1:19" ht="1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6"/>
      <c r="N109" s="14"/>
      <c r="O109" s="9"/>
      <c r="P109" s="14"/>
      <c r="Q109" s="14"/>
      <c r="R109" s="10"/>
      <c r="S109" s="10"/>
    </row>
    <row r="110" spans="1:19" ht="1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6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6"/>
      <c r="N111" s="14"/>
      <c r="O111" s="9"/>
      <c r="P111" s="14"/>
      <c r="Q111" s="14"/>
      <c r="R111" s="10"/>
      <c r="S111" s="10"/>
    </row>
    <row r="112" spans="1:19" ht="1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6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6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6"/>
      <c r="N114" s="14"/>
      <c r="O114" s="9"/>
      <c r="P114" s="14"/>
      <c r="Q114" s="14"/>
      <c r="R114" s="10"/>
      <c r="S114" s="10"/>
    </row>
    <row r="115" spans="1:19" ht="1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6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6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6"/>
      <c r="N117" s="14"/>
      <c r="O117" s="9"/>
      <c r="P117" s="14"/>
      <c r="Q117" s="14"/>
      <c r="R117" s="10"/>
      <c r="S117" s="10"/>
    </row>
    <row r="118" spans="1:19" ht="1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6"/>
      <c r="N118" s="14"/>
      <c r="O118" s="9"/>
      <c r="P118" s="14"/>
      <c r="Q118" s="14"/>
      <c r="R118" s="10"/>
      <c r="S118" s="10"/>
    </row>
    <row r="119" spans="1:19" ht="1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6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6"/>
      <c r="N120" s="14"/>
      <c r="O120" s="9"/>
      <c r="P120" s="14"/>
      <c r="Q120" s="14"/>
      <c r="R120" s="10"/>
      <c r="S120" s="10"/>
    </row>
    <row r="121" spans="1:19" ht="1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6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6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6"/>
      <c r="N123" s="14"/>
      <c r="O123" s="9"/>
      <c r="P123" s="14"/>
      <c r="Q123" s="14"/>
      <c r="R123" s="10"/>
      <c r="S123" s="10"/>
    </row>
    <row r="124" spans="1:19" ht="1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6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6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6"/>
      <c r="N126" s="14"/>
      <c r="O126" s="9"/>
      <c r="P126" s="14"/>
      <c r="Q126" s="14"/>
      <c r="R126" s="10"/>
      <c r="S126" s="10"/>
    </row>
    <row r="127" spans="1:19" ht="1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6"/>
      <c r="N127" s="14"/>
      <c r="O127" s="9"/>
      <c r="P127" s="14"/>
      <c r="Q127" s="14"/>
      <c r="R127" s="10"/>
      <c r="S127" s="10"/>
    </row>
    <row r="128" spans="1:19" ht="1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6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6"/>
      <c r="N129" s="14"/>
      <c r="O129" s="9"/>
      <c r="P129" s="14"/>
      <c r="Q129" s="14"/>
      <c r="R129" s="10"/>
      <c r="S129" s="10"/>
    </row>
    <row r="130" spans="1:19" ht="1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6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6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6"/>
      <c r="N132" s="14"/>
      <c r="O132" s="9"/>
      <c r="P132" s="14"/>
      <c r="Q132" s="14"/>
      <c r="R132" s="10"/>
      <c r="S132" s="10"/>
    </row>
    <row r="133" spans="1:19" ht="1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6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6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6"/>
      <c r="N135" s="14"/>
      <c r="O135" s="9"/>
      <c r="P135" s="14"/>
      <c r="Q135" s="14"/>
      <c r="R135" s="10"/>
      <c r="S135" s="10"/>
    </row>
    <row r="136" spans="1:19" ht="1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6"/>
      <c r="N136" s="14"/>
      <c r="O136" s="9"/>
      <c r="P136" s="14"/>
      <c r="Q136" s="14"/>
      <c r="R136" s="10"/>
      <c r="S136" s="10"/>
    </row>
    <row r="137" spans="1:19" ht="1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6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6"/>
      <c r="N138" s="14"/>
      <c r="O138" s="9"/>
      <c r="P138" s="14"/>
      <c r="Q138" s="14"/>
      <c r="R138" s="10"/>
      <c r="S138" s="10"/>
    </row>
    <row r="139" spans="1:19" ht="1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6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6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6"/>
      <c r="N141" s="14"/>
      <c r="O141" s="9"/>
      <c r="P141" s="14"/>
      <c r="Q141" s="14"/>
      <c r="R141" s="10"/>
      <c r="S141" s="10"/>
    </row>
    <row r="142" spans="1:19" ht="1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6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6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6"/>
      <c r="N144" s="14"/>
      <c r="O144" s="9"/>
      <c r="P144" s="14"/>
      <c r="Q144" s="14"/>
      <c r="R144" s="10"/>
      <c r="S144" s="10"/>
    </row>
    <row r="145" spans="1:19" ht="1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6"/>
      <c r="N145" s="14"/>
      <c r="O145" s="9"/>
      <c r="P145" s="14"/>
      <c r="Q145" s="14"/>
      <c r="R145" s="10"/>
      <c r="S145" s="10"/>
    </row>
    <row r="146" spans="1:19" ht="1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6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6"/>
      <c r="N147" s="14"/>
      <c r="O147" s="9"/>
      <c r="P147" s="14"/>
      <c r="Q147" s="14"/>
      <c r="R147" s="10"/>
      <c r="S147" s="10"/>
    </row>
    <row r="148" spans="1:19" ht="1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6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6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6"/>
      <c r="N150" s="14"/>
      <c r="O150" s="9"/>
      <c r="P150" s="14"/>
      <c r="Q150" s="14"/>
      <c r="R150" s="10"/>
      <c r="S150" s="10"/>
    </row>
    <row r="151" spans="1:19" ht="1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6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6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6"/>
      <c r="N153" s="14"/>
      <c r="O153" s="9"/>
      <c r="P153" s="14"/>
      <c r="Q153" s="14"/>
      <c r="R153" s="10"/>
      <c r="S153" s="10"/>
    </row>
    <row r="154" spans="1:19" ht="1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6"/>
      <c r="N154" s="14"/>
      <c r="O154" s="9"/>
      <c r="P154" s="14"/>
      <c r="Q154" s="14"/>
      <c r="R154" s="10"/>
      <c r="S154" s="10"/>
    </row>
    <row r="155" spans="1:19" ht="1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6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6"/>
      <c r="N156" s="14"/>
      <c r="O156" s="9"/>
      <c r="P156" s="14"/>
      <c r="Q156" s="14"/>
      <c r="R156" s="10"/>
      <c r="S156" s="10"/>
    </row>
    <row r="157" spans="1:19" ht="1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6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6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6"/>
      <c r="N159" s="14"/>
      <c r="O159" s="9"/>
      <c r="P159" s="14"/>
      <c r="Q159" s="14"/>
      <c r="R159" s="10"/>
      <c r="S159" s="10"/>
    </row>
    <row r="160" spans="1:19" ht="1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6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6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6"/>
      <c r="N162" s="14"/>
      <c r="O162" s="9"/>
      <c r="P162" s="14"/>
      <c r="Q162" s="14"/>
      <c r="R162" s="10"/>
      <c r="S162" s="10"/>
    </row>
    <row r="163" spans="1:19" ht="1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6"/>
      <c r="N163" s="14"/>
      <c r="O163" s="9"/>
      <c r="P163" s="14"/>
      <c r="Q163" s="14"/>
      <c r="R163" s="10"/>
      <c r="S163" s="10"/>
    </row>
    <row r="164" spans="1:19" ht="1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6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6"/>
      <c r="N165" s="14"/>
      <c r="O165" s="9"/>
      <c r="P165" s="21"/>
      <c r="Q165" s="21"/>
      <c r="R165" s="10"/>
      <c r="S165" s="10"/>
    </row>
    <row r="166" spans="1:19" ht="1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6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6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6"/>
      <c r="N168" s="14"/>
      <c r="O168" s="9"/>
      <c r="P168" s="21"/>
      <c r="Q168" s="21"/>
      <c r="R168" s="10"/>
      <c r="S168" s="10"/>
    </row>
    <row r="169" spans="1:19" ht="1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6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6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6"/>
      <c r="N171" s="14"/>
      <c r="O171" s="9"/>
      <c r="P171" s="21"/>
      <c r="Q171" s="21"/>
      <c r="R171" s="10"/>
      <c r="S171" s="10"/>
    </row>
    <row r="172" spans="1:19" ht="1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6"/>
      <c r="N172" s="14"/>
      <c r="O172" s="9"/>
      <c r="P172" s="21"/>
      <c r="Q172" s="21"/>
      <c r="R172" s="10"/>
      <c r="S172" s="10"/>
    </row>
    <row r="173" spans="1:19" ht="1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7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7"/>
      <c r="O174" s="9"/>
      <c r="P174" s="21"/>
      <c r="Q174" s="21"/>
      <c r="R174" s="10"/>
      <c r="S174" s="10"/>
    </row>
    <row r="175" spans="1:19" ht="1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7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7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7"/>
      <c r="O177" s="9"/>
      <c r="P177" s="21"/>
      <c r="Q177" s="21"/>
    </row>
    <row r="178" spans="1:17" ht="1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7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7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7"/>
      <c r="O180" s="9"/>
      <c r="P180" s="21"/>
      <c r="Q180" s="21"/>
    </row>
    <row r="181" spans="1:17" ht="1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7"/>
      <c r="O181" s="9"/>
      <c r="P181" s="21"/>
      <c r="Q181" s="21"/>
    </row>
    <row r="182" spans="1:17" ht="15" thickTop="1" x14ac:dyDescent="0.3">
      <c r="G182" s="28"/>
      <c r="O182" s="9"/>
    </row>
  </sheetData>
  <mergeCells count="32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  <mergeCell ref="A38:A46"/>
    <mergeCell ref="B38:B40"/>
    <mergeCell ref="B41:B43"/>
    <mergeCell ref="B44:B46"/>
    <mergeCell ref="A47:A55"/>
    <mergeCell ref="B47:B49"/>
    <mergeCell ref="B50:B52"/>
    <mergeCell ref="B53:B55"/>
    <mergeCell ref="A56:A64"/>
    <mergeCell ref="B56:B58"/>
    <mergeCell ref="B59:B61"/>
    <mergeCell ref="B62:B64"/>
    <mergeCell ref="A65:A73"/>
    <mergeCell ref="B65:B67"/>
    <mergeCell ref="B68:B70"/>
    <mergeCell ref="B71:B7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4C02-6135-4514-ADC5-DEC129C002DC}">
  <dimension ref="A1:J25"/>
  <sheetViews>
    <sheetView zoomScale="90" zoomScaleNormal="130" workbookViewId="0">
      <selection activeCell="B8" sqref="B8:I10"/>
    </sheetView>
  </sheetViews>
  <sheetFormatPr defaultRowHeight="14.4" x14ac:dyDescent="0.3"/>
  <cols>
    <col min="1" max="1" width="11.88671875" style="68" bestFit="1" customWidth="1"/>
    <col min="2" max="9" width="8.6640625" style="69"/>
  </cols>
  <sheetData>
    <row r="1" spans="1:10" x14ac:dyDescent="0.3">
      <c r="A1" s="68" t="s">
        <v>90</v>
      </c>
      <c r="B1" s="69" t="s">
        <v>91</v>
      </c>
      <c r="C1" s="69" t="s">
        <v>92</v>
      </c>
      <c r="D1" s="69" t="s">
        <v>93</v>
      </c>
      <c r="E1" s="69" t="s">
        <v>94</v>
      </c>
      <c r="F1" s="69" t="s">
        <v>95</v>
      </c>
      <c r="G1" s="69" t="s">
        <v>96</v>
      </c>
      <c r="H1" s="69" t="s">
        <v>97</v>
      </c>
      <c r="I1" s="69" t="s">
        <v>98</v>
      </c>
    </row>
    <row r="2" spans="1:10" x14ac:dyDescent="0.3">
      <c r="A2" s="68" t="s">
        <v>99</v>
      </c>
      <c r="B2" s="69">
        <v>9812500</v>
      </c>
      <c r="C2" s="69">
        <v>218125</v>
      </c>
      <c r="D2" s="69">
        <v>6250000</v>
      </c>
      <c r="E2" s="69">
        <v>1037500</v>
      </c>
      <c r="F2" s="69">
        <v>6437500</v>
      </c>
      <c r="G2" s="69">
        <v>140000</v>
      </c>
      <c r="H2" s="69">
        <v>6875000</v>
      </c>
      <c r="I2" s="69">
        <v>1031250</v>
      </c>
      <c r="J2" t="s">
        <v>88</v>
      </c>
    </row>
    <row r="3" spans="1:10" x14ac:dyDescent="0.3">
      <c r="A3" s="68" t="s">
        <v>99</v>
      </c>
      <c r="B3" s="69">
        <v>8750000</v>
      </c>
      <c r="C3" s="69">
        <v>168750</v>
      </c>
      <c r="D3" s="69">
        <v>6812500</v>
      </c>
      <c r="E3" s="69">
        <v>1381250</v>
      </c>
      <c r="F3" s="69">
        <v>8125000</v>
      </c>
      <c r="G3" s="69">
        <v>550000</v>
      </c>
      <c r="H3" s="69">
        <v>7937500</v>
      </c>
      <c r="I3" s="69">
        <v>1650000</v>
      </c>
      <c r="J3" t="s">
        <v>69</v>
      </c>
    </row>
    <row r="4" spans="1:10" x14ac:dyDescent="0.3">
      <c r="A4" s="68" t="s">
        <v>99</v>
      </c>
      <c r="B4" s="69">
        <v>6687500</v>
      </c>
      <c r="C4" s="69">
        <v>137500</v>
      </c>
      <c r="D4" s="69">
        <v>8937500</v>
      </c>
      <c r="E4" s="69">
        <v>1856250</v>
      </c>
      <c r="F4" s="69">
        <v>6875000</v>
      </c>
      <c r="G4" s="69">
        <v>462500</v>
      </c>
      <c r="H4" s="69">
        <v>9375000</v>
      </c>
      <c r="I4" s="69">
        <v>1325000</v>
      </c>
      <c r="J4" t="s">
        <v>89</v>
      </c>
    </row>
    <row r="5" spans="1:10" x14ac:dyDescent="0.3">
      <c r="A5" s="68" t="s">
        <v>100</v>
      </c>
      <c r="B5" s="69">
        <v>2312500</v>
      </c>
      <c r="C5" s="69">
        <v>187500</v>
      </c>
      <c r="D5" s="69">
        <v>2500000</v>
      </c>
      <c r="E5" s="69">
        <v>2243750</v>
      </c>
      <c r="F5" s="69">
        <v>875000</v>
      </c>
      <c r="G5" s="69">
        <v>250000</v>
      </c>
      <c r="H5" s="69">
        <v>1187500</v>
      </c>
      <c r="I5" s="69">
        <v>2162500</v>
      </c>
    </row>
    <row r="6" spans="1:10" x14ac:dyDescent="0.3">
      <c r="A6" s="68" t="s">
        <v>100</v>
      </c>
      <c r="B6" s="69">
        <v>2812500</v>
      </c>
      <c r="C6" s="69">
        <v>36250</v>
      </c>
      <c r="D6" s="69">
        <v>2750000</v>
      </c>
      <c r="E6" s="69">
        <v>2100000</v>
      </c>
      <c r="F6" s="69">
        <v>1500000</v>
      </c>
      <c r="G6" s="69">
        <v>143750</v>
      </c>
      <c r="H6" s="69">
        <v>2062500</v>
      </c>
      <c r="I6" s="69">
        <v>2175000</v>
      </c>
    </row>
    <row r="7" spans="1:10" x14ac:dyDescent="0.3">
      <c r="A7" s="68" t="s">
        <v>100</v>
      </c>
      <c r="B7" s="69">
        <v>2875000</v>
      </c>
      <c r="C7" s="69">
        <v>93125</v>
      </c>
      <c r="D7" s="69">
        <v>2625000</v>
      </c>
      <c r="E7" s="69">
        <v>1937500</v>
      </c>
      <c r="F7" s="69">
        <v>1875000</v>
      </c>
      <c r="G7" s="69">
        <v>312500</v>
      </c>
      <c r="H7" s="69">
        <v>1937500</v>
      </c>
      <c r="I7" s="69">
        <v>3062500</v>
      </c>
    </row>
    <row r="8" spans="1:10" x14ac:dyDescent="0.3">
      <c r="A8" s="68" t="s">
        <v>101</v>
      </c>
      <c r="B8" s="69">
        <v>2862500</v>
      </c>
      <c r="C8" s="69">
        <v>29375</v>
      </c>
      <c r="D8" s="69">
        <v>2125000</v>
      </c>
      <c r="E8" s="69">
        <v>1350000</v>
      </c>
      <c r="H8" s="69">
        <v>2337500</v>
      </c>
      <c r="I8" s="69">
        <v>1250000</v>
      </c>
    </row>
    <row r="9" spans="1:10" x14ac:dyDescent="0.3">
      <c r="A9" s="68" t="s">
        <v>101</v>
      </c>
      <c r="B9" s="69">
        <v>4250000</v>
      </c>
      <c r="C9" s="69">
        <v>18750</v>
      </c>
      <c r="D9" s="69">
        <v>2337500</v>
      </c>
      <c r="E9" s="69">
        <v>875000</v>
      </c>
      <c r="H9" s="69">
        <v>2375000</v>
      </c>
      <c r="I9" s="69">
        <v>1125000</v>
      </c>
    </row>
    <row r="10" spans="1:10" x14ac:dyDescent="0.3">
      <c r="A10" s="68" t="s">
        <v>101</v>
      </c>
      <c r="B10" s="69">
        <v>2525000</v>
      </c>
      <c r="C10" s="69">
        <v>27500</v>
      </c>
      <c r="D10" s="69">
        <v>3175000</v>
      </c>
      <c r="E10" s="69">
        <v>556250</v>
      </c>
      <c r="H10" s="69">
        <v>3112500</v>
      </c>
      <c r="I10" s="69">
        <v>581250</v>
      </c>
    </row>
    <row r="11" spans="1:10" x14ac:dyDescent="0.3">
      <c r="A11" s="68" t="s">
        <v>102</v>
      </c>
      <c r="B11" s="69">
        <v>1343750</v>
      </c>
      <c r="C11" s="69">
        <v>75000</v>
      </c>
      <c r="D11" s="69">
        <v>1550000</v>
      </c>
      <c r="E11" s="69">
        <v>162500</v>
      </c>
      <c r="H11" s="69">
        <v>2875000</v>
      </c>
      <c r="I11" s="69">
        <v>656250</v>
      </c>
    </row>
    <row r="12" spans="1:10" x14ac:dyDescent="0.3">
      <c r="A12" s="68" t="s">
        <v>102</v>
      </c>
      <c r="B12" s="69">
        <v>850000</v>
      </c>
      <c r="C12" s="69">
        <v>118750</v>
      </c>
      <c r="D12" s="69">
        <v>3500000</v>
      </c>
      <c r="E12" s="69">
        <v>643750</v>
      </c>
      <c r="H12" s="69">
        <v>918750</v>
      </c>
      <c r="I12" s="69">
        <v>193750</v>
      </c>
    </row>
    <row r="13" spans="1:10" x14ac:dyDescent="0.3">
      <c r="A13" s="68" t="s">
        <v>102</v>
      </c>
      <c r="B13" s="69">
        <v>1631250</v>
      </c>
      <c r="C13" s="69">
        <v>33125</v>
      </c>
      <c r="D13" s="69">
        <v>2437500</v>
      </c>
      <c r="E13" s="69">
        <v>625000</v>
      </c>
      <c r="H13" s="69">
        <v>2000000</v>
      </c>
      <c r="I13" s="69">
        <v>687500</v>
      </c>
    </row>
    <row r="14" spans="1:10" x14ac:dyDescent="0.3">
      <c r="A14" s="68" t="s">
        <v>103</v>
      </c>
      <c r="B14" s="69">
        <v>27500000</v>
      </c>
      <c r="C14" s="69">
        <v>105000</v>
      </c>
      <c r="D14" s="69">
        <v>8062500</v>
      </c>
      <c r="E14" s="69">
        <v>656250</v>
      </c>
      <c r="H14" s="69">
        <v>12187500</v>
      </c>
      <c r="I14" s="69">
        <v>300000</v>
      </c>
    </row>
    <row r="15" spans="1:10" x14ac:dyDescent="0.3">
      <c r="A15" s="68" t="s">
        <v>103</v>
      </c>
      <c r="B15" s="69">
        <v>22625000</v>
      </c>
      <c r="C15" s="69">
        <v>48125</v>
      </c>
      <c r="D15" s="69">
        <v>7500000</v>
      </c>
      <c r="E15" s="69">
        <v>775000</v>
      </c>
      <c r="H15" s="69">
        <v>12937500</v>
      </c>
      <c r="I15" s="69">
        <v>631250</v>
      </c>
    </row>
    <row r="16" spans="1:10" x14ac:dyDescent="0.3">
      <c r="A16" s="68" t="s">
        <v>103</v>
      </c>
      <c r="B16" s="69">
        <v>23375000</v>
      </c>
      <c r="C16" s="69">
        <v>57500</v>
      </c>
      <c r="D16" s="69">
        <v>9375000</v>
      </c>
      <c r="E16" s="69">
        <v>418750</v>
      </c>
      <c r="H16" s="69">
        <v>13625000</v>
      </c>
      <c r="I16" s="69">
        <v>1287500</v>
      </c>
    </row>
    <row r="18" spans="1:9" x14ac:dyDescent="0.3">
      <c r="A18" s="68" t="s">
        <v>87</v>
      </c>
      <c r="B18" s="69">
        <f>AVERAGE(B2:B16)</f>
        <v>8014166.666666667</v>
      </c>
      <c r="C18" s="69">
        <f t="shared" ref="C18:I18" si="0">AVERAGE(C2:C16)</f>
        <v>90291.666666666672</v>
      </c>
      <c r="D18" s="69">
        <f t="shared" si="0"/>
        <v>4662500</v>
      </c>
      <c r="E18" s="69">
        <f t="shared" si="0"/>
        <v>1107916.6666666667</v>
      </c>
      <c r="F18" s="69">
        <f t="shared" ref="F18" si="1">AVERAGE(F2:F16)</f>
        <v>4281250</v>
      </c>
      <c r="G18" s="69">
        <f t="shared" ref="G18" si="2">AVERAGE(G2:G16)</f>
        <v>309791.66666666669</v>
      </c>
      <c r="H18" s="69">
        <f>AVERAGE(H2:H16)</f>
        <v>5449583.333333333</v>
      </c>
      <c r="I18" s="69">
        <f t="shared" si="0"/>
        <v>1207916.6666666667</v>
      </c>
    </row>
    <row r="19" spans="1:9" x14ac:dyDescent="0.3">
      <c r="A19" s="68" t="s">
        <v>10</v>
      </c>
      <c r="B19" s="69">
        <f>STDEV(B2:B16)</f>
        <v>8976330.6274188738</v>
      </c>
      <c r="C19" s="69">
        <f t="shared" ref="C19:I19" si="3">STDEV(C2:C16)</f>
        <v>63951.39174367029</v>
      </c>
      <c r="D19" s="69">
        <f t="shared" si="3"/>
        <v>2800123.5623246548</v>
      </c>
      <c r="E19" s="69">
        <f t="shared" si="3"/>
        <v>662876.68985444109</v>
      </c>
      <c r="F19" s="69">
        <f t="shared" si="3"/>
        <v>3202477.0686142314</v>
      </c>
      <c r="G19" s="69">
        <f t="shared" si="3"/>
        <v>167929.33161501799</v>
      </c>
      <c r="H19" s="69">
        <f>STDEV(H2:H16)</f>
        <v>4610278.4929696051</v>
      </c>
      <c r="I19" s="69">
        <f t="shared" si="3"/>
        <v>788061.26068678068</v>
      </c>
    </row>
    <row r="23" spans="1:9" x14ac:dyDescent="0.3">
      <c r="A23" s="68">
        <v>27500000</v>
      </c>
      <c r="B23" s="69">
        <v>105000</v>
      </c>
      <c r="C23" s="69">
        <v>8062500</v>
      </c>
      <c r="D23" s="69">
        <v>656250</v>
      </c>
      <c r="E23" s="69">
        <v>12187500</v>
      </c>
      <c r="F23" s="69">
        <v>300000</v>
      </c>
    </row>
    <row r="24" spans="1:9" x14ac:dyDescent="0.3">
      <c r="A24" s="68">
        <v>22625000</v>
      </c>
      <c r="B24" s="69">
        <v>48125</v>
      </c>
      <c r="C24" s="69">
        <v>7500000</v>
      </c>
      <c r="D24" s="69">
        <v>775000</v>
      </c>
      <c r="E24" s="69">
        <v>12937500</v>
      </c>
      <c r="F24" s="69">
        <v>631250</v>
      </c>
    </row>
    <row r="25" spans="1:9" x14ac:dyDescent="0.3">
      <c r="A25" s="68">
        <v>23375000</v>
      </c>
      <c r="C25" s="69">
        <v>9375000</v>
      </c>
      <c r="D25" s="69">
        <v>418750</v>
      </c>
      <c r="E25" s="69">
        <v>13625000</v>
      </c>
      <c r="F25" s="69">
        <v>1287500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51DB-BF55-4759-8DFB-88BF129A2EDC}">
  <dimension ref="A1:F19"/>
  <sheetViews>
    <sheetView tabSelected="1" workbookViewId="0">
      <selection activeCell="H19" sqref="H19"/>
    </sheetView>
  </sheetViews>
  <sheetFormatPr defaultRowHeight="14.4" x14ac:dyDescent="0.3"/>
  <cols>
    <col min="1" max="1" width="11.5546875" bestFit="1" customWidth="1"/>
  </cols>
  <sheetData>
    <row r="1" spans="1:6" x14ac:dyDescent="0.3">
      <c r="A1" t="s">
        <v>90</v>
      </c>
      <c r="B1" t="s">
        <v>104</v>
      </c>
      <c r="C1" t="s">
        <v>105</v>
      </c>
      <c r="D1" t="s">
        <v>106</v>
      </c>
    </row>
    <row r="2" spans="1:6" x14ac:dyDescent="0.3">
      <c r="A2" t="s">
        <v>101</v>
      </c>
      <c r="B2" t="s">
        <v>88</v>
      </c>
      <c r="C2" t="s">
        <v>107</v>
      </c>
      <c r="D2" s="69">
        <v>2862500</v>
      </c>
    </row>
    <row r="3" spans="1:6" x14ac:dyDescent="0.3">
      <c r="A3" t="s">
        <v>101</v>
      </c>
      <c r="B3" t="s">
        <v>88</v>
      </c>
      <c r="C3" t="s">
        <v>107</v>
      </c>
      <c r="D3" s="69">
        <v>4250000</v>
      </c>
    </row>
    <row r="4" spans="1:6" x14ac:dyDescent="0.3">
      <c r="A4" t="s">
        <v>101</v>
      </c>
      <c r="B4" t="s">
        <v>88</v>
      </c>
      <c r="C4" t="s">
        <v>107</v>
      </c>
      <c r="D4" s="69">
        <v>2525000</v>
      </c>
    </row>
    <row r="5" spans="1:6" x14ac:dyDescent="0.3">
      <c r="A5" t="s">
        <v>101</v>
      </c>
      <c r="B5" t="s">
        <v>88</v>
      </c>
      <c r="C5" t="s">
        <v>108</v>
      </c>
      <c r="D5" s="69">
        <v>29375</v>
      </c>
    </row>
    <row r="6" spans="1:6" x14ac:dyDescent="0.3">
      <c r="A6" t="s">
        <v>101</v>
      </c>
      <c r="B6" t="s">
        <v>88</v>
      </c>
      <c r="C6" t="s">
        <v>108</v>
      </c>
      <c r="D6" s="69">
        <v>18750</v>
      </c>
    </row>
    <row r="7" spans="1:6" x14ac:dyDescent="0.3">
      <c r="A7" t="s">
        <v>101</v>
      </c>
      <c r="B7" t="s">
        <v>88</v>
      </c>
      <c r="C7" t="s">
        <v>108</v>
      </c>
      <c r="D7" s="69">
        <v>27500</v>
      </c>
    </row>
    <row r="8" spans="1:6" x14ac:dyDescent="0.3">
      <c r="A8" t="s">
        <v>101</v>
      </c>
      <c r="B8" t="s">
        <v>109</v>
      </c>
      <c r="C8" t="s">
        <v>107</v>
      </c>
      <c r="D8" s="69">
        <v>2125000</v>
      </c>
    </row>
    <row r="9" spans="1:6" x14ac:dyDescent="0.3">
      <c r="A9" t="s">
        <v>101</v>
      </c>
      <c r="B9" t="s">
        <v>109</v>
      </c>
      <c r="C9" t="s">
        <v>107</v>
      </c>
      <c r="D9" s="69">
        <v>2337500</v>
      </c>
    </row>
    <row r="10" spans="1:6" x14ac:dyDescent="0.3">
      <c r="A10" t="s">
        <v>101</v>
      </c>
      <c r="B10" t="s">
        <v>109</v>
      </c>
      <c r="C10" t="s">
        <v>107</v>
      </c>
      <c r="D10" s="69">
        <v>3175000</v>
      </c>
    </row>
    <row r="11" spans="1:6" x14ac:dyDescent="0.3">
      <c r="A11" t="s">
        <v>101</v>
      </c>
      <c r="B11" t="s">
        <v>109</v>
      </c>
      <c r="C11" t="s">
        <v>108</v>
      </c>
      <c r="D11" s="69">
        <v>1350000</v>
      </c>
      <c r="E11" s="69"/>
      <c r="F11" s="69"/>
    </row>
    <row r="12" spans="1:6" x14ac:dyDescent="0.3">
      <c r="A12" t="s">
        <v>101</v>
      </c>
      <c r="B12" t="s">
        <v>109</v>
      </c>
      <c r="C12" t="s">
        <v>108</v>
      </c>
      <c r="D12" s="69">
        <v>875000</v>
      </c>
      <c r="E12" s="69"/>
      <c r="F12" s="69"/>
    </row>
    <row r="13" spans="1:6" x14ac:dyDescent="0.3">
      <c r="A13" t="s">
        <v>101</v>
      </c>
      <c r="B13" t="s">
        <v>109</v>
      </c>
      <c r="C13" t="s">
        <v>108</v>
      </c>
      <c r="D13" s="69">
        <v>556250</v>
      </c>
      <c r="E13" s="69"/>
      <c r="F13" s="69"/>
    </row>
    <row r="14" spans="1:6" x14ac:dyDescent="0.3">
      <c r="A14" t="s">
        <v>101</v>
      </c>
      <c r="B14" t="s">
        <v>110</v>
      </c>
      <c r="C14" t="s">
        <v>107</v>
      </c>
      <c r="D14" s="69">
        <v>2337500</v>
      </c>
    </row>
    <row r="15" spans="1:6" x14ac:dyDescent="0.3">
      <c r="A15" t="s">
        <v>101</v>
      </c>
      <c r="B15" t="s">
        <v>110</v>
      </c>
      <c r="C15" t="s">
        <v>107</v>
      </c>
      <c r="D15" s="69">
        <v>2375000</v>
      </c>
    </row>
    <row r="16" spans="1:6" x14ac:dyDescent="0.3">
      <c r="A16" t="s">
        <v>101</v>
      </c>
      <c r="B16" t="s">
        <v>110</v>
      </c>
      <c r="C16" t="s">
        <v>107</v>
      </c>
      <c r="D16" s="69">
        <v>3112500</v>
      </c>
    </row>
    <row r="17" spans="1:4" x14ac:dyDescent="0.3">
      <c r="A17" t="s">
        <v>101</v>
      </c>
      <c r="B17" t="s">
        <v>110</v>
      </c>
      <c r="C17" t="s">
        <v>108</v>
      </c>
      <c r="D17" s="69">
        <v>1250000</v>
      </c>
    </row>
    <row r="18" spans="1:4" x14ac:dyDescent="0.3">
      <c r="A18" t="s">
        <v>101</v>
      </c>
      <c r="B18" t="s">
        <v>110</v>
      </c>
      <c r="C18" t="s">
        <v>108</v>
      </c>
      <c r="D18" s="69">
        <v>1125000</v>
      </c>
    </row>
    <row r="19" spans="1:4" x14ac:dyDescent="0.3">
      <c r="A19" t="s">
        <v>101</v>
      </c>
      <c r="B19" t="s">
        <v>110</v>
      </c>
      <c r="C19" t="s">
        <v>108</v>
      </c>
      <c r="D19" s="69">
        <v>581250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ARR-PIP-21-1</vt:lpstr>
      <vt:lpstr>ARR-PIP-21-2</vt:lpstr>
      <vt:lpstr>ARR-PIP-21-3</vt:lpstr>
      <vt:lpstr>ARR-PIP-21-4</vt:lpstr>
      <vt:lpstr>ARR-PIP-21-5</vt:lpstr>
      <vt:lpstr>ARR-PIP-22-1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2023-07-04T15:30:14Z</dcterms:modified>
</cp:coreProperties>
</file>