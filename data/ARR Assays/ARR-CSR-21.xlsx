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filterPrivacy="1"/>
  <xr:revisionPtr revIDLastSave="2005" documentId="8_{33C050F6-D3FF-49EB-BC15-0EF7E4F265BF}" xr6:coauthVersionLast="47" xr6:coauthVersionMax="47" xr10:uidLastSave="{7FA4D603-92E6-4729-A4AC-B69A8D2E6E6E}"/>
  <bookViews>
    <workbookView xWindow="9296" yWindow="3546" windowWidth="11605" windowHeight="6416" firstSheet="2" activeTab="3" xr2:uid="{00000000-000D-0000-FFFF-FFFF00000000}"/>
  </bookViews>
  <sheets>
    <sheet name="ARR-CSR-21-1" sheetId="2" r:id="rId1"/>
    <sheet name="ARR-CSR-21-2" sheetId="3" r:id="rId2"/>
    <sheet name="ARR-CSR-21-3" sheetId="4" r:id="rId3"/>
    <sheet name="ARR-CSR-23-1" sheetId="6" r:id="rId4"/>
    <sheet name="Summa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1" i="6" l="1"/>
  <c r="F42" i="6"/>
  <c r="H8" i="6" s="1" a="1"/>
  <c r="H8" i="6" s="1"/>
  <c r="F43" i="6"/>
  <c r="F44" i="6"/>
  <c r="F45" i="6"/>
  <c r="H9" i="6" s="1" a="1"/>
  <c r="H9" i="6" s="1"/>
  <c r="F46" i="6"/>
  <c r="F40" i="6"/>
  <c r="F39" i="6"/>
  <c r="F38" i="6"/>
  <c r="F68" i="6"/>
  <c r="F69" i="6"/>
  <c r="H32" i="6" s="1" a="1"/>
  <c r="H32" i="6" s="1"/>
  <c r="F70" i="6"/>
  <c r="F71" i="6"/>
  <c r="F72" i="6"/>
  <c r="F73" i="6"/>
  <c r="F67" i="6"/>
  <c r="F66" i="6"/>
  <c r="U4" i="6" s="1" a="1"/>
  <c r="U4" i="6" s="1"/>
  <c r="F65" i="6"/>
  <c r="F47" i="6"/>
  <c r="F48" i="6"/>
  <c r="F49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H81" i="6" a="1"/>
  <c r="H81" i="6" s="1"/>
  <c r="F81" i="6"/>
  <c r="H80" i="6" a="1"/>
  <c r="H80" i="6" s="1"/>
  <c r="F80" i="6"/>
  <c r="H79" i="6" a="1"/>
  <c r="H79" i="6" s="1"/>
  <c r="F79" i="6"/>
  <c r="F78" i="6"/>
  <c r="H77" i="6" a="1"/>
  <c r="H77" i="6" s="1"/>
  <c r="F77" i="6"/>
  <c r="H76" i="6" a="1"/>
  <c r="H76" i="6" s="1"/>
  <c r="F76" i="6"/>
  <c r="H75" i="6" a="1"/>
  <c r="H75" i="6" s="1"/>
  <c r="F75" i="6"/>
  <c r="F74" i="6"/>
  <c r="H73" i="6" a="1"/>
  <c r="H73" i="6" s="1"/>
  <c r="H72" i="6" a="1"/>
  <c r="H72" i="6" s="1"/>
  <c r="H71" i="6" a="1"/>
  <c r="H71" i="6" s="1"/>
  <c r="H69" i="6" a="1"/>
  <c r="H69" i="6" s="1"/>
  <c r="H68" i="6" a="1"/>
  <c r="H68" i="6" s="1"/>
  <c r="H67" i="6" a="1"/>
  <c r="H67" i="6" s="1"/>
  <c r="H65" i="6" a="1"/>
  <c r="H65" i="6" s="1"/>
  <c r="H64" i="6" a="1"/>
  <c r="H64" i="6" s="1"/>
  <c r="F64" i="6"/>
  <c r="H63" i="6" a="1"/>
  <c r="H63" i="6" s="1"/>
  <c r="F63" i="6"/>
  <c r="F62" i="6"/>
  <c r="H61" i="6" a="1"/>
  <c r="H61" i="6" s="1"/>
  <c r="F61" i="6"/>
  <c r="H60" i="6" a="1"/>
  <c r="H60" i="6" s="1"/>
  <c r="F60" i="6"/>
  <c r="H59" i="6" a="1"/>
  <c r="H59" i="6" s="1"/>
  <c r="F59" i="6"/>
  <c r="F58" i="6"/>
  <c r="H57" i="6" a="1"/>
  <c r="H57" i="6" s="1"/>
  <c r="F57" i="6"/>
  <c r="H56" i="6" a="1"/>
  <c r="H56" i="6" s="1"/>
  <c r="F56" i="6"/>
  <c r="H55" i="6" a="1"/>
  <c r="H55" i="6" s="1"/>
  <c r="F55" i="6"/>
  <c r="F54" i="6"/>
  <c r="H53" i="6" a="1"/>
  <c r="H53" i="6" s="1"/>
  <c r="F53" i="6"/>
  <c r="H52" i="6" a="1"/>
  <c r="H52" i="6" s="1"/>
  <c r="F52" i="6"/>
  <c r="H51" i="6" a="1"/>
  <c r="H51" i="6" s="1"/>
  <c r="F51" i="6"/>
  <c r="F50" i="6"/>
  <c r="H49" i="6" a="1"/>
  <c r="H49" i="6" s="1"/>
  <c r="H48" i="6" a="1"/>
  <c r="H48" i="6" s="1"/>
  <c r="H47" i="6" a="1"/>
  <c r="H47" i="6" s="1"/>
  <c r="H45" i="6" a="1"/>
  <c r="H45" i="6" s="1"/>
  <c r="H44" i="6" a="1"/>
  <c r="H44" i="6" s="1"/>
  <c r="H43" i="6" a="1"/>
  <c r="H43" i="6" s="1"/>
  <c r="H41" i="6" a="1"/>
  <c r="H41" i="6" s="1"/>
  <c r="H40" i="6" a="1"/>
  <c r="H40" i="6" s="1"/>
  <c r="H39" i="6" a="1"/>
  <c r="H39" i="6" s="1"/>
  <c r="H37" i="6" a="1"/>
  <c r="H37" i="6" s="1"/>
  <c r="F37" i="6"/>
  <c r="F36" i="6"/>
  <c r="H35" i="6" a="1"/>
  <c r="H35" i="6" s="1"/>
  <c r="F35" i="6"/>
  <c r="F34" i="6"/>
  <c r="H33" i="6" a="1"/>
  <c r="H33" i="6" s="1"/>
  <c r="F33" i="6"/>
  <c r="F32" i="6"/>
  <c r="F31" i="6"/>
  <c r="F30" i="6"/>
  <c r="H29" i="6" a="1"/>
  <c r="H29" i="6" s="1"/>
  <c r="F29" i="6"/>
  <c r="H28" i="6" a="1"/>
  <c r="H28" i="6" s="1"/>
  <c r="F28" i="6"/>
  <c r="F27" i="6"/>
  <c r="F26" i="6"/>
  <c r="H25" i="6" a="1"/>
  <c r="H25" i="6" s="1"/>
  <c r="F25" i="6"/>
  <c r="H24" i="6" a="1"/>
  <c r="H24" i="6" s="1"/>
  <c r="F24" i="6"/>
  <c r="H23" i="6" a="1"/>
  <c r="H23" i="6" s="1"/>
  <c r="F23" i="6"/>
  <c r="F22" i="6"/>
  <c r="Y21" i="6" a="1"/>
  <c r="Y21" i="6" s="1"/>
  <c r="X21" i="6" a="1"/>
  <c r="X21" i="6" s="1"/>
  <c r="W21" i="6" a="1"/>
  <c r="W21" i="6" s="1"/>
  <c r="V21" i="6" a="1"/>
  <c r="V21" i="6" s="1"/>
  <c r="U21" i="6" a="1"/>
  <c r="U21" i="6" s="1"/>
  <c r="T21" i="6" a="1"/>
  <c r="T21" i="6" s="1"/>
  <c r="S21" i="6" a="1"/>
  <c r="S21" i="6" s="1"/>
  <c r="R21" i="6" a="1"/>
  <c r="R21" i="6" s="1"/>
  <c r="Q21" i="6" a="1"/>
  <c r="Q21" i="6" s="1"/>
  <c r="P21" i="6" a="1"/>
  <c r="P21" i="6" s="1"/>
  <c r="O21" i="6" a="1"/>
  <c r="O21" i="6" s="1"/>
  <c r="N21" i="6" a="1"/>
  <c r="N21" i="6" s="1"/>
  <c r="H21" i="6" a="1"/>
  <c r="H21" i="6" s="1"/>
  <c r="F21" i="6"/>
  <c r="H19" i="6" s="1" a="1"/>
  <c r="H19" i="6" s="1"/>
  <c r="Y20" i="6" a="1"/>
  <c r="Y20" i="6" s="1"/>
  <c r="X20" i="6" a="1"/>
  <c r="X20" i="6" s="1"/>
  <c r="W20" i="6" a="1"/>
  <c r="W20" i="6" s="1"/>
  <c r="V20" i="6" a="1"/>
  <c r="V20" i="6" s="1"/>
  <c r="U20" i="6" a="1"/>
  <c r="U20" i="6" s="1"/>
  <c r="T20" i="6" a="1"/>
  <c r="T20" i="6" s="1"/>
  <c r="S20" i="6" a="1"/>
  <c r="S20" i="6" s="1"/>
  <c r="R20" i="6" a="1"/>
  <c r="R20" i="6" s="1"/>
  <c r="Q20" i="6" a="1"/>
  <c r="Q20" i="6" s="1"/>
  <c r="P20" i="6" a="1"/>
  <c r="P20" i="6" s="1"/>
  <c r="O20" i="6" a="1"/>
  <c r="O20" i="6" s="1"/>
  <c r="N20" i="6" a="1"/>
  <c r="N20" i="6" s="1"/>
  <c r="H20" i="6" a="1"/>
  <c r="H20" i="6" s="1"/>
  <c r="F20" i="6"/>
  <c r="Y19" i="6" a="1"/>
  <c r="Y19" i="6" s="1"/>
  <c r="X19" i="6" a="1"/>
  <c r="X19" i="6" s="1"/>
  <c r="W19" i="6" a="1"/>
  <c r="W19" i="6" s="1"/>
  <c r="V19" i="6" a="1"/>
  <c r="V19" i="6" s="1"/>
  <c r="U19" i="6" a="1"/>
  <c r="U19" i="6" s="1"/>
  <c r="T19" i="6" a="1"/>
  <c r="T19" i="6" s="1"/>
  <c r="S19" i="6" a="1"/>
  <c r="S19" i="6" s="1"/>
  <c r="R19" i="6" a="1"/>
  <c r="R19" i="6" s="1"/>
  <c r="Q19" i="6" a="1"/>
  <c r="Q19" i="6" s="1"/>
  <c r="P19" i="6" a="1"/>
  <c r="P19" i="6" s="1"/>
  <c r="O19" i="6" a="1"/>
  <c r="O19" i="6" s="1"/>
  <c r="N19" i="6" a="1"/>
  <c r="N19" i="6" s="1"/>
  <c r="F19" i="6"/>
  <c r="Y18" i="6" a="1"/>
  <c r="Y18" i="6" s="1"/>
  <c r="X18" i="6" a="1"/>
  <c r="X18" i="6" s="1"/>
  <c r="W18" i="6" a="1"/>
  <c r="W18" i="6" s="1"/>
  <c r="V18" i="6" a="1"/>
  <c r="V18" i="6" s="1"/>
  <c r="U18" i="6" a="1"/>
  <c r="U18" i="6" s="1"/>
  <c r="T18" i="6" a="1"/>
  <c r="T18" i="6" s="1"/>
  <c r="S18" i="6" a="1"/>
  <c r="S18" i="6" s="1"/>
  <c r="R18" i="6" a="1"/>
  <c r="R18" i="6" s="1"/>
  <c r="Q18" i="6" a="1"/>
  <c r="Q18" i="6" s="1"/>
  <c r="P18" i="6" a="1"/>
  <c r="P18" i="6" s="1"/>
  <c r="O18" i="6" a="1"/>
  <c r="O18" i="6" s="1"/>
  <c r="N18" i="6" a="1"/>
  <c r="N18" i="6" s="1"/>
  <c r="F18" i="6"/>
  <c r="Y17" i="6" a="1"/>
  <c r="Y17" i="6" s="1"/>
  <c r="X17" i="6" a="1"/>
  <c r="X17" i="6" s="1"/>
  <c r="W17" i="6" a="1"/>
  <c r="W17" i="6" s="1"/>
  <c r="V17" i="6" a="1"/>
  <c r="V17" i="6" s="1"/>
  <c r="U17" i="6" a="1"/>
  <c r="U17" i="6" s="1"/>
  <c r="T17" i="6" a="1"/>
  <c r="T17" i="6" s="1"/>
  <c r="S17" i="6" a="1"/>
  <c r="S17" i="6" s="1"/>
  <c r="R17" i="6" a="1"/>
  <c r="R17" i="6" s="1"/>
  <c r="Q17" i="6" a="1"/>
  <c r="Q17" i="6" s="1"/>
  <c r="P17" i="6" a="1"/>
  <c r="P17" i="6" s="1"/>
  <c r="O17" i="6" a="1"/>
  <c r="O17" i="6" s="1"/>
  <c r="N17" i="6" a="1"/>
  <c r="N17" i="6" s="1"/>
  <c r="H17" i="6" a="1"/>
  <c r="H17" i="6" s="1"/>
  <c r="F17" i="6"/>
  <c r="Y16" i="6" a="1"/>
  <c r="Y16" i="6" s="1"/>
  <c r="X16" i="6" a="1"/>
  <c r="X16" i="6" s="1"/>
  <c r="W16" i="6" a="1"/>
  <c r="W16" i="6" s="1"/>
  <c r="V16" i="6" a="1"/>
  <c r="V16" i="6" s="1"/>
  <c r="U16" i="6" a="1"/>
  <c r="U16" i="6" s="1"/>
  <c r="T16" i="6" a="1"/>
  <c r="T16" i="6" s="1"/>
  <c r="S16" i="6" a="1"/>
  <c r="S16" i="6" s="1"/>
  <c r="R16" i="6" a="1"/>
  <c r="R16" i="6" s="1"/>
  <c r="Q16" i="6" a="1"/>
  <c r="Q16" i="6" s="1"/>
  <c r="P16" i="6" a="1"/>
  <c r="P16" i="6" s="1"/>
  <c r="O16" i="6" a="1"/>
  <c r="O16" i="6" s="1"/>
  <c r="N16" i="6" a="1"/>
  <c r="N16" i="6" s="1"/>
  <c r="H16" i="6" a="1"/>
  <c r="H16" i="6" s="1"/>
  <c r="F16" i="6"/>
  <c r="Y15" i="6" a="1"/>
  <c r="Y15" i="6" s="1"/>
  <c r="X15" i="6" a="1"/>
  <c r="X15" i="6" s="1"/>
  <c r="W15" i="6" a="1"/>
  <c r="W15" i="6" s="1"/>
  <c r="V15" i="6" a="1"/>
  <c r="V15" i="6" s="1"/>
  <c r="U15" i="6" a="1"/>
  <c r="U15" i="6" s="1"/>
  <c r="T15" i="6" a="1"/>
  <c r="T15" i="6" s="1"/>
  <c r="S15" i="6" a="1"/>
  <c r="S15" i="6" s="1"/>
  <c r="R15" i="6" a="1"/>
  <c r="R15" i="6" s="1"/>
  <c r="Q15" i="6" a="1"/>
  <c r="Q15" i="6" s="1"/>
  <c r="P15" i="6" a="1"/>
  <c r="P15" i="6" s="1"/>
  <c r="O15" i="6" a="1"/>
  <c r="O15" i="6" s="1"/>
  <c r="N15" i="6" a="1"/>
  <c r="N15" i="6" s="1"/>
  <c r="H15" i="6" a="1"/>
  <c r="H15" i="6" s="1"/>
  <c r="F15" i="6"/>
  <c r="Y14" i="6" a="1"/>
  <c r="Y14" i="6" s="1"/>
  <c r="X14" i="6" a="1"/>
  <c r="X14" i="6" s="1"/>
  <c r="W14" i="6" a="1"/>
  <c r="W14" i="6" s="1"/>
  <c r="V14" i="6" a="1"/>
  <c r="V14" i="6" s="1"/>
  <c r="U14" i="6" a="1"/>
  <c r="U14" i="6" s="1"/>
  <c r="T14" i="6" a="1"/>
  <c r="T14" i="6" s="1"/>
  <c r="S14" i="6" a="1"/>
  <c r="S14" i="6" s="1"/>
  <c r="R14" i="6" a="1"/>
  <c r="R14" i="6" s="1"/>
  <c r="Q14" i="6" a="1"/>
  <c r="Q14" i="6" s="1"/>
  <c r="P14" i="6" a="1"/>
  <c r="P14" i="6" s="1"/>
  <c r="O14" i="6" a="1"/>
  <c r="O14" i="6" s="1"/>
  <c r="N14" i="6" a="1"/>
  <c r="N14" i="6" s="1"/>
  <c r="F14" i="6"/>
  <c r="Y13" i="6" a="1"/>
  <c r="Y13" i="6" s="1"/>
  <c r="X13" i="6" a="1"/>
  <c r="X13" i="6" s="1"/>
  <c r="W13" i="6" a="1"/>
  <c r="W13" i="6" s="1"/>
  <c r="V13" i="6" a="1"/>
  <c r="V13" i="6" s="1"/>
  <c r="U13" i="6" a="1"/>
  <c r="U13" i="6" s="1"/>
  <c r="T13" i="6" a="1"/>
  <c r="T13" i="6" s="1"/>
  <c r="S13" i="6" a="1"/>
  <c r="S13" i="6" s="1"/>
  <c r="R13" i="6" a="1"/>
  <c r="R13" i="6" s="1"/>
  <c r="Q13" i="6" a="1"/>
  <c r="Q13" i="6" s="1"/>
  <c r="P13" i="6" a="1"/>
  <c r="P13" i="6" s="1"/>
  <c r="O13" i="6" a="1"/>
  <c r="O13" i="6" s="1"/>
  <c r="N13" i="6" a="1"/>
  <c r="N13" i="6" s="1"/>
  <c r="H13" i="6" a="1"/>
  <c r="H13" i="6" s="1"/>
  <c r="F13" i="6"/>
  <c r="Y12" i="6" a="1"/>
  <c r="Y12" i="6" s="1"/>
  <c r="X12" i="6" a="1"/>
  <c r="X12" i="6" s="1"/>
  <c r="W12" i="6" a="1"/>
  <c r="W12" i="6" s="1"/>
  <c r="V12" i="6" a="1"/>
  <c r="V12" i="6" s="1"/>
  <c r="U12" i="6" a="1"/>
  <c r="U12" i="6" s="1"/>
  <c r="T12" i="6" a="1"/>
  <c r="T12" i="6" s="1"/>
  <c r="S12" i="6" a="1"/>
  <c r="S12" i="6" s="1"/>
  <c r="R12" i="6" a="1"/>
  <c r="R12" i="6" s="1"/>
  <c r="Q12" i="6" a="1"/>
  <c r="Q12" i="6" s="1"/>
  <c r="P12" i="6" a="1"/>
  <c r="P12" i="6" s="1"/>
  <c r="O12" i="6" a="1"/>
  <c r="O12" i="6" s="1"/>
  <c r="N12" i="6" a="1"/>
  <c r="N12" i="6" s="1"/>
  <c r="H12" i="6" a="1"/>
  <c r="H12" i="6" s="1"/>
  <c r="F12" i="6"/>
  <c r="H11" i="6" s="1" a="1"/>
  <c r="H11" i="6" s="1"/>
  <c r="Y11" i="6" a="1"/>
  <c r="Y11" i="6" s="1"/>
  <c r="X11" i="6" a="1"/>
  <c r="X11" i="6" s="1"/>
  <c r="W11" i="6" a="1"/>
  <c r="W11" i="6" s="1"/>
  <c r="V11" i="6" a="1"/>
  <c r="V11" i="6" s="1"/>
  <c r="U11" i="6" a="1"/>
  <c r="U11" i="6" s="1"/>
  <c r="T11" i="6" a="1"/>
  <c r="T11" i="6" s="1"/>
  <c r="S11" i="6" a="1"/>
  <c r="S11" i="6" s="1"/>
  <c r="R11" i="6" a="1"/>
  <c r="R11" i="6" s="1"/>
  <c r="Q11" i="6" a="1"/>
  <c r="Q11" i="6" s="1"/>
  <c r="P11" i="6" a="1"/>
  <c r="P11" i="6" s="1"/>
  <c r="O11" i="6" a="1"/>
  <c r="O11" i="6" s="1"/>
  <c r="N11" i="6" a="1"/>
  <c r="N11" i="6" s="1"/>
  <c r="F11" i="6"/>
  <c r="Y10" i="6" a="1"/>
  <c r="Y10" i="6" s="1"/>
  <c r="X10" i="6" a="1"/>
  <c r="X10" i="6" s="1"/>
  <c r="W10" i="6" a="1"/>
  <c r="W10" i="6" s="1"/>
  <c r="V10" i="6" a="1"/>
  <c r="V10" i="6" s="1"/>
  <c r="U10" i="6" a="1"/>
  <c r="U10" i="6" s="1"/>
  <c r="T10" i="6" a="1"/>
  <c r="T10" i="6" s="1"/>
  <c r="S10" i="6" a="1"/>
  <c r="S10" i="6" s="1"/>
  <c r="R10" i="6" a="1"/>
  <c r="R10" i="6" s="1"/>
  <c r="Q10" i="6" a="1"/>
  <c r="Q10" i="6" s="1"/>
  <c r="P10" i="6" a="1"/>
  <c r="P10" i="6" s="1"/>
  <c r="O10" i="6" a="1"/>
  <c r="O10" i="6" s="1"/>
  <c r="N10" i="6" a="1"/>
  <c r="N10" i="6" s="1"/>
  <c r="F10" i="6"/>
  <c r="N6" i="6" s="1" a="1"/>
  <c r="N6" i="6" s="1"/>
  <c r="Y9" i="6" a="1"/>
  <c r="Y9" i="6" s="1"/>
  <c r="X9" i="6" a="1"/>
  <c r="X9" i="6" s="1"/>
  <c r="W9" i="6" a="1"/>
  <c r="W9" i="6" s="1"/>
  <c r="V9" i="6" a="1"/>
  <c r="V9" i="6" s="1"/>
  <c r="U9" i="6" a="1"/>
  <c r="U9" i="6" s="1"/>
  <c r="T9" i="6" a="1"/>
  <c r="T9" i="6" s="1"/>
  <c r="S9" i="6" a="1"/>
  <c r="S9" i="6" s="1"/>
  <c r="R9" i="6" a="1"/>
  <c r="R9" i="6" s="1"/>
  <c r="Q9" i="6" a="1"/>
  <c r="Q9" i="6" s="1"/>
  <c r="P9" i="6" a="1"/>
  <c r="P9" i="6" s="1"/>
  <c r="O9" i="6" a="1"/>
  <c r="O9" i="6" s="1"/>
  <c r="N9" i="6" a="1"/>
  <c r="N9" i="6" s="1"/>
  <c r="F9" i="6"/>
  <c r="Y8" i="6" a="1"/>
  <c r="Y8" i="6" s="1"/>
  <c r="X8" i="6" a="1"/>
  <c r="X8" i="6" s="1"/>
  <c r="W8" i="6" a="1"/>
  <c r="W8" i="6" s="1"/>
  <c r="V8" i="6" a="1"/>
  <c r="V8" i="6" s="1"/>
  <c r="U8" i="6" a="1"/>
  <c r="U8" i="6" s="1"/>
  <c r="T8" i="6" a="1"/>
  <c r="T8" i="6" s="1"/>
  <c r="S8" i="6" a="1"/>
  <c r="S8" i="6" s="1"/>
  <c r="R8" i="6" a="1"/>
  <c r="R8" i="6" s="1"/>
  <c r="Q8" i="6" a="1"/>
  <c r="Q8" i="6" s="1"/>
  <c r="P8" i="6" a="1"/>
  <c r="P8" i="6" s="1"/>
  <c r="O8" i="6" a="1"/>
  <c r="O8" i="6" s="1"/>
  <c r="N8" i="6" a="1"/>
  <c r="N8" i="6" s="1"/>
  <c r="F8" i="6"/>
  <c r="Y7" i="6" a="1"/>
  <c r="Y7" i="6" s="1"/>
  <c r="X7" i="6" a="1"/>
  <c r="X7" i="6" s="1"/>
  <c r="W7" i="6" a="1"/>
  <c r="W7" i="6" s="1"/>
  <c r="V7" i="6" a="1"/>
  <c r="V7" i="6" s="1"/>
  <c r="U7" i="6" a="1"/>
  <c r="U7" i="6" s="1"/>
  <c r="T7" i="6" a="1"/>
  <c r="T7" i="6" s="1"/>
  <c r="S7" i="6" a="1"/>
  <c r="S7" i="6" s="1"/>
  <c r="R7" i="6" a="1"/>
  <c r="R7" i="6" s="1"/>
  <c r="Q7" i="6" a="1"/>
  <c r="Q7" i="6" s="1"/>
  <c r="P7" i="6" a="1"/>
  <c r="P7" i="6" s="1"/>
  <c r="O7" i="6" a="1"/>
  <c r="O7" i="6" s="1"/>
  <c r="N7" i="6" a="1"/>
  <c r="N7" i="6" s="1"/>
  <c r="H7" i="6" a="1"/>
  <c r="H7" i="6" s="1"/>
  <c r="F7" i="6"/>
  <c r="Y6" i="6" a="1"/>
  <c r="Y6" i="6" s="1"/>
  <c r="X6" i="6" a="1"/>
  <c r="X6" i="6" s="1"/>
  <c r="W6" i="6" a="1"/>
  <c r="W6" i="6" s="1"/>
  <c r="V6" i="6" a="1"/>
  <c r="V6" i="6" s="1"/>
  <c r="U6" i="6" a="1"/>
  <c r="U6" i="6" s="1"/>
  <c r="T6" i="6" a="1"/>
  <c r="T6" i="6" s="1"/>
  <c r="S6" i="6" a="1"/>
  <c r="S6" i="6" s="1"/>
  <c r="R6" i="6" a="1"/>
  <c r="R6" i="6" s="1"/>
  <c r="Q6" i="6" a="1"/>
  <c r="Q6" i="6" s="1"/>
  <c r="P6" i="6" a="1"/>
  <c r="P6" i="6" s="1"/>
  <c r="F6" i="6"/>
  <c r="H4" i="6" s="1" a="1"/>
  <c r="H4" i="6" s="1"/>
  <c r="Y5" i="6" a="1"/>
  <c r="Y5" i="6" s="1"/>
  <c r="X5" i="6" a="1"/>
  <c r="X5" i="6" s="1"/>
  <c r="W5" i="6" a="1"/>
  <c r="W5" i="6" s="1"/>
  <c r="U5" i="6" a="1"/>
  <c r="U5" i="6" s="1"/>
  <c r="T5" i="6" a="1"/>
  <c r="T5" i="6" s="1"/>
  <c r="S5" i="6" a="1"/>
  <c r="S5" i="6" s="1"/>
  <c r="R5" i="6" a="1"/>
  <c r="R5" i="6" s="1"/>
  <c r="Q5" i="6" a="1"/>
  <c r="Q5" i="6" s="1"/>
  <c r="P5" i="6" a="1"/>
  <c r="P5" i="6" s="1"/>
  <c r="O5" i="6" a="1"/>
  <c r="O5" i="6" s="1"/>
  <c r="N5" i="6" a="1"/>
  <c r="N5" i="6" s="1"/>
  <c r="F5" i="6"/>
  <c r="Y4" i="6" a="1"/>
  <c r="Y4" i="6" s="1"/>
  <c r="X4" i="6" a="1"/>
  <c r="X4" i="6" s="1"/>
  <c r="W4" i="6" a="1"/>
  <c r="W4" i="6" s="1"/>
  <c r="V4" i="6" a="1"/>
  <c r="V4" i="6" s="1"/>
  <c r="S4" i="6" a="1"/>
  <c r="S4" i="6" s="1"/>
  <c r="R4" i="6" a="1"/>
  <c r="R4" i="6" s="1"/>
  <c r="Q4" i="6" a="1"/>
  <c r="Q4" i="6" s="1"/>
  <c r="O4" i="6" a="1"/>
  <c r="O4" i="6" s="1"/>
  <c r="N4" i="6" a="1"/>
  <c r="N4" i="6" s="1"/>
  <c r="F4" i="6"/>
  <c r="H3" i="6" a="1"/>
  <c r="H3" i="6" s="1"/>
  <c r="F3" i="6"/>
  <c r="F2" i="6"/>
  <c r="C12" i="5"/>
  <c r="D12" i="5"/>
  <c r="E12" i="5"/>
  <c r="F12" i="5"/>
  <c r="G12" i="5"/>
  <c r="H12" i="5"/>
  <c r="I12" i="5"/>
  <c r="B12" i="5"/>
  <c r="H31" i="6" l="1" a="1"/>
  <c r="H31" i="6" s="1"/>
  <c r="J33" i="6" s="1"/>
  <c r="H5" i="6" a="1"/>
  <c r="H5" i="6" s="1"/>
  <c r="J5" i="6" s="1"/>
  <c r="O6" i="6" a="1"/>
  <c r="O6" i="6" s="1"/>
  <c r="O23" i="6" s="1"/>
  <c r="J17" i="6"/>
  <c r="X23" i="6"/>
  <c r="J9" i="6"/>
  <c r="I9" i="6"/>
  <c r="J25" i="6"/>
  <c r="I25" i="6"/>
  <c r="J73" i="6"/>
  <c r="I73" i="6"/>
  <c r="X25" i="6"/>
  <c r="S23" i="6"/>
  <c r="J77" i="6"/>
  <c r="I77" i="6"/>
  <c r="Q25" i="6"/>
  <c r="Q23" i="6"/>
  <c r="W25" i="6"/>
  <c r="J69" i="6"/>
  <c r="I69" i="6"/>
  <c r="J65" i="6"/>
  <c r="I65" i="6"/>
  <c r="J61" i="6"/>
  <c r="I61" i="6"/>
  <c r="V5" i="6" a="1"/>
  <c r="V5" i="6" s="1"/>
  <c r="V25" i="6" s="1"/>
  <c r="H36" i="6" a="1"/>
  <c r="H36" i="6" s="1"/>
  <c r="J37" i="6" s="1"/>
  <c r="J57" i="6"/>
  <c r="I57" i="6"/>
  <c r="R23" i="6"/>
  <c r="R25" i="6"/>
  <c r="T4" i="6" a="1"/>
  <c r="T4" i="6" s="1"/>
  <c r="H27" i="6" a="1"/>
  <c r="H27" i="6" s="1"/>
  <c r="I33" i="6"/>
  <c r="J53" i="6"/>
  <c r="I53" i="6"/>
  <c r="I17" i="6"/>
  <c r="N25" i="6"/>
  <c r="N23" i="6"/>
  <c r="Y25" i="6"/>
  <c r="Y23" i="6"/>
  <c r="U23" i="6"/>
  <c r="U25" i="6"/>
  <c r="I13" i="6"/>
  <c r="J13" i="6"/>
  <c r="J21" i="6"/>
  <c r="I21" i="6"/>
  <c r="J41" i="6"/>
  <c r="I41" i="6"/>
  <c r="J45" i="6"/>
  <c r="I45" i="6"/>
  <c r="J49" i="6"/>
  <c r="I49" i="6"/>
  <c r="J81" i="6"/>
  <c r="I81" i="6"/>
  <c r="P4" i="6" a="1"/>
  <c r="P4" i="6" s="1"/>
  <c r="W23" i="6"/>
  <c r="S25" i="6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H20" i="4" s="1" a="1"/>
  <c r="H20" i="4" s="1"/>
  <c r="F25" i="4"/>
  <c r="F26" i="4"/>
  <c r="F27" i="4"/>
  <c r="F28" i="4"/>
  <c r="F29" i="4"/>
  <c r="F30" i="4"/>
  <c r="F31" i="4"/>
  <c r="F32" i="4"/>
  <c r="H28" i="4" s="1" a="1"/>
  <c r="H28" i="4" s="1"/>
  <c r="F33" i="4"/>
  <c r="F34" i="4"/>
  <c r="F35" i="4"/>
  <c r="F36" i="4"/>
  <c r="H29" i="4" s="1" a="1"/>
  <c r="H29" i="4" s="1"/>
  <c r="F37" i="4"/>
  <c r="F38" i="4"/>
  <c r="F39" i="4"/>
  <c r="F40" i="4"/>
  <c r="F41" i="4"/>
  <c r="F42" i="4"/>
  <c r="F43" i="4"/>
  <c r="F44" i="4"/>
  <c r="H37" i="4" s="1" a="1"/>
  <c r="H37" i="4" s="1"/>
  <c r="F45" i="4"/>
  <c r="F46" i="4"/>
  <c r="F47" i="4"/>
  <c r="F48" i="4"/>
  <c r="H43" i="4" s="1" a="1"/>
  <c r="H43" i="4" s="1"/>
  <c r="F49" i="4"/>
  <c r="F50" i="4"/>
  <c r="F51" i="4"/>
  <c r="F52" i="4"/>
  <c r="F53" i="4"/>
  <c r="F54" i="4"/>
  <c r="F55" i="4"/>
  <c r="F2" i="4"/>
  <c r="F4" i="4"/>
  <c r="F3" i="4"/>
  <c r="F109" i="4"/>
  <c r="F108" i="4"/>
  <c r="F107" i="4"/>
  <c r="F106" i="4"/>
  <c r="F105" i="4"/>
  <c r="F104" i="4"/>
  <c r="H48" i="4" s="1" a="1"/>
  <c r="H48" i="4" s="1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H81" i="4" a="1"/>
  <c r="H81" i="4" s="1"/>
  <c r="F81" i="4"/>
  <c r="H25" i="4" s="1" a="1"/>
  <c r="H25" i="4" s="1"/>
  <c r="H80" i="4" a="1"/>
  <c r="H80" i="4" s="1"/>
  <c r="F80" i="4"/>
  <c r="H79" i="4" a="1"/>
  <c r="H79" i="4" s="1"/>
  <c r="F79" i="4"/>
  <c r="F78" i="4"/>
  <c r="H24" i="4" s="1" a="1"/>
  <c r="H24" i="4" s="1"/>
  <c r="H77" i="4" a="1"/>
  <c r="H77" i="4" s="1"/>
  <c r="F77" i="4"/>
  <c r="H76" i="4" a="1"/>
  <c r="H76" i="4" s="1"/>
  <c r="F76" i="4"/>
  <c r="H75" i="4" a="1"/>
  <c r="H75" i="4" s="1"/>
  <c r="F75" i="4"/>
  <c r="F74" i="4"/>
  <c r="H23" i="4" s="1" a="1"/>
  <c r="H23" i="4" s="1"/>
  <c r="H73" i="4" a="1"/>
  <c r="H73" i="4" s="1"/>
  <c r="F73" i="4"/>
  <c r="H72" i="4" a="1"/>
  <c r="H72" i="4" s="1"/>
  <c r="F72" i="4"/>
  <c r="H71" i="4" a="1"/>
  <c r="H71" i="4" s="1"/>
  <c r="F71" i="4"/>
  <c r="F70" i="4"/>
  <c r="H69" i="4" a="1"/>
  <c r="H69" i="4" s="1"/>
  <c r="F69" i="4"/>
  <c r="H68" i="4" a="1"/>
  <c r="H68" i="4" s="1"/>
  <c r="F68" i="4"/>
  <c r="H67" i="4" a="1"/>
  <c r="H67" i="4" s="1"/>
  <c r="F67" i="4"/>
  <c r="F66" i="4"/>
  <c r="H65" i="4" a="1"/>
  <c r="H65" i="4" s="1"/>
  <c r="F65" i="4"/>
  <c r="H64" i="4" a="1"/>
  <c r="H64" i="4" s="1"/>
  <c r="F64" i="4"/>
  <c r="H63" i="4" a="1"/>
  <c r="H63" i="4" s="1"/>
  <c r="F63" i="4"/>
  <c r="F62" i="4"/>
  <c r="H61" i="4" a="1"/>
  <c r="H61" i="4" s="1"/>
  <c r="F61" i="4"/>
  <c r="H60" i="4" a="1"/>
  <c r="H60" i="4" s="1"/>
  <c r="F60" i="4"/>
  <c r="H59" i="4" a="1"/>
  <c r="H59" i="4" s="1"/>
  <c r="F59" i="4"/>
  <c r="F58" i="4"/>
  <c r="H57" i="4" a="1"/>
  <c r="H57" i="4" s="1"/>
  <c r="F57" i="4"/>
  <c r="H56" i="4" a="1"/>
  <c r="H56" i="4" s="1"/>
  <c r="F56" i="4"/>
  <c r="H55" i="4" a="1"/>
  <c r="H55" i="4" s="1"/>
  <c r="H53" i="4" a="1"/>
  <c r="H53" i="4" s="1"/>
  <c r="H52" i="4" a="1"/>
  <c r="H52" i="4" s="1"/>
  <c r="H51" i="4" a="1"/>
  <c r="H51" i="4" s="1"/>
  <c r="H49" i="4" a="1"/>
  <c r="H49" i="4" s="1"/>
  <c r="H47" i="4" a="1"/>
  <c r="H47" i="4" s="1"/>
  <c r="H45" i="4" a="1"/>
  <c r="H45" i="4" s="1"/>
  <c r="H44" i="4" a="1"/>
  <c r="H44" i="4" s="1"/>
  <c r="H41" i="4" a="1"/>
  <c r="H41" i="4" s="1"/>
  <c r="H40" i="4" a="1"/>
  <c r="H40" i="4" s="1"/>
  <c r="H39" i="4" a="1"/>
  <c r="H39" i="4" s="1"/>
  <c r="H36" i="4" a="1"/>
  <c r="H36" i="4" s="1"/>
  <c r="H35" i="4" a="1"/>
  <c r="H35" i="4" s="1"/>
  <c r="H33" i="4" a="1"/>
  <c r="H33" i="4" s="1"/>
  <c r="H32" i="4" a="1"/>
  <c r="H32" i="4" s="1"/>
  <c r="H31" i="4" a="1"/>
  <c r="H31" i="4" s="1"/>
  <c r="H27" i="4" a="1"/>
  <c r="H27" i="4" s="1"/>
  <c r="Y21" i="4" a="1"/>
  <c r="Y21" i="4" s="1"/>
  <c r="X21" i="4" a="1"/>
  <c r="X21" i="4" s="1"/>
  <c r="W21" i="4" a="1"/>
  <c r="W21" i="4" s="1"/>
  <c r="V21" i="4" a="1"/>
  <c r="V21" i="4" s="1"/>
  <c r="U21" i="4" a="1"/>
  <c r="U21" i="4" s="1"/>
  <c r="T21" i="4" a="1"/>
  <c r="T21" i="4" s="1"/>
  <c r="S21" i="4" a="1"/>
  <c r="S21" i="4" s="1"/>
  <c r="R21" i="4" a="1"/>
  <c r="R21" i="4" s="1"/>
  <c r="Q21" i="4" a="1"/>
  <c r="Q21" i="4" s="1"/>
  <c r="P21" i="4" a="1"/>
  <c r="P21" i="4" s="1"/>
  <c r="O21" i="4" a="1"/>
  <c r="O21" i="4" s="1"/>
  <c r="N21" i="4" a="1"/>
  <c r="N21" i="4" s="1"/>
  <c r="H21" i="4" a="1"/>
  <c r="H21" i="4" s="1"/>
  <c r="Y20" i="4" a="1"/>
  <c r="Y20" i="4" s="1"/>
  <c r="X20" i="4" a="1"/>
  <c r="X20" i="4" s="1"/>
  <c r="W20" i="4" a="1"/>
  <c r="W20" i="4" s="1"/>
  <c r="V20" i="4" a="1"/>
  <c r="V20" i="4" s="1"/>
  <c r="U20" i="4" a="1"/>
  <c r="U20" i="4" s="1"/>
  <c r="T20" i="4" a="1"/>
  <c r="T20" i="4" s="1"/>
  <c r="S20" i="4" a="1"/>
  <c r="S20" i="4" s="1"/>
  <c r="R20" i="4" a="1"/>
  <c r="R20" i="4" s="1"/>
  <c r="Q20" i="4" a="1"/>
  <c r="Q20" i="4" s="1"/>
  <c r="P20" i="4" a="1"/>
  <c r="P20" i="4" s="1"/>
  <c r="O20" i="4" a="1"/>
  <c r="O20" i="4" s="1"/>
  <c r="N20" i="4" a="1"/>
  <c r="N20" i="4" s="1"/>
  <c r="Y19" i="4" a="1"/>
  <c r="Y19" i="4" s="1"/>
  <c r="X19" i="4" a="1"/>
  <c r="X19" i="4" s="1"/>
  <c r="W19" i="4" a="1"/>
  <c r="W19" i="4" s="1"/>
  <c r="V19" i="4" a="1"/>
  <c r="V19" i="4" s="1"/>
  <c r="U19" i="4" a="1"/>
  <c r="U19" i="4" s="1"/>
  <c r="T19" i="4" a="1"/>
  <c r="T19" i="4" s="1"/>
  <c r="S19" i="4" a="1"/>
  <c r="S19" i="4" s="1"/>
  <c r="R19" i="4" a="1"/>
  <c r="R19" i="4" s="1"/>
  <c r="Q19" i="4" a="1"/>
  <c r="Q19" i="4" s="1"/>
  <c r="P19" i="4" a="1"/>
  <c r="P19" i="4" s="1"/>
  <c r="O19" i="4" a="1"/>
  <c r="O19" i="4" s="1"/>
  <c r="N19" i="4" a="1"/>
  <c r="N19" i="4" s="1"/>
  <c r="H19" i="4" a="1"/>
  <c r="H19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Y17" i="4" a="1"/>
  <c r="Y17" i="4" s="1"/>
  <c r="X17" i="4" a="1"/>
  <c r="X17" i="4" s="1"/>
  <c r="W17" i="4" a="1"/>
  <c r="W17" i="4" s="1"/>
  <c r="V17" i="4" a="1"/>
  <c r="V17" i="4" s="1"/>
  <c r="U17" i="4" a="1"/>
  <c r="U17" i="4" s="1"/>
  <c r="T17" i="4" a="1"/>
  <c r="T17" i="4" s="1"/>
  <c r="S17" i="4" a="1"/>
  <c r="S17" i="4" s="1"/>
  <c r="R17" i="4" a="1"/>
  <c r="R17" i="4" s="1"/>
  <c r="Q17" i="4" a="1"/>
  <c r="Q17" i="4" s="1"/>
  <c r="P17" i="4" a="1"/>
  <c r="P17" i="4" s="1"/>
  <c r="O17" i="4" a="1"/>
  <c r="O17" i="4" s="1"/>
  <c r="N17" i="4" a="1"/>
  <c r="N17" i="4" s="1"/>
  <c r="H17" i="4" a="1"/>
  <c r="H17" i="4" s="1"/>
  <c r="Y16" i="4" a="1"/>
  <c r="Y16" i="4" s="1"/>
  <c r="X16" i="4" a="1"/>
  <c r="X16" i="4" s="1"/>
  <c r="W16" i="4" a="1"/>
  <c r="W16" i="4" s="1"/>
  <c r="V16" i="4" a="1"/>
  <c r="V16" i="4" s="1"/>
  <c r="U16" i="4" a="1"/>
  <c r="U16" i="4" s="1"/>
  <c r="T16" i="4" a="1"/>
  <c r="T16" i="4" s="1"/>
  <c r="S16" i="4" a="1"/>
  <c r="S16" i="4" s="1"/>
  <c r="R16" i="4" a="1"/>
  <c r="R16" i="4" s="1"/>
  <c r="Q16" i="4" a="1"/>
  <c r="Q16" i="4" s="1"/>
  <c r="P16" i="4" a="1"/>
  <c r="P16" i="4" s="1"/>
  <c r="O16" i="4" a="1"/>
  <c r="O16" i="4" s="1"/>
  <c r="N16" i="4" a="1"/>
  <c r="N16" i="4" s="1"/>
  <c r="H16" i="4" a="1"/>
  <c r="H16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 a="1"/>
  <c r="T15" i="4" s="1"/>
  <c r="S15" i="4" a="1"/>
  <c r="S15" i="4" s="1"/>
  <c r="R15" i="4" a="1"/>
  <c r="R15" i="4" s="1"/>
  <c r="Q15" i="4" a="1"/>
  <c r="Q15" i="4" s="1"/>
  <c r="P15" i="4" a="1"/>
  <c r="P15" i="4" s="1"/>
  <c r="O15" i="4" a="1"/>
  <c r="O15" i="4" s="1"/>
  <c r="N15" i="4" a="1"/>
  <c r="N15" i="4" s="1"/>
  <c r="H15" i="4" a="1"/>
  <c r="H15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 a="1"/>
  <c r="R14" i="4" s="1"/>
  <c r="Q14" i="4" a="1"/>
  <c r="Q14" i="4" s="1"/>
  <c r="P14" i="4" a="1"/>
  <c r="P14" i="4" s="1"/>
  <c r="O14" i="4" a="1"/>
  <c r="O14" i="4" s="1"/>
  <c r="N14" i="4" a="1"/>
  <c r="N14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 a="1"/>
  <c r="S13" i="4" s="1"/>
  <c r="R13" i="4" a="1"/>
  <c r="R13" i="4" s="1"/>
  <c r="Q13" i="4" a="1"/>
  <c r="Q13" i="4" s="1"/>
  <c r="P13" i="4" a="1"/>
  <c r="P13" i="4" s="1"/>
  <c r="O13" i="4" a="1"/>
  <c r="O13" i="4" s="1"/>
  <c r="N13" i="4" a="1"/>
  <c r="N13" i="4" s="1"/>
  <c r="H13" i="4" a="1"/>
  <c r="H13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Q12" i="4" a="1"/>
  <c r="Q12" i="4" s="1"/>
  <c r="P12" i="4" a="1"/>
  <c r="P12" i="4" s="1"/>
  <c r="O12" i="4" a="1"/>
  <c r="O12" i="4" s="1"/>
  <c r="N12" i="4" a="1"/>
  <c r="N12" i="4" s="1"/>
  <c r="H12" i="4" a="1"/>
  <c r="H12" i="4" s="1"/>
  <c r="P4" i="4" a="1"/>
  <c r="P4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 a="1"/>
  <c r="R11" i="4" s="1"/>
  <c r="Q11" i="4" a="1"/>
  <c r="Q11" i="4" s="1"/>
  <c r="P11" i="4" a="1"/>
  <c r="P11" i="4" s="1"/>
  <c r="O11" i="4" a="1"/>
  <c r="O11" i="4" s="1"/>
  <c r="N11" i="4" a="1"/>
  <c r="N11" i="4" s="1"/>
  <c r="Y10" i="4" a="1"/>
  <c r="Y10" i="4" s="1"/>
  <c r="X10" i="4" a="1"/>
  <c r="X10" i="4" s="1"/>
  <c r="W10" i="4" a="1"/>
  <c r="W10" i="4" s="1"/>
  <c r="V10" i="4" a="1"/>
  <c r="V10" i="4" s="1"/>
  <c r="U10" i="4" a="1"/>
  <c r="U10" i="4" s="1"/>
  <c r="T10" i="4" a="1"/>
  <c r="T10" i="4" s="1"/>
  <c r="S10" i="4" a="1"/>
  <c r="S10" i="4" s="1"/>
  <c r="R10" i="4" a="1"/>
  <c r="R10" i="4" s="1"/>
  <c r="Q10" i="4" a="1"/>
  <c r="Q10" i="4" s="1"/>
  <c r="P10" i="4" a="1"/>
  <c r="P10" i="4" s="1"/>
  <c r="O10" i="4" a="1"/>
  <c r="O10" i="4" s="1"/>
  <c r="N10" i="4" a="1"/>
  <c r="N10" i="4" s="1"/>
  <c r="Y9" i="4" a="1"/>
  <c r="Y9" i="4" s="1"/>
  <c r="X9" i="4" a="1"/>
  <c r="X9" i="4" s="1"/>
  <c r="W9" i="4" a="1"/>
  <c r="W9" i="4" s="1"/>
  <c r="V9" i="4" a="1"/>
  <c r="V9" i="4" s="1"/>
  <c r="U9" i="4" a="1"/>
  <c r="U9" i="4" s="1"/>
  <c r="T9" i="4" a="1"/>
  <c r="T9" i="4" s="1"/>
  <c r="S9" i="4" a="1"/>
  <c r="S9" i="4" s="1"/>
  <c r="R9" i="4" a="1"/>
  <c r="R9" i="4" s="1"/>
  <c r="Q9" i="4" a="1"/>
  <c r="Q9" i="4" s="1"/>
  <c r="P9" i="4" a="1"/>
  <c r="P9" i="4" s="1"/>
  <c r="O9" i="4" a="1"/>
  <c r="O9" i="4" s="1"/>
  <c r="N9" i="4" a="1"/>
  <c r="N9" i="4" s="1"/>
  <c r="H9" i="4" a="1"/>
  <c r="H9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Q8" i="4" a="1"/>
  <c r="Q8" i="4" s="1"/>
  <c r="P8" i="4" a="1"/>
  <c r="P8" i="4" s="1"/>
  <c r="O8" i="4" a="1"/>
  <c r="O8" i="4" s="1"/>
  <c r="N8" i="4" a="1"/>
  <c r="N8" i="4" s="1"/>
  <c r="H8" i="4" a="1"/>
  <c r="H8" i="4" s="1"/>
  <c r="N6" i="4" a="1"/>
  <c r="N6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 a="1"/>
  <c r="R7" i="4" s="1"/>
  <c r="Q7" i="4" a="1"/>
  <c r="Q7" i="4" s="1"/>
  <c r="P7" i="4" a="1"/>
  <c r="P7" i="4" s="1"/>
  <c r="O7" i="4" a="1"/>
  <c r="O7" i="4" s="1"/>
  <c r="N7" i="4" a="1"/>
  <c r="N7" i="4" s="1"/>
  <c r="H7" i="4" a="1"/>
  <c r="H7" i="4" s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 a="1"/>
  <c r="R6" i="4" s="1"/>
  <c r="Q6" i="4" a="1"/>
  <c r="Q6" i="4" s="1"/>
  <c r="P6" i="4" a="1"/>
  <c r="P6" i="4" s="1"/>
  <c r="O6" i="4" a="1"/>
  <c r="O6" i="4" s="1"/>
  <c r="Y5" i="4" a="1"/>
  <c r="Y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Q5" i="4" a="1"/>
  <c r="Q5" i="4" s="1"/>
  <c r="P5" i="4" a="1"/>
  <c r="P5" i="4" s="1"/>
  <c r="O5" i="4" a="1"/>
  <c r="O5" i="4" s="1"/>
  <c r="N5" i="4" a="1"/>
  <c r="N5" i="4" s="1"/>
  <c r="H5" i="4" a="1"/>
  <c r="H5" i="4" s="1"/>
  <c r="Y4" i="4" a="1"/>
  <c r="Y4" i="4" s="1"/>
  <c r="X4" i="4" a="1"/>
  <c r="X4" i="4" s="1"/>
  <c r="W4" i="4" a="1"/>
  <c r="W4" i="4" s="1"/>
  <c r="V4" i="4" a="1"/>
  <c r="V4" i="4" s="1"/>
  <c r="U4" i="4" a="1"/>
  <c r="U4" i="4" s="1"/>
  <c r="T4" i="4" a="1"/>
  <c r="T4" i="4" s="1"/>
  <c r="S4" i="4" a="1"/>
  <c r="S4" i="4" s="1"/>
  <c r="R4" i="4" a="1"/>
  <c r="R4" i="4" s="1"/>
  <c r="Q4" i="4" a="1"/>
  <c r="Q4" i="4" s="1"/>
  <c r="O4" i="4" a="1"/>
  <c r="O4" i="4" s="1"/>
  <c r="H4" i="4" a="1"/>
  <c r="H4" i="4" s="1"/>
  <c r="N4" i="4" a="1"/>
  <c r="N4" i="4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109" i="3"/>
  <c r="F108" i="3"/>
  <c r="F107" i="3"/>
  <c r="F106" i="3"/>
  <c r="F105" i="3"/>
  <c r="F104" i="3"/>
  <c r="F103" i="3"/>
  <c r="F102" i="3"/>
  <c r="H47" i="3" s="1" a="1"/>
  <c r="H47" i="3" s="1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H32" i="3" s="1" a="1"/>
  <c r="H32" i="3" s="1"/>
  <c r="F85" i="3"/>
  <c r="F84" i="3"/>
  <c r="F83" i="3"/>
  <c r="F82" i="3"/>
  <c r="H81" i="3" a="1"/>
  <c r="H81" i="3" s="1"/>
  <c r="F81" i="3"/>
  <c r="H80" i="3" a="1"/>
  <c r="H80" i="3" s="1"/>
  <c r="F80" i="3"/>
  <c r="H79" i="3" a="1"/>
  <c r="H79" i="3" s="1"/>
  <c r="F79" i="3"/>
  <c r="F78" i="3"/>
  <c r="H77" i="3" a="1"/>
  <c r="H77" i="3" s="1"/>
  <c r="F77" i="3"/>
  <c r="H76" i="3" a="1"/>
  <c r="H76" i="3" s="1"/>
  <c r="F76" i="3"/>
  <c r="H75" i="3" a="1"/>
  <c r="H75" i="3" s="1"/>
  <c r="F75" i="3"/>
  <c r="F74" i="3"/>
  <c r="H73" i="3" a="1"/>
  <c r="H73" i="3" s="1"/>
  <c r="F73" i="3"/>
  <c r="H72" i="3" a="1"/>
  <c r="H72" i="3" s="1"/>
  <c r="F72" i="3"/>
  <c r="H71" i="3" a="1"/>
  <c r="H71" i="3" s="1"/>
  <c r="F71" i="3"/>
  <c r="F70" i="3"/>
  <c r="H69" i="3" a="1"/>
  <c r="H69" i="3" s="1"/>
  <c r="F69" i="3"/>
  <c r="H68" i="3" a="1"/>
  <c r="H68" i="3" s="1"/>
  <c r="F68" i="3"/>
  <c r="H67" i="3" a="1"/>
  <c r="H67" i="3" s="1"/>
  <c r="F67" i="3"/>
  <c r="F66" i="3"/>
  <c r="H65" i="3" a="1"/>
  <c r="H65" i="3" s="1"/>
  <c r="F65" i="3"/>
  <c r="H64" i="3" a="1"/>
  <c r="H64" i="3" s="1"/>
  <c r="F64" i="3"/>
  <c r="H63" i="3" a="1"/>
  <c r="H63" i="3" s="1"/>
  <c r="F63" i="3"/>
  <c r="F62" i="3"/>
  <c r="H61" i="3" a="1"/>
  <c r="H61" i="3" s="1"/>
  <c r="F61" i="3"/>
  <c r="H60" i="3" a="1"/>
  <c r="H60" i="3" s="1"/>
  <c r="F60" i="3"/>
  <c r="H59" i="3" a="1"/>
  <c r="H59" i="3" s="1"/>
  <c r="F59" i="3"/>
  <c r="F58" i="3"/>
  <c r="H57" i="3" a="1"/>
  <c r="H57" i="3" s="1"/>
  <c r="F57" i="3"/>
  <c r="H56" i="3" a="1"/>
  <c r="H56" i="3" s="1"/>
  <c r="F56" i="3"/>
  <c r="H55" i="3" a="1"/>
  <c r="H55" i="3" s="1"/>
  <c r="H53" i="3" a="1"/>
  <c r="H53" i="3" s="1"/>
  <c r="H52" i="3" a="1"/>
  <c r="H52" i="3" s="1"/>
  <c r="H51" i="3" a="1"/>
  <c r="H51" i="3" s="1"/>
  <c r="H49" i="3" a="1"/>
  <c r="H49" i="3" s="1"/>
  <c r="H48" i="3" a="1"/>
  <c r="H48" i="3" s="1"/>
  <c r="H45" i="3" a="1"/>
  <c r="H45" i="3" s="1"/>
  <c r="H37" i="3" a="1"/>
  <c r="H37" i="3" s="1"/>
  <c r="H44" i="3" a="1"/>
  <c r="H44" i="3" s="1"/>
  <c r="H43" i="3" a="1"/>
  <c r="H43" i="3" s="1"/>
  <c r="H41" i="3" a="1"/>
  <c r="H41" i="3" s="1"/>
  <c r="H40" i="3" a="1"/>
  <c r="H40" i="3" s="1"/>
  <c r="H39" i="3" a="1"/>
  <c r="H39" i="3" s="1"/>
  <c r="H35" i="3" a="1"/>
  <c r="H35" i="3" s="1"/>
  <c r="H36" i="3" a="1"/>
  <c r="H36" i="3" s="1"/>
  <c r="H33" i="3" a="1"/>
  <c r="H33" i="3" s="1"/>
  <c r="H31" i="3" a="1"/>
  <c r="H31" i="3" s="1"/>
  <c r="H29" i="3" a="1"/>
  <c r="H29" i="3" s="1"/>
  <c r="H27" i="3" a="1"/>
  <c r="H27" i="3" s="1"/>
  <c r="H28" i="3" a="1"/>
  <c r="H28" i="3" s="1"/>
  <c r="H21" i="3" a="1"/>
  <c r="H21" i="3" s="1"/>
  <c r="H25" i="3" a="1"/>
  <c r="H25" i="3" s="1"/>
  <c r="H24" i="3" a="1"/>
  <c r="H24" i="3" s="1"/>
  <c r="H23" i="3" a="1"/>
  <c r="H23" i="3" s="1"/>
  <c r="Y21" i="3" a="1"/>
  <c r="Y21" i="3" s="1"/>
  <c r="X21" i="3" a="1"/>
  <c r="X21" i="3" s="1"/>
  <c r="W21" i="3" a="1"/>
  <c r="W21" i="3" s="1"/>
  <c r="V21" i="3" a="1"/>
  <c r="V21" i="3" s="1"/>
  <c r="U21" i="3" a="1"/>
  <c r="U21" i="3" s="1"/>
  <c r="T21" i="3" a="1"/>
  <c r="T21" i="3" s="1"/>
  <c r="S21" i="3" a="1"/>
  <c r="S21" i="3" s="1"/>
  <c r="R21" i="3" a="1"/>
  <c r="R21" i="3" s="1"/>
  <c r="Q21" i="3" a="1"/>
  <c r="Q21" i="3" s="1"/>
  <c r="P21" i="3" a="1"/>
  <c r="P21" i="3" s="1"/>
  <c r="O21" i="3" a="1"/>
  <c r="O21" i="3" s="1"/>
  <c r="N21" i="3" a="1"/>
  <c r="N21" i="3" s="1"/>
  <c r="Y20" i="3" a="1"/>
  <c r="Y20" i="3" s="1"/>
  <c r="X20" i="3" a="1"/>
  <c r="X20" i="3" s="1"/>
  <c r="W20" i="3" a="1"/>
  <c r="W20" i="3" s="1"/>
  <c r="V20" i="3" a="1"/>
  <c r="V20" i="3" s="1"/>
  <c r="U20" i="3" a="1"/>
  <c r="U20" i="3" s="1"/>
  <c r="T20" i="3" a="1"/>
  <c r="T20" i="3" s="1"/>
  <c r="S20" i="3" a="1"/>
  <c r="S20" i="3" s="1"/>
  <c r="R20" i="3" a="1"/>
  <c r="R20" i="3" s="1"/>
  <c r="Q20" i="3" a="1"/>
  <c r="Q20" i="3" s="1"/>
  <c r="P20" i="3" a="1"/>
  <c r="P20" i="3" s="1"/>
  <c r="O20" i="3" a="1"/>
  <c r="O20" i="3" s="1"/>
  <c r="N20" i="3" a="1"/>
  <c r="N20" i="3" s="1"/>
  <c r="H20" i="3" a="1"/>
  <c r="H20" i="3" s="1"/>
  <c r="Y19" i="3" a="1"/>
  <c r="Y19" i="3" s="1"/>
  <c r="X19" i="3" a="1"/>
  <c r="X19" i="3" s="1"/>
  <c r="W19" i="3" a="1"/>
  <c r="W19" i="3" s="1"/>
  <c r="V19" i="3" a="1"/>
  <c r="V19" i="3" s="1"/>
  <c r="U19" i="3" a="1"/>
  <c r="U19" i="3" s="1"/>
  <c r="T19" i="3" a="1"/>
  <c r="T19" i="3" s="1"/>
  <c r="S19" i="3" a="1"/>
  <c r="S19" i="3" s="1"/>
  <c r="R19" i="3" a="1"/>
  <c r="R19" i="3" s="1"/>
  <c r="Q19" i="3" a="1"/>
  <c r="Q19" i="3" s="1"/>
  <c r="P19" i="3" a="1"/>
  <c r="P19" i="3" s="1"/>
  <c r="O19" i="3" a="1"/>
  <c r="O19" i="3" s="1"/>
  <c r="N19" i="3" a="1"/>
  <c r="N19" i="3" s="1"/>
  <c r="H19" i="3" a="1"/>
  <c r="H19" i="3" s="1"/>
  <c r="Y18" i="3" a="1"/>
  <c r="Y18" i="3" s="1"/>
  <c r="X18" i="3" a="1"/>
  <c r="X18" i="3" s="1"/>
  <c r="W18" i="3" a="1"/>
  <c r="W18" i="3" s="1"/>
  <c r="V18" i="3" a="1"/>
  <c r="V18" i="3" s="1"/>
  <c r="U18" i="3" a="1"/>
  <c r="U18" i="3" s="1"/>
  <c r="T18" i="3" a="1"/>
  <c r="T18" i="3" s="1"/>
  <c r="S18" i="3" a="1"/>
  <c r="S18" i="3" s="1"/>
  <c r="R18" i="3" a="1"/>
  <c r="R18" i="3" s="1"/>
  <c r="Q18" i="3" a="1"/>
  <c r="Q18" i="3" s="1"/>
  <c r="P18" i="3" a="1"/>
  <c r="P18" i="3" s="1"/>
  <c r="O18" i="3" a="1"/>
  <c r="O18" i="3" s="1"/>
  <c r="N18" i="3" a="1"/>
  <c r="N18" i="3" s="1"/>
  <c r="Y17" i="3" a="1"/>
  <c r="Y17" i="3" s="1"/>
  <c r="X17" i="3" a="1"/>
  <c r="X17" i="3" s="1"/>
  <c r="W17" i="3" a="1"/>
  <c r="W17" i="3" s="1"/>
  <c r="V17" i="3" a="1"/>
  <c r="V17" i="3" s="1"/>
  <c r="U17" i="3" a="1"/>
  <c r="U17" i="3" s="1"/>
  <c r="T17" i="3" a="1"/>
  <c r="T17" i="3" s="1"/>
  <c r="S17" i="3" a="1"/>
  <c r="S17" i="3" s="1"/>
  <c r="R17" i="3" a="1"/>
  <c r="R17" i="3" s="1"/>
  <c r="Q17" i="3" a="1"/>
  <c r="Q17" i="3" s="1"/>
  <c r="P17" i="3" a="1"/>
  <c r="P17" i="3" s="1"/>
  <c r="O17" i="3" a="1"/>
  <c r="O17" i="3" s="1"/>
  <c r="N17" i="3" a="1"/>
  <c r="N17" i="3" s="1"/>
  <c r="H17" i="3" a="1"/>
  <c r="H17" i="3" s="1"/>
  <c r="Y16" i="3" a="1"/>
  <c r="Y16" i="3" s="1"/>
  <c r="X16" i="3" a="1"/>
  <c r="X16" i="3" s="1"/>
  <c r="W16" i="3" a="1"/>
  <c r="W16" i="3" s="1"/>
  <c r="V16" i="3" a="1"/>
  <c r="V16" i="3" s="1"/>
  <c r="U16" i="3" a="1"/>
  <c r="U16" i="3" s="1"/>
  <c r="T16" i="3" a="1"/>
  <c r="T16" i="3" s="1"/>
  <c r="S16" i="3" a="1"/>
  <c r="S16" i="3" s="1"/>
  <c r="R16" i="3" a="1"/>
  <c r="R16" i="3" s="1"/>
  <c r="Q16" i="3" a="1"/>
  <c r="Q16" i="3" s="1"/>
  <c r="P16" i="3" a="1"/>
  <c r="P16" i="3" s="1"/>
  <c r="O16" i="3" a="1"/>
  <c r="O16" i="3" s="1"/>
  <c r="N16" i="3" a="1"/>
  <c r="N16" i="3" s="1"/>
  <c r="H16" i="3" a="1"/>
  <c r="H16" i="3" s="1"/>
  <c r="Y15" i="3" a="1"/>
  <c r="Y15" i="3" s="1"/>
  <c r="X15" i="3" a="1"/>
  <c r="X15" i="3" s="1"/>
  <c r="W15" i="3" a="1"/>
  <c r="W15" i="3" s="1"/>
  <c r="V15" i="3" a="1"/>
  <c r="V15" i="3" s="1"/>
  <c r="U15" i="3" a="1"/>
  <c r="U15" i="3" s="1"/>
  <c r="T15" i="3" a="1"/>
  <c r="T15" i="3" s="1"/>
  <c r="S15" i="3" a="1"/>
  <c r="S15" i="3" s="1"/>
  <c r="R15" i="3" a="1"/>
  <c r="R15" i="3" s="1"/>
  <c r="Q15" i="3" a="1"/>
  <c r="Q15" i="3" s="1"/>
  <c r="P15" i="3" a="1"/>
  <c r="P15" i="3" s="1"/>
  <c r="O15" i="3" a="1"/>
  <c r="O15" i="3" s="1"/>
  <c r="N15" i="3" a="1"/>
  <c r="N15" i="3" s="1"/>
  <c r="H15" i="3" a="1"/>
  <c r="H15" i="3" s="1"/>
  <c r="Y14" i="3" a="1"/>
  <c r="Y14" i="3" s="1"/>
  <c r="X14" i="3" a="1"/>
  <c r="X14" i="3" s="1"/>
  <c r="W14" i="3" a="1"/>
  <c r="W14" i="3" s="1"/>
  <c r="V14" i="3" a="1"/>
  <c r="V14" i="3" s="1"/>
  <c r="U14" i="3" a="1"/>
  <c r="U14" i="3" s="1"/>
  <c r="T14" i="3" a="1"/>
  <c r="T14" i="3" s="1"/>
  <c r="S14" i="3" a="1"/>
  <c r="S14" i="3" s="1"/>
  <c r="R14" i="3" a="1"/>
  <c r="R14" i="3" s="1"/>
  <c r="Q14" i="3" a="1"/>
  <c r="Q14" i="3" s="1"/>
  <c r="P14" i="3" a="1"/>
  <c r="P14" i="3" s="1"/>
  <c r="O14" i="3" a="1"/>
  <c r="O14" i="3" s="1"/>
  <c r="N14" i="3" a="1"/>
  <c r="N14" i="3" s="1"/>
  <c r="Y13" i="3" a="1"/>
  <c r="Y13" i="3" s="1"/>
  <c r="X13" i="3" a="1"/>
  <c r="X13" i="3" s="1"/>
  <c r="W13" i="3" a="1"/>
  <c r="W13" i="3" s="1"/>
  <c r="V13" i="3" a="1"/>
  <c r="V13" i="3" s="1"/>
  <c r="U13" i="3" a="1"/>
  <c r="U13" i="3" s="1"/>
  <c r="T13" i="3" a="1"/>
  <c r="T13" i="3" s="1"/>
  <c r="S13" i="3" a="1"/>
  <c r="S13" i="3" s="1"/>
  <c r="R13" i="3" a="1"/>
  <c r="R13" i="3" s="1"/>
  <c r="Q13" i="3" a="1"/>
  <c r="Q13" i="3" s="1"/>
  <c r="P13" i="3" a="1"/>
  <c r="P13" i="3" s="1"/>
  <c r="O13" i="3" a="1"/>
  <c r="O13" i="3" s="1"/>
  <c r="N13" i="3" a="1"/>
  <c r="N13" i="3" s="1"/>
  <c r="H13" i="3" a="1"/>
  <c r="H13" i="3" s="1"/>
  <c r="Y12" i="3" a="1"/>
  <c r="Y12" i="3" s="1"/>
  <c r="X12" i="3" a="1"/>
  <c r="X12" i="3" s="1"/>
  <c r="W12" i="3" a="1"/>
  <c r="W12" i="3" s="1"/>
  <c r="V12" i="3" a="1"/>
  <c r="V12" i="3" s="1"/>
  <c r="U12" i="3" a="1"/>
  <c r="U12" i="3" s="1"/>
  <c r="T12" i="3" a="1"/>
  <c r="T12" i="3" s="1"/>
  <c r="S12" i="3" a="1"/>
  <c r="S12" i="3" s="1"/>
  <c r="R12" i="3" a="1"/>
  <c r="R12" i="3" s="1"/>
  <c r="Q12" i="3" a="1"/>
  <c r="Q12" i="3" s="1"/>
  <c r="P12" i="3" a="1"/>
  <c r="P12" i="3" s="1"/>
  <c r="O12" i="3" a="1"/>
  <c r="O12" i="3" s="1"/>
  <c r="N12" i="3" a="1"/>
  <c r="N12" i="3" s="1"/>
  <c r="H12" i="3" a="1"/>
  <c r="H12" i="3" s="1"/>
  <c r="Y11" i="3" a="1"/>
  <c r="Y11" i="3" s="1"/>
  <c r="X11" i="3" a="1"/>
  <c r="X11" i="3" s="1"/>
  <c r="W11" i="3" a="1"/>
  <c r="W11" i="3" s="1"/>
  <c r="V11" i="3" a="1"/>
  <c r="V11" i="3" s="1"/>
  <c r="U11" i="3" a="1"/>
  <c r="U11" i="3" s="1"/>
  <c r="T11" i="3" a="1"/>
  <c r="T11" i="3" s="1"/>
  <c r="S11" i="3" a="1"/>
  <c r="S11" i="3" s="1"/>
  <c r="R11" i="3" a="1"/>
  <c r="R11" i="3" s="1"/>
  <c r="Q11" i="3" a="1"/>
  <c r="Q11" i="3" s="1"/>
  <c r="P11" i="3" a="1"/>
  <c r="P11" i="3" s="1"/>
  <c r="O11" i="3" a="1"/>
  <c r="O11" i="3" s="1"/>
  <c r="N11" i="3" a="1"/>
  <c r="N11" i="3" s="1"/>
  <c r="H11" i="3" a="1"/>
  <c r="H11" i="3" s="1"/>
  <c r="Y10" i="3" a="1"/>
  <c r="Y10" i="3" s="1"/>
  <c r="X10" i="3" a="1"/>
  <c r="X10" i="3" s="1"/>
  <c r="W10" i="3" a="1"/>
  <c r="W10" i="3" s="1"/>
  <c r="V10" i="3" a="1"/>
  <c r="V10" i="3" s="1"/>
  <c r="U10" i="3" a="1"/>
  <c r="U10" i="3" s="1"/>
  <c r="T10" i="3" a="1"/>
  <c r="T10" i="3" s="1"/>
  <c r="S10" i="3" a="1"/>
  <c r="S10" i="3" s="1"/>
  <c r="R10" i="3" a="1"/>
  <c r="R10" i="3" s="1"/>
  <c r="Q10" i="3" a="1"/>
  <c r="Q10" i="3" s="1"/>
  <c r="P10" i="3" a="1"/>
  <c r="P10" i="3" s="1"/>
  <c r="O10" i="3" a="1"/>
  <c r="O10" i="3" s="1"/>
  <c r="N10" i="3" a="1"/>
  <c r="N10" i="3" s="1"/>
  <c r="Y9" i="3" a="1"/>
  <c r="Y9" i="3" s="1"/>
  <c r="X9" i="3" a="1"/>
  <c r="X9" i="3" s="1"/>
  <c r="W9" i="3" a="1"/>
  <c r="W9" i="3" s="1"/>
  <c r="V9" i="3" a="1"/>
  <c r="V9" i="3" s="1"/>
  <c r="U9" i="3" a="1"/>
  <c r="U9" i="3" s="1"/>
  <c r="T9" i="3" a="1"/>
  <c r="T9" i="3" s="1"/>
  <c r="S9" i="3" a="1"/>
  <c r="S9" i="3" s="1"/>
  <c r="R9" i="3" a="1"/>
  <c r="R9" i="3" s="1"/>
  <c r="Q9" i="3" a="1"/>
  <c r="Q9" i="3" s="1"/>
  <c r="P9" i="3" a="1"/>
  <c r="P9" i="3" s="1"/>
  <c r="O9" i="3" a="1"/>
  <c r="O9" i="3" s="1"/>
  <c r="N9" i="3" a="1"/>
  <c r="N9" i="3" s="1"/>
  <c r="H9" i="3" a="1"/>
  <c r="H9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S8" i="3" a="1"/>
  <c r="S8" i="3" s="1"/>
  <c r="R8" i="3" a="1"/>
  <c r="R8" i="3" s="1"/>
  <c r="Q8" i="3" a="1"/>
  <c r="Q8" i="3" s="1"/>
  <c r="P8" i="3" a="1"/>
  <c r="P8" i="3" s="1"/>
  <c r="O8" i="3" a="1"/>
  <c r="O8" i="3" s="1"/>
  <c r="N8" i="3" a="1"/>
  <c r="N8" i="3" s="1"/>
  <c r="H8" i="3" a="1"/>
  <c r="H8" i="3" s="1"/>
  <c r="Y7" i="3" a="1"/>
  <c r="Y7" i="3" s="1"/>
  <c r="X7" i="3" a="1"/>
  <c r="X7" i="3" s="1"/>
  <c r="W7" i="3" a="1"/>
  <c r="W7" i="3" s="1"/>
  <c r="V7" i="3" a="1"/>
  <c r="V7" i="3" s="1"/>
  <c r="U7" i="3" a="1"/>
  <c r="U7" i="3" s="1"/>
  <c r="T7" i="3" a="1"/>
  <c r="T7" i="3" s="1"/>
  <c r="S7" i="3" a="1"/>
  <c r="S7" i="3" s="1"/>
  <c r="R7" i="3" a="1"/>
  <c r="R7" i="3" s="1"/>
  <c r="Q7" i="3" a="1"/>
  <c r="Q7" i="3" s="1"/>
  <c r="P7" i="3" a="1"/>
  <c r="P7" i="3" s="1"/>
  <c r="O7" i="3" a="1"/>
  <c r="O7" i="3" s="1"/>
  <c r="N7" i="3" a="1"/>
  <c r="N7" i="3" s="1"/>
  <c r="H7" i="3" a="1"/>
  <c r="H7" i="3" s="1"/>
  <c r="Y6" i="3" a="1"/>
  <c r="Y6" i="3" s="1"/>
  <c r="X6" i="3" a="1"/>
  <c r="X6" i="3" s="1"/>
  <c r="W6" i="3" a="1"/>
  <c r="W6" i="3" s="1"/>
  <c r="V6" i="3" a="1"/>
  <c r="V6" i="3" s="1"/>
  <c r="U6" i="3" a="1"/>
  <c r="U6" i="3" s="1"/>
  <c r="T6" i="3" a="1"/>
  <c r="T6" i="3" s="1"/>
  <c r="S6" i="3" a="1"/>
  <c r="S6" i="3" s="1"/>
  <c r="R6" i="3" a="1"/>
  <c r="R6" i="3" s="1"/>
  <c r="Q6" i="3" a="1"/>
  <c r="Q6" i="3" s="1"/>
  <c r="P6" i="3" a="1"/>
  <c r="P6" i="3" s="1"/>
  <c r="O6" i="3" a="1"/>
  <c r="O6" i="3" s="1"/>
  <c r="N6" i="3" a="1"/>
  <c r="N6" i="3" s="1"/>
  <c r="Y5" i="3" a="1"/>
  <c r="Y5" i="3" s="1"/>
  <c r="X5" i="3" a="1"/>
  <c r="X5" i="3" s="1"/>
  <c r="W5" i="3" a="1"/>
  <c r="W5" i="3" s="1"/>
  <c r="V5" i="3" a="1"/>
  <c r="V5" i="3" s="1"/>
  <c r="U5" i="3" a="1"/>
  <c r="U5" i="3" s="1"/>
  <c r="T5" i="3" a="1"/>
  <c r="T5" i="3" s="1"/>
  <c r="S5" i="3" a="1"/>
  <c r="S5" i="3" s="1"/>
  <c r="R5" i="3" a="1"/>
  <c r="R5" i="3" s="1"/>
  <c r="Q5" i="3" a="1"/>
  <c r="Q5" i="3" s="1"/>
  <c r="P5" i="3" a="1"/>
  <c r="P5" i="3" s="1"/>
  <c r="O5" i="3" a="1"/>
  <c r="O5" i="3" s="1"/>
  <c r="N5" i="3" a="1"/>
  <c r="N5" i="3" s="1"/>
  <c r="H5" i="3" a="1"/>
  <c r="H5" i="3" s="1"/>
  <c r="Y4" i="3" a="1"/>
  <c r="Y4" i="3" s="1"/>
  <c r="X4" i="3" a="1"/>
  <c r="X4" i="3" s="1"/>
  <c r="W4" i="3" a="1"/>
  <c r="W4" i="3" s="1"/>
  <c r="V4" i="3" a="1"/>
  <c r="V4" i="3" s="1"/>
  <c r="U4" i="3" a="1"/>
  <c r="U4" i="3" s="1"/>
  <c r="T4" i="3" a="1"/>
  <c r="T4" i="3" s="1"/>
  <c r="S4" i="3" a="1"/>
  <c r="S4" i="3" s="1"/>
  <c r="R4" i="3" a="1"/>
  <c r="R4" i="3" s="1"/>
  <c r="Q4" i="3" a="1"/>
  <c r="Q4" i="3" s="1"/>
  <c r="P4" i="3" a="1"/>
  <c r="P4" i="3" s="1"/>
  <c r="O4" i="3" a="1"/>
  <c r="O4" i="3" s="1"/>
  <c r="N4" i="3" a="1"/>
  <c r="N4" i="3" s="1"/>
  <c r="H4" i="3" a="1"/>
  <c r="H4" i="3" s="1"/>
  <c r="H3" i="3" a="1"/>
  <c r="H3" i="3" s="1"/>
  <c r="Y5" i="2" a="1"/>
  <c r="Y5" i="2" s="1"/>
  <c r="Y6" i="2" a="1"/>
  <c r="Y6" i="2" s="1"/>
  <c r="Y7" i="2" a="1"/>
  <c r="Y7" i="2" s="1"/>
  <c r="Y8" i="2" a="1"/>
  <c r="Y8" i="2" s="1"/>
  <c r="Y9" i="2" a="1"/>
  <c r="Y9" i="2" s="1"/>
  <c r="Y10" i="2" a="1"/>
  <c r="Y10" i="2" s="1"/>
  <c r="Y11" i="2" a="1"/>
  <c r="Y11" i="2" s="1"/>
  <c r="Y12" i="2" a="1"/>
  <c r="Y12" i="2" s="1"/>
  <c r="Y13" i="2" a="1"/>
  <c r="Y13" i="2" s="1"/>
  <c r="Y14" i="2" a="1"/>
  <c r="Y14" i="2" s="1"/>
  <c r="Y15" i="2" a="1"/>
  <c r="Y15" i="2" s="1"/>
  <c r="Y16" i="2" a="1"/>
  <c r="Y16" i="2" s="1"/>
  <c r="Y17" i="2" a="1"/>
  <c r="Y17" i="2" s="1"/>
  <c r="Y18" i="2" a="1"/>
  <c r="Y18" i="2" s="1"/>
  <c r="Y19" i="2" a="1"/>
  <c r="Y19" i="2" s="1"/>
  <c r="Y20" i="2" a="1"/>
  <c r="Y20" i="2" s="1"/>
  <c r="Y21" i="2" a="1"/>
  <c r="Y21" i="2" s="1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46" i="2"/>
  <c r="F45" i="2"/>
  <c r="F44" i="2"/>
  <c r="F43" i="2"/>
  <c r="F42" i="2"/>
  <c r="F41" i="2"/>
  <c r="F40" i="2"/>
  <c r="F39" i="2"/>
  <c r="V4" i="2" s="1" a="1"/>
  <c r="V4" i="2" s="1"/>
  <c r="F38" i="2"/>
  <c r="X5" i="2" a="1"/>
  <c r="X5" i="2" s="1"/>
  <c r="X6" i="2" a="1"/>
  <c r="X6" i="2" s="1"/>
  <c r="X7" i="2" a="1"/>
  <c r="X7" i="2" s="1"/>
  <c r="X8" i="2" a="1"/>
  <c r="X8" i="2" s="1"/>
  <c r="X9" i="2" a="1"/>
  <c r="X9" i="2" s="1"/>
  <c r="X10" i="2" a="1"/>
  <c r="X10" i="2" s="1"/>
  <c r="X11" i="2" a="1"/>
  <c r="X11" i="2" s="1"/>
  <c r="X12" i="2" a="1"/>
  <c r="X12" i="2" s="1"/>
  <c r="X13" i="2" a="1"/>
  <c r="X13" i="2" s="1"/>
  <c r="X14" i="2" a="1"/>
  <c r="X14" i="2" s="1"/>
  <c r="X15" i="2" a="1"/>
  <c r="X15" i="2" s="1"/>
  <c r="X16" i="2" a="1"/>
  <c r="X16" i="2" s="1"/>
  <c r="X17" i="2" a="1"/>
  <c r="X17" i="2" s="1"/>
  <c r="X18" i="2" a="1"/>
  <c r="X18" i="2" s="1"/>
  <c r="X19" i="2" a="1"/>
  <c r="X19" i="2" s="1"/>
  <c r="X20" i="2" a="1"/>
  <c r="X20" i="2" s="1"/>
  <c r="X21" i="2" a="1"/>
  <c r="X21" i="2" s="1"/>
  <c r="W5" i="2" a="1"/>
  <c r="W5" i="2" s="1"/>
  <c r="W6" i="2" a="1"/>
  <c r="W6" i="2" s="1"/>
  <c r="W7" i="2" a="1"/>
  <c r="W7" i="2" s="1"/>
  <c r="W8" i="2" a="1"/>
  <c r="W8" i="2" s="1"/>
  <c r="W9" i="2" a="1"/>
  <c r="W9" i="2" s="1"/>
  <c r="W10" i="2" a="1"/>
  <c r="W10" i="2" s="1"/>
  <c r="W11" i="2" a="1"/>
  <c r="W11" i="2" s="1"/>
  <c r="W12" i="2" a="1"/>
  <c r="W12" i="2" s="1"/>
  <c r="W13" i="2" a="1"/>
  <c r="W13" i="2" s="1"/>
  <c r="W14" i="2" a="1"/>
  <c r="W14" i="2" s="1"/>
  <c r="W15" i="2" a="1"/>
  <c r="W15" i="2" s="1"/>
  <c r="W16" i="2" a="1"/>
  <c r="W16" i="2" s="1"/>
  <c r="W17" i="2" a="1"/>
  <c r="W17" i="2" s="1"/>
  <c r="W18" i="2" a="1"/>
  <c r="W18" i="2" s="1"/>
  <c r="W19" i="2" a="1"/>
  <c r="W19" i="2" s="1"/>
  <c r="W20" i="2" a="1"/>
  <c r="W20" i="2" s="1"/>
  <c r="W21" i="2" a="1"/>
  <c r="W21" i="2" s="1"/>
  <c r="V5" i="2" a="1"/>
  <c r="V5" i="2" s="1"/>
  <c r="V6" i="2" a="1"/>
  <c r="V6" i="2" s="1"/>
  <c r="V7" i="2" a="1"/>
  <c r="V7" i="2" s="1"/>
  <c r="V8" i="2" a="1"/>
  <c r="V8" i="2" s="1"/>
  <c r="V9" i="2" a="1"/>
  <c r="V9" i="2" s="1"/>
  <c r="V10" i="2" a="1"/>
  <c r="V10" i="2" s="1"/>
  <c r="V11" i="2" a="1"/>
  <c r="V11" i="2" s="1"/>
  <c r="V12" i="2" a="1"/>
  <c r="V12" i="2" s="1"/>
  <c r="V13" i="2" a="1"/>
  <c r="V13" i="2" s="1"/>
  <c r="V14" i="2" a="1"/>
  <c r="V14" i="2" s="1"/>
  <c r="V15" i="2" a="1"/>
  <c r="V15" i="2" s="1"/>
  <c r="V16" i="2" a="1"/>
  <c r="V16" i="2" s="1"/>
  <c r="V17" i="2" a="1"/>
  <c r="V17" i="2" s="1"/>
  <c r="V18" i="2" a="1"/>
  <c r="V18" i="2" s="1"/>
  <c r="V19" i="2" a="1"/>
  <c r="V19" i="2" s="1"/>
  <c r="V20" i="2" a="1"/>
  <c r="V20" i="2" s="1"/>
  <c r="V21" i="2" a="1"/>
  <c r="V21" i="2" s="1"/>
  <c r="W4" i="2" a="1"/>
  <c r="W4" i="2" s="1"/>
  <c r="X4" i="2" a="1"/>
  <c r="X4" i="2" s="1"/>
  <c r="Y4" i="2" a="1"/>
  <c r="Y4" i="2" s="1"/>
  <c r="U4" i="2" a="1"/>
  <c r="U4" i="2" s="1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47" i="2"/>
  <c r="F48" i="2"/>
  <c r="F49" i="2"/>
  <c r="F50" i="2"/>
  <c r="F51" i="2"/>
  <c r="F52" i="2"/>
  <c r="F53" i="2"/>
  <c r="F54" i="2"/>
  <c r="F55" i="2"/>
  <c r="H81" i="2" a="1"/>
  <c r="H81" i="2" s="1"/>
  <c r="H80" i="2" a="1"/>
  <c r="H80" i="2" s="1"/>
  <c r="H79" i="2" a="1"/>
  <c r="H79" i="2" s="1"/>
  <c r="H77" i="2" a="1"/>
  <c r="H77" i="2" s="1"/>
  <c r="H76" i="2" a="1"/>
  <c r="H76" i="2" s="1"/>
  <c r="H75" i="2" a="1"/>
  <c r="H75" i="2" s="1"/>
  <c r="H73" i="2" a="1"/>
  <c r="H73" i="2" s="1"/>
  <c r="H72" i="2" a="1"/>
  <c r="H72" i="2" s="1"/>
  <c r="H71" i="2" a="1"/>
  <c r="H71" i="2" s="1"/>
  <c r="H69" i="2" a="1"/>
  <c r="H69" i="2" s="1"/>
  <c r="H68" i="2" a="1"/>
  <c r="H68" i="2" s="1"/>
  <c r="H67" i="2" a="1"/>
  <c r="H67" i="2" s="1"/>
  <c r="H65" i="2" a="1"/>
  <c r="H65" i="2" s="1"/>
  <c r="H64" i="2" a="1"/>
  <c r="H64" i="2" s="1"/>
  <c r="H63" i="2" a="1"/>
  <c r="H63" i="2" s="1"/>
  <c r="H61" i="2" a="1"/>
  <c r="H61" i="2" s="1"/>
  <c r="H60" i="2" a="1"/>
  <c r="H60" i="2" s="1"/>
  <c r="H59" i="2" a="1"/>
  <c r="H59" i="2" s="1"/>
  <c r="F58" i="2"/>
  <c r="H57" i="2" a="1"/>
  <c r="H57" i="2" s="1"/>
  <c r="F57" i="2"/>
  <c r="H56" i="2" a="1"/>
  <c r="H56" i="2" s="1"/>
  <c r="F56" i="2"/>
  <c r="H55" i="2" a="1"/>
  <c r="H55" i="2" s="1"/>
  <c r="H53" i="2" a="1"/>
  <c r="H53" i="2" s="1"/>
  <c r="H52" i="2" a="1"/>
  <c r="H52" i="2" s="1"/>
  <c r="H51" i="2" a="1"/>
  <c r="H51" i="2" s="1"/>
  <c r="H49" i="2" a="1"/>
  <c r="H49" i="2" s="1"/>
  <c r="H48" i="2" a="1"/>
  <c r="H48" i="2" s="1"/>
  <c r="H47" i="2" a="1"/>
  <c r="H47" i="2" s="1"/>
  <c r="H45" i="2" a="1"/>
  <c r="H45" i="2" s="1"/>
  <c r="H44" i="2" a="1"/>
  <c r="H44" i="2" s="1"/>
  <c r="H43" i="2" a="1"/>
  <c r="H43" i="2" s="1"/>
  <c r="H41" i="2" a="1"/>
  <c r="H41" i="2" s="1"/>
  <c r="H40" i="2" a="1"/>
  <c r="H40" i="2" s="1"/>
  <c r="H39" i="2" a="1"/>
  <c r="H39" i="2" s="1"/>
  <c r="H37" i="2" a="1"/>
  <c r="H37" i="2" s="1"/>
  <c r="H36" i="2" a="1"/>
  <c r="H36" i="2" s="1"/>
  <c r="H35" i="2" a="1"/>
  <c r="H35" i="2" s="1"/>
  <c r="H33" i="2" a="1"/>
  <c r="H33" i="2" s="1"/>
  <c r="H28" i="2" a="1"/>
  <c r="H28" i="2" s="1"/>
  <c r="H32" i="2" a="1"/>
  <c r="H32" i="2" s="1"/>
  <c r="H31" i="2" a="1"/>
  <c r="H31" i="2" s="1"/>
  <c r="H27" i="2" a="1"/>
  <c r="H27" i="2" s="1"/>
  <c r="H29" i="2" a="1"/>
  <c r="H29" i="2" s="1"/>
  <c r="R6" i="2" a="1"/>
  <c r="R6" i="2" s="1"/>
  <c r="H25" i="2" a="1"/>
  <c r="H25" i="2" s="1"/>
  <c r="H24" i="2" a="1"/>
  <c r="H24" i="2" s="1"/>
  <c r="H23" i="2" a="1"/>
  <c r="H23" i="2" s="1"/>
  <c r="U21" i="2" a="1"/>
  <c r="U21" i="2" s="1"/>
  <c r="T21" i="2" a="1"/>
  <c r="T21" i="2" s="1"/>
  <c r="S21" i="2" a="1"/>
  <c r="S21" i="2" s="1"/>
  <c r="R21" i="2" a="1"/>
  <c r="R21" i="2" s="1"/>
  <c r="Q21" i="2" a="1"/>
  <c r="Q21" i="2" s="1"/>
  <c r="P21" i="2" a="1"/>
  <c r="P21" i="2" s="1"/>
  <c r="O21" i="2" a="1"/>
  <c r="O21" i="2" s="1"/>
  <c r="N21" i="2" a="1"/>
  <c r="N21" i="2" s="1"/>
  <c r="U20" i="2" a="1"/>
  <c r="U20" i="2" s="1"/>
  <c r="T20" i="2" a="1"/>
  <c r="T20" i="2" s="1"/>
  <c r="S20" i="2" a="1"/>
  <c r="S20" i="2" s="1"/>
  <c r="R20" i="2" a="1"/>
  <c r="R20" i="2" s="1"/>
  <c r="Q20" i="2" a="1"/>
  <c r="Q20" i="2" s="1"/>
  <c r="P20" i="2" a="1"/>
  <c r="P20" i="2" s="1"/>
  <c r="O20" i="2" a="1"/>
  <c r="O20" i="2" s="1"/>
  <c r="N20" i="2" a="1"/>
  <c r="N20" i="2" s="1"/>
  <c r="H20" i="2" a="1"/>
  <c r="H20" i="2" s="1"/>
  <c r="U19" i="2" a="1"/>
  <c r="U19" i="2" s="1"/>
  <c r="T19" i="2" a="1"/>
  <c r="T19" i="2" s="1"/>
  <c r="S19" i="2" a="1"/>
  <c r="S19" i="2" s="1"/>
  <c r="R19" i="2" a="1"/>
  <c r="R19" i="2" s="1"/>
  <c r="Q19" i="2" a="1"/>
  <c r="Q19" i="2" s="1"/>
  <c r="P19" i="2" a="1"/>
  <c r="P19" i="2" s="1"/>
  <c r="O19" i="2" a="1"/>
  <c r="O19" i="2" s="1"/>
  <c r="N19" i="2" a="1"/>
  <c r="N19" i="2" s="1"/>
  <c r="H19" i="2" a="1"/>
  <c r="H19" i="2" s="1"/>
  <c r="U18" i="2" a="1"/>
  <c r="U18" i="2" s="1"/>
  <c r="T18" i="2" a="1"/>
  <c r="T18" i="2" s="1"/>
  <c r="S18" i="2" a="1"/>
  <c r="S18" i="2" s="1"/>
  <c r="R18" i="2" a="1"/>
  <c r="R18" i="2" s="1"/>
  <c r="Q18" i="2" a="1"/>
  <c r="Q18" i="2" s="1"/>
  <c r="P18" i="2" a="1"/>
  <c r="P18" i="2" s="1"/>
  <c r="O18" i="2" a="1"/>
  <c r="O18" i="2" s="1"/>
  <c r="N18" i="2" a="1"/>
  <c r="N18" i="2" s="1"/>
  <c r="P6" i="2" a="1"/>
  <c r="P6" i="2" s="1"/>
  <c r="U17" i="2" a="1"/>
  <c r="U17" i="2" s="1"/>
  <c r="T17" i="2" a="1"/>
  <c r="T17" i="2" s="1"/>
  <c r="S17" i="2" a="1"/>
  <c r="S17" i="2" s="1"/>
  <c r="R17" i="2" a="1"/>
  <c r="R17" i="2" s="1"/>
  <c r="Q17" i="2" a="1"/>
  <c r="Q17" i="2" s="1"/>
  <c r="P17" i="2" a="1"/>
  <c r="P17" i="2" s="1"/>
  <c r="O17" i="2" a="1"/>
  <c r="O17" i="2" s="1"/>
  <c r="N17" i="2" a="1"/>
  <c r="N17" i="2" s="1"/>
  <c r="H17" i="2" a="1"/>
  <c r="H17" i="2" s="1"/>
  <c r="U16" i="2" a="1"/>
  <c r="U16" i="2" s="1"/>
  <c r="T16" i="2" a="1"/>
  <c r="T16" i="2" s="1"/>
  <c r="S16" i="2" a="1"/>
  <c r="S16" i="2" s="1"/>
  <c r="R16" i="2" a="1"/>
  <c r="R16" i="2" s="1"/>
  <c r="Q16" i="2" a="1"/>
  <c r="Q16" i="2" s="1"/>
  <c r="P16" i="2" a="1"/>
  <c r="P16" i="2" s="1"/>
  <c r="O16" i="2" a="1"/>
  <c r="O16" i="2" s="1"/>
  <c r="N16" i="2" a="1"/>
  <c r="N16" i="2" s="1"/>
  <c r="H16" i="2" a="1"/>
  <c r="H16" i="2" s="1"/>
  <c r="U15" i="2" a="1"/>
  <c r="U15" i="2" s="1"/>
  <c r="T15" i="2" a="1"/>
  <c r="T15" i="2" s="1"/>
  <c r="S15" i="2" a="1"/>
  <c r="S15" i="2" s="1"/>
  <c r="R15" i="2" a="1"/>
  <c r="R15" i="2" s="1"/>
  <c r="Q15" i="2" a="1"/>
  <c r="Q15" i="2" s="1"/>
  <c r="P15" i="2" a="1"/>
  <c r="P15" i="2" s="1"/>
  <c r="O15" i="2" a="1"/>
  <c r="O15" i="2" s="1"/>
  <c r="N15" i="2" a="1"/>
  <c r="N15" i="2" s="1"/>
  <c r="H15" i="2" a="1"/>
  <c r="H15" i="2" s="1"/>
  <c r="U14" i="2" a="1"/>
  <c r="U14" i="2" s="1"/>
  <c r="T14" i="2" a="1"/>
  <c r="T14" i="2" s="1"/>
  <c r="S14" i="2" a="1"/>
  <c r="S14" i="2" s="1"/>
  <c r="R14" i="2" a="1"/>
  <c r="R14" i="2" s="1"/>
  <c r="Q14" i="2" a="1"/>
  <c r="Q14" i="2" s="1"/>
  <c r="P14" i="2" a="1"/>
  <c r="P14" i="2" s="1"/>
  <c r="O14" i="2" a="1"/>
  <c r="O14" i="2" s="1"/>
  <c r="N14" i="2" a="1"/>
  <c r="N14" i="2" s="1"/>
  <c r="U13" i="2" a="1"/>
  <c r="U13" i="2" s="1"/>
  <c r="T13" i="2" a="1"/>
  <c r="T13" i="2" s="1"/>
  <c r="S13" i="2" a="1"/>
  <c r="S13" i="2" s="1"/>
  <c r="R13" i="2" a="1"/>
  <c r="R13" i="2" s="1"/>
  <c r="Q13" i="2" a="1"/>
  <c r="Q13" i="2" s="1"/>
  <c r="P13" i="2" a="1"/>
  <c r="P13" i="2" s="1"/>
  <c r="O13" i="2" a="1"/>
  <c r="O13" i="2" s="1"/>
  <c r="N13" i="2" a="1"/>
  <c r="N13" i="2" s="1"/>
  <c r="H13" i="2" a="1"/>
  <c r="H13" i="2" s="1"/>
  <c r="F13" i="2"/>
  <c r="H11" i="2" a="1"/>
  <c r="H11" i="2" s="1"/>
  <c r="U12" i="2" a="1"/>
  <c r="U12" i="2" s="1"/>
  <c r="T12" i="2" a="1"/>
  <c r="T12" i="2" s="1"/>
  <c r="S12" i="2" a="1"/>
  <c r="S12" i="2" s="1"/>
  <c r="R12" i="2" a="1"/>
  <c r="R12" i="2" s="1"/>
  <c r="Q12" i="2" a="1"/>
  <c r="Q12" i="2" s="1"/>
  <c r="P12" i="2" a="1"/>
  <c r="P12" i="2" s="1"/>
  <c r="O12" i="2" a="1"/>
  <c r="O12" i="2" s="1"/>
  <c r="N12" i="2" a="1"/>
  <c r="N12" i="2" s="1"/>
  <c r="H12" i="2" a="1"/>
  <c r="H12" i="2" s="1"/>
  <c r="F12" i="2"/>
  <c r="U11" i="2" a="1"/>
  <c r="U11" i="2" s="1"/>
  <c r="T11" i="2" a="1"/>
  <c r="T11" i="2" s="1"/>
  <c r="S11" i="2" a="1"/>
  <c r="S11" i="2" s="1"/>
  <c r="R11" i="2" a="1"/>
  <c r="R11" i="2" s="1"/>
  <c r="Q11" i="2" a="1"/>
  <c r="Q11" i="2" s="1"/>
  <c r="P11" i="2" a="1"/>
  <c r="P11" i="2" s="1"/>
  <c r="O11" i="2" a="1"/>
  <c r="O11" i="2" s="1"/>
  <c r="N11" i="2" a="1"/>
  <c r="N11" i="2" s="1"/>
  <c r="F11" i="2"/>
  <c r="U10" i="2" a="1"/>
  <c r="U10" i="2" s="1"/>
  <c r="T10" i="2" a="1"/>
  <c r="T10" i="2" s="1"/>
  <c r="S10" i="2" a="1"/>
  <c r="S10" i="2" s="1"/>
  <c r="R10" i="2" a="1"/>
  <c r="R10" i="2" s="1"/>
  <c r="Q10" i="2" a="1"/>
  <c r="Q10" i="2" s="1"/>
  <c r="P10" i="2" a="1"/>
  <c r="P10" i="2" s="1"/>
  <c r="O10" i="2" a="1"/>
  <c r="O10" i="2" s="1"/>
  <c r="N10" i="2" a="1"/>
  <c r="N10" i="2" s="1"/>
  <c r="F10" i="2"/>
  <c r="U9" i="2" a="1"/>
  <c r="U9" i="2" s="1"/>
  <c r="T9" i="2" a="1"/>
  <c r="T9" i="2" s="1"/>
  <c r="S9" i="2" a="1"/>
  <c r="S9" i="2" s="1"/>
  <c r="R9" i="2" a="1"/>
  <c r="R9" i="2" s="1"/>
  <c r="Q9" i="2" a="1"/>
  <c r="Q9" i="2" s="1"/>
  <c r="P9" i="2" a="1"/>
  <c r="P9" i="2" s="1"/>
  <c r="O9" i="2" a="1"/>
  <c r="O9" i="2" s="1"/>
  <c r="N9" i="2" a="1"/>
  <c r="N9" i="2" s="1"/>
  <c r="H9" i="2" a="1"/>
  <c r="H9" i="2" s="1"/>
  <c r="F9" i="2"/>
  <c r="U8" i="2" a="1"/>
  <c r="U8" i="2" s="1"/>
  <c r="T8" i="2" a="1"/>
  <c r="T8" i="2" s="1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 s="1"/>
  <c r="H8" i="2" a="1"/>
  <c r="H8" i="2" s="1"/>
  <c r="F8" i="2"/>
  <c r="U7" i="2" a="1"/>
  <c r="U7" i="2" s="1"/>
  <c r="T7" i="2" a="1"/>
  <c r="T7" i="2" s="1"/>
  <c r="S7" i="2" a="1"/>
  <c r="S7" i="2" s="1"/>
  <c r="R7" i="2" a="1"/>
  <c r="R7" i="2" s="1"/>
  <c r="Q7" i="2" a="1"/>
  <c r="Q7" i="2" s="1"/>
  <c r="P7" i="2" a="1"/>
  <c r="P7" i="2" s="1"/>
  <c r="O7" i="2" a="1"/>
  <c r="O7" i="2" s="1"/>
  <c r="N7" i="2" a="1"/>
  <c r="N7" i="2" s="1"/>
  <c r="H7" i="2" a="1"/>
  <c r="H7" i="2" s="1"/>
  <c r="F7" i="2"/>
  <c r="U6" i="2" a="1"/>
  <c r="U6" i="2" s="1"/>
  <c r="T6" i="2" a="1"/>
  <c r="T6" i="2" s="1"/>
  <c r="S6" i="2" a="1"/>
  <c r="S6" i="2" s="1"/>
  <c r="Q6" i="2" a="1"/>
  <c r="Q6" i="2" s="1"/>
  <c r="O6" i="2" a="1"/>
  <c r="O6" i="2" s="1"/>
  <c r="N6" i="2" a="1"/>
  <c r="N6" i="2" s="1"/>
  <c r="F6" i="2"/>
  <c r="U5" i="2" a="1"/>
  <c r="U5" i="2" s="1"/>
  <c r="T5" i="2" a="1"/>
  <c r="T5" i="2" s="1"/>
  <c r="S5" i="2" a="1"/>
  <c r="S5" i="2" s="1"/>
  <c r="R5" i="2" a="1"/>
  <c r="R5" i="2" s="1"/>
  <c r="Q5" i="2" a="1"/>
  <c r="Q5" i="2" s="1"/>
  <c r="P5" i="2" a="1"/>
  <c r="P5" i="2" s="1"/>
  <c r="O5" i="2" a="1"/>
  <c r="O5" i="2" s="1"/>
  <c r="N5" i="2" a="1"/>
  <c r="N5" i="2" s="1"/>
  <c r="H5" i="2" a="1"/>
  <c r="H5" i="2" s="1"/>
  <c r="F5" i="2"/>
  <c r="T4" i="2" a="1"/>
  <c r="T4" i="2" s="1"/>
  <c r="S4" i="2" a="1"/>
  <c r="S4" i="2" s="1"/>
  <c r="R4" i="2" a="1"/>
  <c r="R4" i="2" s="1"/>
  <c r="Q4" i="2" a="1"/>
  <c r="Q4" i="2" s="1"/>
  <c r="O4" i="2" a="1"/>
  <c r="O4" i="2" s="1"/>
  <c r="H4" i="2" a="1"/>
  <c r="H4" i="2" s="1"/>
  <c r="F4" i="2"/>
  <c r="F3" i="2"/>
  <c r="H3" i="2" a="1"/>
  <c r="H3" i="2" s="1"/>
  <c r="F2" i="2"/>
  <c r="H21" i="2" a="1"/>
  <c r="H21" i="2" s="1"/>
  <c r="N4" i="2" a="1"/>
  <c r="N4" i="2" s="1"/>
  <c r="P4" i="2" a="1"/>
  <c r="P4" i="2" s="1"/>
  <c r="I5" i="6" l="1"/>
  <c r="O25" i="6"/>
  <c r="S28" i="6"/>
  <c r="W29" i="6"/>
  <c r="U29" i="6"/>
  <c r="I37" i="6"/>
  <c r="V23" i="6"/>
  <c r="W28" i="6" s="1"/>
  <c r="Y29" i="6"/>
  <c r="J29" i="6"/>
  <c r="L18" i="6" s="1" a="1"/>
  <c r="L18" i="6" s="1"/>
  <c r="I29" i="6"/>
  <c r="S29" i="6"/>
  <c r="Y28" i="6"/>
  <c r="P25" i="6"/>
  <c r="P23" i="6"/>
  <c r="Q28" i="6" s="1"/>
  <c r="T23" i="6"/>
  <c r="U28" i="6" s="1"/>
  <c r="T25" i="6"/>
  <c r="O28" i="6"/>
  <c r="J17" i="4"/>
  <c r="P25" i="4"/>
  <c r="P23" i="4"/>
  <c r="N25" i="4"/>
  <c r="N23" i="4"/>
  <c r="O25" i="4"/>
  <c r="O23" i="4"/>
  <c r="S25" i="4"/>
  <c r="S23" i="4"/>
  <c r="J9" i="4"/>
  <c r="I9" i="4"/>
  <c r="Q25" i="4"/>
  <c r="Q23" i="4"/>
  <c r="H3" i="4" a="1"/>
  <c r="H3" i="4" s="1"/>
  <c r="U25" i="4"/>
  <c r="U23" i="4"/>
  <c r="W25" i="4"/>
  <c r="W23" i="4"/>
  <c r="Y25" i="4"/>
  <c r="Y23" i="4"/>
  <c r="H11" i="4" a="1"/>
  <c r="H11" i="4" s="1"/>
  <c r="I17" i="4"/>
  <c r="J45" i="4"/>
  <c r="I45" i="4"/>
  <c r="J61" i="4"/>
  <c r="I61" i="4"/>
  <c r="J77" i="4"/>
  <c r="I77" i="4"/>
  <c r="R25" i="4"/>
  <c r="R23" i="4"/>
  <c r="T25" i="4"/>
  <c r="T23" i="4"/>
  <c r="V25" i="4"/>
  <c r="V23" i="4"/>
  <c r="X25" i="4"/>
  <c r="X23" i="4"/>
  <c r="Y28" i="4" s="1"/>
  <c r="J21" i="4"/>
  <c r="I21" i="4"/>
  <c r="J29" i="4"/>
  <c r="I29" i="4"/>
  <c r="J41" i="4"/>
  <c r="I41" i="4"/>
  <c r="J57" i="4"/>
  <c r="I57" i="4"/>
  <c r="J73" i="4"/>
  <c r="I73" i="4"/>
  <c r="J37" i="4"/>
  <c r="I37" i="4"/>
  <c r="J53" i="4"/>
  <c r="I53" i="4"/>
  <c r="J69" i="4"/>
  <c r="I69" i="4"/>
  <c r="J25" i="4"/>
  <c r="I25" i="4"/>
  <c r="J33" i="4"/>
  <c r="I33" i="4"/>
  <c r="J49" i="4"/>
  <c r="I49" i="4"/>
  <c r="J65" i="4"/>
  <c r="I65" i="4"/>
  <c r="J81" i="4"/>
  <c r="I81" i="4"/>
  <c r="J5" i="3"/>
  <c r="J13" i="3"/>
  <c r="I13" i="3"/>
  <c r="O25" i="3"/>
  <c r="O23" i="3"/>
  <c r="P25" i="3"/>
  <c r="P23" i="3"/>
  <c r="T25" i="3"/>
  <c r="T23" i="3"/>
  <c r="S25" i="3"/>
  <c r="S23" i="3"/>
  <c r="S29" i="3" s="1"/>
  <c r="Q25" i="3"/>
  <c r="Q23" i="3"/>
  <c r="U25" i="3"/>
  <c r="U23" i="3"/>
  <c r="U29" i="3" s="1"/>
  <c r="W25" i="3"/>
  <c r="W23" i="3"/>
  <c r="W29" i="3" s="1"/>
  <c r="N25" i="3"/>
  <c r="N23" i="3"/>
  <c r="R25" i="3"/>
  <c r="R23" i="3"/>
  <c r="V25" i="3"/>
  <c r="V23" i="3"/>
  <c r="Y25" i="3"/>
  <c r="Y23" i="3"/>
  <c r="Y29" i="3" s="1"/>
  <c r="J9" i="3"/>
  <c r="I9" i="3"/>
  <c r="J61" i="3"/>
  <c r="I61" i="3"/>
  <c r="J77" i="3"/>
  <c r="I77" i="3"/>
  <c r="J49" i="3"/>
  <c r="I49" i="3"/>
  <c r="I5" i="3"/>
  <c r="J17" i="3"/>
  <c r="I17" i="3"/>
  <c r="J25" i="3"/>
  <c r="I25" i="3"/>
  <c r="J29" i="3"/>
  <c r="I29" i="3"/>
  <c r="J33" i="3"/>
  <c r="I33" i="3"/>
  <c r="J45" i="3"/>
  <c r="I45" i="3"/>
  <c r="J57" i="3"/>
  <c r="I57" i="3"/>
  <c r="J73" i="3"/>
  <c r="I73" i="3"/>
  <c r="J41" i="3"/>
  <c r="I41" i="3"/>
  <c r="J53" i="3"/>
  <c r="I53" i="3"/>
  <c r="J69" i="3"/>
  <c r="I69" i="3"/>
  <c r="X25" i="3"/>
  <c r="X23" i="3"/>
  <c r="J21" i="3"/>
  <c r="I21" i="3"/>
  <c r="J37" i="3"/>
  <c r="I37" i="3"/>
  <c r="J65" i="3"/>
  <c r="I65" i="3"/>
  <c r="J81" i="3"/>
  <c r="I81" i="3"/>
  <c r="Y25" i="2"/>
  <c r="W25" i="2"/>
  <c r="V25" i="2"/>
  <c r="X25" i="2"/>
  <c r="X23" i="2"/>
  <c r="W23" i="2"/>
  <c r="V23" i="2"/>
  <c r="Y23" i="2"/>
  <c r="J77" i="2"/>
  <c r="J81" i="2"/>
  <c r="J73" i="2"/>
  <c r="J45" i="2"/>
  <c r="J21" i="2"/>
  <c r="I37" i="2"/>
  <c r="J41" i="2"/>
  <c r="I41" i="2"/>
  <c r="I29" i="2"/>
  <c r="J29" i="2"/>
  <c r="I25" i="2"/>
  <c r="J25" i="2"/>
  <c r="I21" i="2"/>
  <c r="J49" i="2"/>
  <c r="I81" i="2"/>
  <c r="J13" i="2"/>
  <c r="J65" i="2"/>
  <c r="U23" i="2"/>
  <c r="U25" i="2"/>
  <c r="J17" i="2"/>
  <c r="I17" i="2"/>
  <c r="J53" i="2"/>
  <c r="I53" i="2"/>
  <c r="J57" i="2"/>
  <c r="I69" i="2"/>
  <c r="J69" i="2"/>
  <c r="I5" i="2"/>
  <c r="J5" i="2"/>
  <c r="S23" i="2"/>
  <c r="S25" i="2"/>
  <c r="J33" i="2"/>
  <c r="I33" i="2"/>
  <c r="I61" i="2"/>
  <c r="J61" i="2"/>
  <c r="P25" i="2"/>
  <c r="I13" i="2"/>
  <c r="I45" i="2"/>
  <c r="I73" i="2"/>
  <c r="I49" i="2"/>
  <c r="I57" i="2"/>
  <c r="Q23" i="2"/>
  <c r="N23" i="2"/>
  <c r="J37" i="2"/>
  <c r="I65" i="2"/>
  <c r="O25" i="2"/>
  <c r="O23" i="2"/>
  <c r="Q25" i="2"/>
  <c r="J9" i="2"/>
  <c r="I9" i="2"/>
  <c r="T23" i="2"/>
  <c r="T25" i="2"/>
  <c r="R25" i="2"/>
  <c r="R23" i="2"/>
  <c r="P23" i="2"/>
  <c r="N25" i="2"/>
  <c r="I77" i="2"/>
  <c r="W28" i="4" l="1"/>
  <c r="U28" i="4"/>
  <c r="S28" i="4"/>
  <c r="L29" i="6" a="1"/>
  <c r="L29" i="6" s="1"/>
  <c r="K18" i="6" a="1"/>
  <c r="K18" i="6" s="1"/>
  <c r="L5" i="6" a="1"/>
  <c r="L5" i="6" s="1"/>
  <c r="K7" i="6" a="1"/>
  <c r="K7" i="6" s="1"/>
  <c r="L24" i="6" a="1"/>
  <c r="L24" i="6" s="1"/>
  <c r="K15" i="6" a="1"/>
  <c r="K15" i="6" s="1"/>
  <c r="L19" i="6" a="1"/>
  <c r="L19" i="6" s="1"/>
  <c r="L21" i="6" a="1"/>
  <c r="L21" i="6" s="1"/>
  <c r="L4" i="6" a="1"/>
  <c r="L4" i="6" s="1"/>
  <c r="L10" i="6" a="1"/>
  <c r="L10" i="6" s="1"/>
  <c r="L32" i="6" a="1"/>
  <c r="L32" i="6" s="1"/>
  <c r="L22" i="6" a="1"/>
  <c r="L22" i="6" s="1"/>
  <c r="K6" i="6" a="1"/>
  <c r="K6" i="6" s="1"/>
  <c r="L16" i="6" a="1"/>
  <c r="L16" i="6" s="1"/>
  <c r="L28" i="6" a="1"/>
  <c r="L28" i="6" s="1"/>
  <c r="K16" i="6" a="1"/>
  <c r="K16" i="6" s="1"/>
  <c r="L30" i="6" a="1"/>
  <c r="L30" i="6" s="1"/>
  <c r="L26" i="6" a="1"/>
  <c r="L26" i="6" s="1"/>
  <c r="K4" i="6" a="1"/>
  <c r="K4" i="6" s="1"/>
  <c r="L2" i="6" a="1"/>
  <c r="L2" i="6" s="1"/>
  <c r="L17" i="6" a="1"/>
  <c r="L17" i="6" s="1"/>
  <c r="L27" i="6" a="1"/>
  <c r="L27" i="6" s="1"/>
  <c r="L12" i="6" a="1"/>
  <c r="L12" i="6" s="1"/>
  <c r="K17" i="6" a="1"/>
  <c r="K17" i="6" s="1"/>
  <c r="L23" i="6" a="1"/>
  <c r="L23" i="6" s="1"/>
  <c r="L20" i="6" a="1"/>
  <c r="L20" i="6" s="1"/>
  <c r="K3" i="6" a="1"/>
  <c r="K3" i="6" s="1"/>
  <c r="K5" i="6" a="1"/>
  <c r="K5" i="6" s="1"/>
  <c r="K14" i="6" a="1"/>
  <c r="K14" i="6" s="1"/>
  <c r="L3" i="6" a="1"/>
  <c r="L3" i="6" s="1"/>
  <c r="L34" i="6" a="1"/>
  <c r="L34" i="6" s="1"/>
  <c r="L8" i="6" a="1"/>
  <c r="L8" i="6" s="1"/>
  <c r="K25" i="6" a="1"/>
  <c r="K25" i="6" s="1"/>
  <c r="K27" i="6" a="1"/>
  <c r="K27" i="6" s="1"/>
  <c r="K9" i="6" a="1"/>
  <c r="K9" i="6" s="1"/>
  <c r="K22" i="6" a="1"/>
  <c r="K22" i="6" s="1"/>
  <c r="L13" i="6" a="1"/>
  <c r="L13" i="6" s="1"/>
  <c r="L9" i="6" a="1"/>
  <c r="L9" i="6" s="1"/>
  <c r="L31" i="6" a="1"/>
  <c r="L31" i="6" s="1"/>
  <c r="L33" i="6" a="1"/>
  <c r="L33" i="6" s="1"/>
  <c r="K12" i="6" a="1"/>
  <c r="K12" i="6" s="1"/>
  <c r="K13" i="6" a="1"/>
  <c r="K13" i="6" s="1"/>
  <c r="K10" i="6" a="1"/>
  <c r="K10" i="6" s="1"/>
  <c r="K8" i="6" a="1"/>
  <c r="K8" i="6" s="1"/>
  <c r="K2" i="6" a="1"/>
  <c r="K2" i="6" s="1"/>
  <c r="L25" i="6" a="1"/>
  <c r="L25" i="6" s="1"/>
  <c r="L6" i="6" a="1"/>
  <c r="L6" i="6" s="1"/>
  <c r="L7" i="6" a="1"/>
  <c r="L7" i="6" s="1"/>
  <c r="L35" i="6" a="1"/>
  <c r="L35" i="6" s="1"/>
  <c r="K20" i="6" a="1"/>
  <c r="K20" i="6" s="1"/>
  <c r="K19" i="6" a="1"/>
  <c r="K19" i="6" s="1"/>
  <c r="K26" i="6" a="1"/>
  <c r="K26" i="6" s="1"/>
  <c r="K11" i="6" a="1"/>
  <c r="K11" i="6" s="1"/>
  <c r="L11" i="6" a="1"/>
  <c r="L11" i="6" s="1"/>
  <c r="L14" i="6" a="1"/>
  <c r="L14" i="6" s="1"/>
  <c r="L15" i="6" a="1"/>
  <c r="L15" i="6" s="1"/>
  <c r="K24" i="6" a="1"/>
  <c r="K24" i="6" s="1"/>
  <c r="K21" i="6" a="1"/>
  <c r="K21" i="6" s="1"/>
  <c r="K23" i="6" a="1"/>
  <c r="K23" i="6" s="1"/>
  <c r="W29" i="4"/>
  <c r="Y29" i="4"/>
  <c r="U29" i="4"/>
  <c r="Q28" i="4"/>
  <c r="J13" i="4"/>
  <c r="I13" i="4"/>
  <c r="S29" i="4"/>
  <c r="O28" i="4"/>
  <c r="J5" i="4"/>
  <c r="I5" i="4"/>
  <c r="W28" i="2"/>
  <c r="S29" i="2"/>
  <c r="Y28" i="2"/>
  <c r="O28" i="2"/>
  <c r="U29" i="2"/>
  <c r="Q29" i="2"/>
  <c r="S28" i="3"/>
  <c r="W28" i="3"/>
  <c r="Q28" i="3"/>
  <c r="L35" i="3" a="1"/>
  <c r="L35" i="3" s="1"/>
  <c r="O28" i="3"/>
  <c r="L4" i="3" a="1"/>
  <c r="L4" i="3" s="1"/>
  <c r="L3" i="3" a="1"/>
  <c r="L3" i="3" s="1"/>
  <c r="L11" i="3" a="1"/>
  <c r="L11" i="3" s="1"/>
  <c r="L10" i="3" a="1"/>
  <c r="L10" i="3" s="1"/>
  <c r="L24" i="3" a="1"/>
  <c r="L24" i="3" s="1"/>
  <c r="L23" i="3" a="1"/>
  <c r="L23" i="3" s="1"/>
  <c r="L34" i="3" a="1"/>
  <c r="L34" i="3" s="1"/>
  <c r="L28" i="3" a="1"/>
  <c r="L28" i="3" s="1"/>
  <c r="L29" i="3" a="1"/>
  <c r="L29" i="3" s="1"/>
  <c r="U28" i="3"/>
  <c r="L8" i="3" a="1"/>
  <c r="L8" i="3" s="1"/>
  <c r="L5" i="3" a="1"/>
  <c r="L5" i="3" s="1"/>
  <c r="L13" i="3" a="1"/>
  <c r="L13" i="3" s="1"/>
  <c r="L14" i="3" a="1"/>
  <c r="L14" i="3" s="1"/>
  <c r="L17" i="3" a="1"/>
  <c r="L17" i="3" s="1"/>
  <c r="L25" i="3" a="1"/>
  <c r="L25" i="3" s="1"/>
  <c r="L18" i="3" a="1"/>
  <c r="L18" i="3" s="1"/>
  <c r="L31" i="3" a="1"/>
  <c r="L31" i="3" s="1"/>
  <c r="L32" i="3" a="1"/>
  <c r="L32" i="3" s="1"/>
  <c r="L12" i="3" a="1"/>
  <c r="L12" i="3" s="1"/>
  <c r="L7" i="3" a="1"/>
  <c r="L7" i="3" s="1"/>
  <c r="L16" i="3" a="1"/>
  <c r="L16" i="3" s="1"/>
  <c r="L2" i="3" a="1"/>
  <c r="L2" i="3" s="1"/>
  <c r="L19" i="3" a="1"/>
  <c r="L19" i="3" s="1"/>
  <c r="L27" i="3" a="1"/>
  <c r="L27" i="3" s="1"/>
  <c r="L22" i="3" a="1"/>
  <c r="L22" i="3" s="1"/>
  <c r="L33" i="3" a="1"/>
  <c r="L33" i="3" s="1"/>
  <c r="K27" i="3" a="1"/>
  <c r="K27" i="3" s="1"/>
  <c r="K25" i="3" a="1"/>
  <c r="K25" i="3" s="1"/>
  <c r="K23" i="3" a="1"/>
  <c r="K23" i="3" s="1"/>
  <c r="K21" i="3" a="1"/>
  <c r="K21" i="3" s="1"/>
  <c r="K19" i="3" a="1"/>
  <c r="K19" i="3" s="1"/>
  <c r="K17" i="3" a="1"/>
  <c r="K17" i="3" s="1"/>
  <c r="K24" i="3" a="1"/>
  <c r="K24" i="3" s="1"/>
  <c r="K20" i="3" a="1"/>
  <c r="K20" i="3" s="1"/>
  <c r="K16" i="3" a="1"/>
  <c r="K16" i="3" s="1"/>
  <c r="K26" i="3" a="1"/>
  <c r="K26" i="3" s="1"/>
  <c r="K22" i="3" a="1"/>
  <c r="K22" i="3" s="1"/>
  <c r="K13" i="3" a="1"/>
  <c r="K13" i="3" s="1"/>
  <c r="K11" i="3" a="1"/>
  <c r="K11" i="3" s="1"/>
  <c r="K9" i="3" a="1"/>
  <c r="K9" i="3" s="1"/>
  <c r="K7" i="3" a="1"/>
  <c r="K7" i="3" s="1"/>
  <c r="K5" i="3" a="1"/>
  <c r="K5" i="3" s="1"/>
  <c r="K3" i="3" a="1"/>
  <c r="K3" i="3" s="1"/>
  <c r="K4" i="3" a="1"/>
  <c r="K4" i="3" s="1"/>
  <c r="K15" i="3" a="1"/>
  <c r="K15" i="3" s="1"/>
  <c r="K12" i="3" a="1"/>
  <c r="K12" i="3" s="1"/>
  <c r="K8" i="3" a="1"/>
  <c r="K8" i="3" s="1"/>
  <c r="K18" i="3" a="1"/>
  <c r="K18" i="3" s="1"/>
  <c r="K6" i="3" a="1"/>
  <c r="K6" i="3" s="1"/>
  <c r="K14" i="3" a="1"/>
  <c r="K14" i="3" s="1"/>
  <c r="K10" i="3" a="1"/>
  <c r="K10" i="3" s="1"/>
  <c r="K2" i="3" a="1"/>
  <c r="K2" i="3" s="1"/>
  <c r="Y28" i="3"/>
  <c r="L15" i="3" a="1"/>
  <c r="L15" i="3" s="1"/>
  <c r="L9" i="3" a="1"/>
  <c r="L9" i="3" s="1"/>
  <c r="L6" i="3" a="1"/>
  <c r="L6" i="3" s="1"/>
  <c r="L20" i="3" a="1"/>
  <c r="L20" i="3" s="1"/>
  <c r="L21" i="3" a="1"/>
  <c r="L21" i="3" s="1"/>
  <c r="L30" i="3" a="1"/>
  <c r="L30" i="3" s="1"/>
  <c r="L26" i="3" a="1"/>
  <c r="L26" i="3" s="1"/>
  <c r="W29" i="2"/>
  <c r="Y29" i="2"/>
  <c r="U28" i="2"/>
  <c r="L11" i="2" a="1"/>
  <c r="L11" i="2" s="1"/>
  <c r="Q28" i="2"/>
  <c r="L34" i="2" a="1"/>
  <c r="L34" i="2" s="1"/>
  <c r="L16" i="2" a="1"/>
  <c r="L16" i="2" s="1"/>
  <c r="L33" i="2" a="1"/>
  <c r="L33" i="2" s="1"/>
  <c r="L32" i="2" a="1"/>
  <c r="L32" i="2" s="1"/>
  <c r="L24" i="2" a="1"/>
  <c r="L24" i="2" s="1"/>
  <c r="L6" i="2" a="1"/>
  <c r="L6" i="2" s="1"/>
  <c r="L5" i="2" a="1"/>
  <c r="L5" i="2" s="1"/>
  <c r="L22" i="2" a="1"/>
  <c r="L22" i="2" s="1"/>
  <c r="L8" i="2" a="1"/>
  <c r="L8" i="2" s="1"/>
  <c r="L20" i="2" a="1"/>
  <c r="L20" i="2" s="1"/>
  <c r="K3" i="2" a="1"/>
  <c r="K3" i="2" s="1"/>
  <c r="L29" i="2" a="1"/>
  <c r="L29" i="2" s="1"/>
  <c r="L35" i="2" a="1"/>
  <c r="L35" i="2" s="1"/>
  <c r="L4" i="2" a="1"/>
  <c r="L4" i="2" s="1"/>
  <c r="L18" i="2" a="1"/>
  <c r="L18" i="2" s="1"/>
  <c r="L17" i="2" a="1"/>
  <c r="L17" i="2" s="1"/>
  <c r="L21" i="2" a="1"/>
  <c r="L21" i="2" s="1"/>
  <c r="L25" i="2" a="1"/>
  <c r="L25" i="2" s="1"/>
  <c r="L9" i="2" a="1"/>
  <c r="L9" i="2" s="1"/>
  <c r="S28" i="2"/>
  <c r="K20" i="2" a="1"/>
  <c r="K20" i="2" s="1"/>
  <c r="K22" i="2" a="1"/>
  <c r="K22" i="2" s="1"/>
  <c r="K25" i="2" a="1"/>
  <c r="K25" i="2" s="1"/>
  <c r="K12" i="2" a="1"/>
  <c r="K12" i="2" s="1"/>
  <c r="K26" i="2" a="1"/>
  <c r="K26" i="2" s="1"/>
  <c r="K14" i="2" a="1"/>
  <c r="K14" i="2" s="1"/>
  <c r="K4" i="2" a="1"/>
  <c r="K4" i="2" s="1"/>
  <c r="K23" i="2" a="1"/>
  <c r="K23" i="2" s="1"/>
  <c r="L13" i="2" a="1"/>
  <c r="L13" i="2" s="1"/>
  <c r="L14" i="2" a="1"/>
  <c r="L14" i="2" s="1"/>
  <c r="L23" i="2" a="1"/>
  <c r="L23" i="2" s="1"/>
  <c r="L27" i="2" a="1"/>
  <c r="L27" i="2" s="1"/>
  <c r="L12" i="2" a="1"/>
  <c r="L12" i="2" s="1"/>
  <c r="L7" i="2" a="1"/>
  <c r="L7" i="2" s="1"/>
  <c r="L3" i="2" a="1"/>
  <c r="L3" i="2" s="1"/>
  <c r="L2" i="2" a="1"/>
  <c r="L2" i="2" s="1"/>
  <c r="L30" i="2" a="1"/>
  <c r="L30" i="2" s="1"/>
  <c r="L26" i="2" a="1"/>
  <c r="L26" i="2" s="1"/>
  <c r="L31" i="2" a="1"/>
  <c r="L31" i="2" s="1"/>
  <c r="L10" i="2" a="1"/>
  <c r="L10" i="2" s="1"/>
  <c r="K18" i="2" a="1"/>
  <c r="K18" i="2" s="1"/>
  <c r="K6" i="2" a="1"/>
  <c r="K6" i="2" s="1"/>
  <c r="K7" i="2" a="1"/>
  <c r="K7" i="2" s="1"/>
  <c r="K27" i="2" a="1"/>
  <c r="K27" i="2" s="1"/>
  <c r="K17" i="2" a="1"/>
  <c r="K17" i="2" s="1"/>
  <c r="K5" i="2" a="1"/>
  <c r="K5" i="2" s="1"/>
  <c r="K15" i="2" a="1"/>
  <c r="K15" i="2" s="1"/>
  <c r="L15" i="2" a="1"/>
  <c r="L15" i="2" s="1"/>
  <c r="L19" i="2" a="1"/>
  <c r="L19" i="2" s="1"/>
  <c r="K2" i="2" a="1"/>
  <c r="K2" i="2" s="1"/>
  <c r="K21" i="2" a="1"/>
  <c r="K21" i="2" s="1"/>
  <c r="K10" i="2" a="1"/>
  <c r="K10" i="2" s="1"/>
  <c r="K19" i="2" a="1"/>
  <c r="K19" i="2" s="1"/>
  <c r="K8" i="2" a="1"/>
  <c r="K8" i="2" s="1"/>
  <c r="L28" i="2" a="1"/>
  <c r="L28" i="2" s="1"/>
  <c r="K13" i="2" a="1"/>
  <c r="K13" i="2" s="1"/>
  <c r="K24" i="2" a="1"/>
  <c r="K24" i="2" s="1"/>
  <c r="K9" i="2" a="1"/>
  <c r="K9" i="2" s="1"/>
  <c r="K11" i="2" a="1"/>
  <c r="K11" i="2" s="1"/>
  <c r="K16" i="2" a="1"/>
  <c r="K16" i="2" s="1"/>
  <c r="K26" i="4" l="1" a="1"/>
  <c r="K26" i="4" s="1"/>
  <c r="K22" i="4" a="1"/>
  <c r="K22" i="4" s="1"/>
  <c r="K18" i="4" a="1"/>
  <c r="K18" i="4" s="1"/>
  <c r="K14" i="4" a="1"/>
  <c r="K14" i="4" s="1"/>
  <c r="K27" i="4" a="1"/>
  <c r="K27" i="4" s="1"/>
  <c r="K25" i="4" a="1"/>
  <c r="K25" i="4" s="1"/>
  <c r="K23" i="4" a="1"/>
  <c r="K23" i="4" s="1"/>
  <c r="K21" i="4" a="1"/>
  <c r="K21" i="4" s="1"/>
  <c r="K19" i="4" a="1"/>
  <c r="K19" i="4" s="1"/>
  <c r="K24" i="4" a="1"/>
  <c r="K24" i="4" s="1"/>
  <c r="K20" i="4" a="1"/>
  <c r="K20" i="4" s="1"/>
  <c r="K16" i="4" a="1"/>
  <c r="K16" i="4" s="1"/>
  <c r="K15" i="4" a="1"/>
  <c r="K15" i="4" s="1"/>
  <c r="K10" i="4" a="1"/>
  <c r="K10" i="4" s="1"/>
  <c r="K6" i="4" a="1"/>
  <c r="K6" i="4" s="1"/>
  <c r="K13" i="4" a="1"/>
  <c r="K13" i="4" s="1"/>
  <c r="K11" i="4" a="1"/>
  <c r="K11" i="4" s="1"/>
  <c r="K3" i="4" a="1"/>
  <c r="K3" i="4" s="1"/>
  <c r="K17" i="4" a="1"/>
  <c r="K17" i="4" s="1"/>
  <c r="K12" i="4" a="1"/>
  <c r="K12" i="4" s="1"/>
  <c r="K8" i="4" a="1"/>
  <c r="K8" i="4" s="1"/>
  <c r="K4" i="4" a="1"/>
  <c r="K4" i="4" s="1"/>
  <c r="K5" i="4" a="1"/>
  <c r="K5" i="4" s="1"/>
  <c r="K2" i="4" a="1"/>
  <c r="K2" i="4" s="1"/>
  <c r="K9" i="4" a="1"/>
  <c r="K9" i="4" s="1"/>
  <c r="K7" i="4" a="1"/>
  <c r="K7" i="4" s="1"/>
  <c r="L32" i="4" a="1"/>
  <c r="L32" i="4" s="1"/>
  <c r="L24" i="4" a="1"/>
  <c r="L24" i="4" s="1"/>
  <c r="L20" i="4" a="1"/>
  <c r="L20" i="4" s="1"/>
  <c r="L16" i="4" a="1"/>
  <c r="L16" i="4" s="1"/>
  <c r="L35" i="4" a="1"/>
  <c r="L35" i="4" s="1"/>
  <c r="L33" i="4" a="1"/>
  <c r="L33" i="4" s="1"/>
  <c r="L31" i="4" a="1"/>
  <c r="L31" i="4" s="1"/>
  <c r="L29" i="4" a="1"/>
  <c r="L29" i="4" s="1"/>
  <c r="L34" i="4" a="1"/>
  <c r="L34" i="4" s="1"/>
  <c r="L30" i="4" a="1"/>
  <c r="L30" i="4" s="1"/>
  <c r="L28" i="4" a="1"/>
  <c r="L28" i="4" s="1"/>
  <c r="L26" i="4" a="1"/>
  <c r="L26" i="4" s="1"/>
  <c r="L22" i="4" a="1"/>
  <c r="L22" i="4" s="1"/>
  <c r="L18" i="4" a="1"/>
  <c r="L18" i="4" s="1"/>
  <c r="L27" i="4" a="1"/>
  <c r="L27" i="4" s="1"/>
  <c r="L25" i="4" a="1"/>
  <c r="L25" i="4" s="1"/>
  <c r="L23" i="4" a="1"/>
  <c r="L23" i="4" s="1"/>
  <c r="L21" i="4" a="1"/>
  <c r="L21" i="4" s="1"/>
  <c r="L19" i="4" a="1"/>
  <c r="L19" i="4" s="1"/>
  <c r="L12" i="4" a="1"/>
  <c r="L12" i="4" s="1"/>
  <c r="L8" i="4" a="1"/>
  <c r="L8" i="4" s="1"/>
  <c r="L4" i="4" a="1"/>
  <c r="L4" i="4" s="1"/>
  <c r="L17" i="4" a="1"/>
  <c r="L17" i="4" s="1"/>
  <c r="L10" i="4" a="1"/>
  <c r="L10" i="4" s="1"/>
  <c r="L6" i="4" a="1"/>
  <c r="L6" i="4" s="1"/>
  <c r="L2" i="4" a="1"/>
  <c r="L2" i="4" s="1"/>
  <c r="L15" i="4" a="1"/>
  <c r="L15" i="4" s="1"/>
  <c r="L13" i="4" a="1"/>
  <c r="L13" i="4" s="1"/>
  <c r="L11" i="4" a="1"/>
  <c r="L11" i="4" s="1"/>
  <c r="L9" i="4" a="1"/>
  <c r="L9" i="4" s="1"/>
  <c r="L7" i="4" a="1"/>
  <c r="L7" i="4" s="1"/>
  <c r="L5" i="4" a="1"/>
  <c r="L5" i="4" s="1"/>
  <c r="L3" i="4" a="1"/>
  <c r="L3" i="4" s="1"/>
  <c r="L14" i="4" a="1"/>
  <c r="L1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<sst xmlns="http://schemas.openxmlformats.org/spreadsheetml/2006/main" count="1105" uniqueCount="98">
  <si>
    <t>Treatment</t>
  </si>
  <si>
    <t>Dilution</t>
  </si>
  <si>
    <t>10^-4</t>
  </si>
  <si>
    <t>10^-5</t>
  </si>
  <si>
    <t>10^-3</t>
  </si>
  <si>
    <t>Technical Replicate 1</t>
  </si>
  <si>
    <t>Technical Replicate 2</t>
  </si>
  <si>
    <t>Biological Replicate</t>
  </si>
  <si>
    <t>CFU/ld</t>
  </si>
  <si>
    <t>Stdev</t>
  </si>
  <si>
    <t>Good Reps</t>
  </si>
  <si>
    <t>Plant 1</t>
  </si>
  <si>
    <t>Plant 2</t>
  </si>
  <si>
    <t>Plant 3</t>
  </si>
  <si>
    <t>Plant 4</t>
  </si>
  <si>
    <t>Plant 5</t>
  </si>
  <si>
    <t>Plant 6</t>
  </si>
  <si>
    <t>Plant 7</t>
  </si>
  <si>
    <t>Plant 8</t>
  </si>
  <si>
    <t>Plant 9</t>
  </si>
  <si>
    <t>Plant 10</t>
  </si>
  <si>
    <t>Plant 11</t>
  </si>
  <si>
    <t>Plant 12</t>
  </si>
  <si>
    <t>Plant 13</t>
  </si>
  <si>
    <t>Plant 14</t>
  </si>
  <si>
    <t>Plant 15</t>
  </si>
  <si>
    <t>Plant 16</t>
  </si>
  <si>
    <t>Plant 17</t>
  </si>
  <si>
    <t>Plant 18</t>
  </si>
  <si>
    <t>Plant 19</t>
  </si>
  <si>
    <t>Plant 20</t>
  </si>
  <si>
    <t>Plants</t>
  </si>
  <si>
    <t>Averages</t>
  </si>
  <si>
    <t>Averages Cut</t>
  </si>
  <si>
    <t>Stdev Cut</t>
  </si>
  <si>
    <t>AVG T1</t>
  </si>
  <si>
    <t>AVG T2</t>
  </si>
  <si>
    <t>AVGT3</t>
  </si>
  <si>
    <t>AVG T4</t>
  </si>
  <si>
    <t>AVG T5</t>
  </si>
  <si>
    <t>AVG T6</t>
  </si>
  <si>
    <t>AVG T7</t>
  </si>
  <si>
    <t>AVG T8</t>
  </si>
  <si>
    <t>STDEV T1</t>
  </si>
  <si>
    <t>STDEV T2</t>
  </si>
  <si>
    <t>STDEV T3</t>
  </si>
  <si>
    <t>STDEV T4</t>
  </si>
  <si>
    <t>STDEV T5</t>
  </si>
  <si>
    <t>STDEV T6</t>
  </si>
  <si>
    <t>STDEV T8</t>
  </si>
  <si>
    <t>STDEV T7</t>
  </si>
  <si>
    <t>Plant lower</t>
  </si>
  <si>
    <t>Plant higher</t>
  </si>
  <si>
    <t>10^-2</t>
  </si>
  <si>
    <t>Y.Col</t>
  </si>
  <si>
    <t>M.Col</t>
  </si>
  <si>
    <t>tftc</t>
  </si>
  <si>
    <t>tntc</t>
  </si>
  <si>
    <t>Y.bak1-4</t>
  </si>
  <si>
    <t>Y.bak1-5</t>
  </si>
  <si>
    <t>Y.bkk1-1</t>
  </si>
  <si>
    <t>Y.b1b1</t>
  </si>
  <si>
    <t>Y.sobir1-12</t>
  </si>
  <si>
    <t>tntx</t>
  </si>
  <si>
    <t>~70</t>
  </si>
  <si>
    <t>M.bak1-4</t>
  </si>
  <si>
    <t>M.bak1-5</t>
  </si>
  <si>
    <t>M.bkk1-1</t>
  </si>
  <si>
    <t>M.b1b1</t>
  </si>
  <si>
    <t>M.sobir1-12</t>
  </si>
  <si>
    <t>Col</t>
  </si>
  <si>
    <t>bak1-4</t>
  </si>
  <si>
    <t>bak1-5</t>
  </si>
  <si>
    <t>bkk1-1</t>
  </si>
  <si>
    <t>b1b1</t>
  </si>
  <si>
    <t>sobir1-12</t>
  </si>
  <si>
    <t>experiment</t>
  </si>
  <si>
    <t>ARR-CSR-21-1</t>
  </si>
  <si>
    <t>ARR-CSR-21-2</t>
  </si>
  <si>
    <t>ARR-CSR-21-3</t>
  </si>
  <si>
    <t>average</t>
  </si>
  <si>
    <t>stdev</t>
  </si>
  <si>
    <t>Y_Col</t>
  </si>
  <si>
    <t>M_Col</t>
  </si>
  <si>
    <t>M_b1b1</t>
  </si>
  <si>
    <t>Y_b1b1</t>
  </si>
  <si>
    <t>Y_bak1.5</t>
  </si>
  <si>
    <t>M_bak1.5</t>
  </si>
  <si>
    <t>Y_bkk1.1</t>
  </si>
  <si>
    <t>M_bkk1.1</t>
  </si>
  <si>
    <t>genotype</t>
  </si>
  <si>
    <t>age</t>
  </si>
  <si>
    <t>cfu</t>
  </si>
  <si>
    <t>Col-0</t>
  </si>
  <si>
    <t>Y</t>
  </si>
  <si>
    <t>M</t>
  </si>
  <si>
    <t>ARR-CSR-23-1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</si>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</sst>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49" fontId="2" fillId="0" borderId="1" xfId="0" applyNumberFormat="1" applyFont="1" applyBorder="1" applyAlignment="1">
      <alignment wrapText="1"/>
    </xf>
    <xf numFmtId="1" fontId="2" fillId="0" borderId="9" xfId="0" applyNumberFormat="1" applyFont="1" applyBorder="1" applyAlignment="1">
      <alignment horizontal="center" wrapText="1"/>
    </xf>
    <xf numFmtId="1" fontId="2" fillId="0" borderId="2" xfId="0" applyNumberFormat="1" applyFont="1" applyBorder="1"/>
    <xf numFmtId="11" fontId="2" fillId="0" borderId="11" xfId="0" applyNumberFormat="1" applyFont="1" applyBorder="1"/>
    <xf numFmtId="11" fontId="3" fillId="0" borderId="0" xfId="0" applyNumberFormat="1" applyFont="1"/>
    <xf numFmtId="0" fontId="3" fillId="0" borderId="0" xfId="0" applyFont="1"/>
    <xf numFmtId="1" fontId="3" fillId="0" borderId="3" xfId="0" applyNumberFormat="1" applyFont="1" applyBorder="1"/>
    <xf numFmtId="11" fontId="3" fillId="0" borderId="5" xfId="0" applyNumberFormat="1" applyFont="1" applyBorder="1"/>
    <xf numFmtId="11" fontId="3" fillId="0" borderId="17" xfId="0" applyNumberFormat="1" applyFont="1" applyBorder="1"/>
    <xf numFmtId="1" fontId="3" fillId="0" borderId="4" xfId="0" applyNumberFormat="1" applyFont="1" applyBorder="1"/>
    <xf numFmtId="1" fontId="3" fillId="0" borderId="16" xfId="0" applyNumberFormat="1" applyFont="1" applyBorder="1"/>
    <xf numFmtId="11" fontId="3" fillId="0" borderId="5" xfId="0" applyNumberFormat="1" applyFont="1" applyBorder="1" applyAlignment="1">
      <alignment horizontal="center" wrapText="1"/>
    </xf>
    <xf numFmtId="11" fontId="3" fillId="0" borderId="5" xfId="0" applyNumberFormat="1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3" fillId="0" borderId="7" xfId="0" applyFont="1" applyBorder="1"/>
    <xf numFmtId="1" fontId="3" fillId="3" borderId="3" xfId="0" applyNumberFormat="1" applyFont="1" applyFill="1" applyBorder="1"/>
    <xf numFmtId="11" fontId="3" fillId="0" borderId="0" xfId="0" applyNumberFormat="1" applyFont="1" applyAlignment="1">
      <alignment wrapText="1"/>
    </xf>
    <xf numFmtId="11" fontId="3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center" wrapText="1"/>
    </xf>
    <xf numFmtId="1" fontId="3" fillId="0" borderId="0" xfId="0" applyNumberFormat="1" applyFont="1"/>
    <xf numFmtId="11" fontId="2" fillId="0" borderId="0" xfId="0" applyNumberFormat="1" applyFont="1"/>
    <xf numFmtId="0" fontId="2" fillId="0" borderId="17" xfId="0" applyFont="1" applyBorder="1"/>
    <xf numFmtId="0" fontId="3" fillId="0" borderId="19" xfId="0" applyFont="1" applyBorder="1"/>
    <xf numFmtId="0" fontId="3" fillId="0" borderId="4" xfId="0" applyFont="1" applyBorder="1"/>
    <xf numFmtId="1" fontId="3" fillId="0" borderId="22" xfId="0" applyNumberFormat="1" applyFont="1" applyBorder="1"/>
    <xf numFmtId="11" fontId="3" fillId="2" borderId="23" xfId="0" applyNumberFormat="1" applyFont="1" applyFill="1" applyBorder="1"/>
    <xf numFmtId="11" fontId="3" fillId="2" borderId="25" xfId="0" applyNumberFormat="1" applyFont="1" applyFill="1" applyBorder="1"/>
    <xf numFmtId="11" fontId="3" fillId="2" borderId="26" xfId="0" applyNumberFormat="1" applyFont="1" applyFill="1" applyBorder="1"/>
    <xf numFmtId="11" fontId="3" fillId="2" borderId="27" xfId="0" applyNumberFormat="1" applyFont="1" applyFill="1" applyBorder="1"/>
    <xf numFmtId="1" fontId="3" fillId="0" borderId="30" xfId="0" applyNumberFormat="1" applyFont="1" applyBorder="1"/>
    <xf numFmtId="11" fontId="3" fillId="2" borderId="31" xfId="0" applyNumberFormat="1" applyFont="1" applyFill="1" applyBorder="1"/>
    <xf numFmtId="1" fontId="3" fillId="3" borderId="22" xfId="0" applyNumberFormat="1" applyFont="1" applyFill="1" applyBorder="1"/>
    <xf numFmtId="11" fontId="0" fillId="0" borderId="18" xfId="0" quotePrefix="1" applyNumberFormat="1" applyBorder="1"/>
    <xf numFmtId="11" fontId="3" fillId="0" borderId="18" xfId="0" quotePrefix="1" applyNumberFormat="1" applyFont="1" applyBorder="1"/>
    <xf numFmtId="11" fontId="3" fillId="0" borderId="18" xfId="0" applyNumberFormat="1" applyFont="1" applyBorder="1" applyAlignment="1">
      <alignment wrapText="1"/>
    </xf>
    <xf numFmtId="11" fontId="3" fillId="0" borderId="5" xfId="0" quotePrefix="1" applyNumberFormat="1" applyFont="1" applyBorder="1"/>
    <xf numFmtId="11" fontId="3" fillId="0" borderId="6" xfId="0" applyNumberFormat="1" applyFont="1" applyBorder="1" applyAlignment="1">
      <alignment wrapText="1"/>
    </xf>
    <xf numFmtId="11" fontId="3" fillId="0" borderId="32" xfId="0" applyNumberFormat="1" applyFont="1" applyBorder="1"/>
    <xf numFmtId="11" fontId="3" fillId="0" borderId="7" xfId="0" applyNumberFormat="1" applyFont="1" applyBorder="1"/>
    <xf numFmtId="11" fontId="1" fillId="0" borderId="0" xfId="0" applyNumberFormat="1" applyFont="1"/>
    <xf numFmtId="11" fontId="1" fillId="0" borderId="5" xfId="0" applyNumberFormat="1" applyFont="1" applyBorder="1"/>
    <xf numFmtId="11" fontId="1" fillId="0" borderId="17" xfId="0" applyNumberFormat="1" applyFont="1" applyBorder="1"/>
    <xf numFmtId="11" fontId="4" fillId="0" borderId="8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wrapText="1"/>
    </xf>
    <xf numFmtId="49" fontId="3" fillId="0" borderId="24" xfId="0" applyNumberFormat="1" applyFont="1" applyBorder="1" applyAlignment="1">
      <alignment wrapText="1"/>
    </xf>
    <xf numFmtId="49" fontId="3" fillId="0" borderId="28" xfId="0" applyNumberFormat="1" applyFont="1" applyBorder="1" applyAlignment="1">
      <alignment wrapText="1"/>
    </xf>
    <xf numFmtId="1" fontId="3" fillId="0" borderId="21" xfId="0" applyNumberFormat="1" applyFont="1" applyBorder="1" applyAlignment="1">
      <alignment wrapText="1"/>
    </xf>
    <xf numFmtId="1" fontId="3" fillId="0" borderId="14" xfId="0" applyNumberFormat="1" applyFont="1" applyBorder="1" applyAlignment="1">
      <alignment wrapText="1"/>
    </xf>
    <xf numFmtId="1" fontId="3" fillId="0" borderId="15" xfId="0" applyNumberFormat="1" applyFont="1" applyBorder="1" applyAlignment="1">
      <alignment wrapText="1"/>
    </xf>
    <xf numFmtId="1" fontId="3" fillId="0" borderId="13" xfId="0" applyNumberFormat="1" applyFont="1" applyBorder="1" applyAlignment="1">
      <alignment wrapText="1"/>
    </xf>
    <xf numFmtId="1" fontId="3" fillId="0" borderId="29" xfId="0" applyNumberFormat="1" applyFont="1" applyBorder="1" applyAlignment="1">
      <alignment wrapText="1"/>
    </xf>
    <xf numFmtId="1" fontId="0" fillId="0" borderId="22" xfId="0" applyNumberFormat="1" applyBorder="1"/>
    <xf numFmtId="1" fontId="0" fillId="0" borderId="3" xfId="0" applyNumberFormat="1" applyBorder="1"/>
    <xf numFmtId="0" fontId="3" fillId="0" borderId="0" xfId="0" applyFont="1" applyAlignment="1">
      <alignment wrapText="1"/>
    </xf>
    <xf numFmtId="0" fontId="3" fillId="0" borderId="5" xfId="0" applyFont="1" applyBorder="1"/>
    <xf numFmtId="0" fontId="3" fillId="0" borderId="17" xfId="0" applyFont="1" applyBorder="1"/>
    <xf numFmtId="0" fontId="2" fillId="0" borderId="0" xfId="0" applyFont="1"/>
    <xf numFmtId="0" fontId="0" fillId="0" borderId="0" xfId="0" quotePrefix="1"/>
    <xf numFmtId="0" fontId="3" fillId="0" borderId="5" xfId="0" quotePrefix="1" applyFont="1" applyBorder="1"/>
    <xf numFmtId="0" fontId="4" fillId="0" borderId="5" xfId="0" quotePrefix="1" applyFont="1" applyBorder="1"/>
    <xf numFmtId="0" fontId="3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1" fontId="5" fillId="2" borderId="23" xfId="0" applyNumberFormat="1" applyFont="1" applyFill="1" applyBorder="1"/>
    <xf numFmtId="11" fontId="5" fillId="2" borderId="25" xfId="0" applyNumberFormat="1" applyFont="1" applyFill="1" applyBorder="1"/>
    <xf numFmtId="11" fontId="5" fillId="2" borderId="26" xfId="0" applyNumberFormat="1" applyFont="1" applyFill="1" applyBorder="1"/>
    <xf numFmtId="11" fontId="6" fillId="2" borderId="23" xfId="0" applyNumberFormat="1" applyFont="1" applyFill="1" applyBorder="1"/>
    <xf numFmtId="11" fontId="6" fillId="2" borderId="25" xfId="0" applyNumberFormat="1" applyFont="1" applyFill="1" applyBorder="1"/>
    <xf numFmtId="11" fontId="6" fillId="2" borderId="26" xfId="0" applyNumberFormat="1" applyFont="1" applyFill="1" applyBorder="1"/>
    <xf numFmtId="0" fontId="5" fillId="0" borderId="0" xfId="0" applyFont="1"/>
    <xf numFmtId="11" fontId="1" fillId="0" borderId="0" xfId="0" applyNumberFormat="1" applyFont="1" applyAlignment="1">
      <alignment horizontal="center" wrapText="1"/>
    </xf>
    <xf numFmtId="1" fontId="3" fillId="0" borderId="34" xfId="0" applyNumberFormat="1" applyFont="1" applyBorder="1" applyAlignment="1">
      <alignment horizontal="center" wrapText="1"/>
    </xf>
    <xf numFmtId="1" fontId="3" fillId="0" borderId="12" xfId="0" applyNumberFormat="1" applyFont="1" applyBorder="1" applyAlignment="1">
      <alignment horizontal="center" wrapText="1"/>
    </xf>
    <xf numFmtId="1" fontId="3" fillId="0" borderId="10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 wrapText="1"/>
    </xf>
    <xf numFmtId="1" fontId="3" fillId="0" borderId="33" xfId="0" applyNumberFormat="1" applyFont="1" applyBorder="1" applyAlignment="1">
      <alignment horizontal="center" wrapText="1"/>
    </xf>
    <xf numFmtId="49" fontId="0" fillId="0" borderId="20" xfId="0" applyNumberFormat="1" applyBorder="1" applyAlignment="1">
      <alignment horizontal="center" wrapText="1"/>
    </xf>
    <xf numFmtId="49" fontId="3" fillId="0" borderId="24" xfId="0" applyNumberFormat="1" applyFont="1" applyBorder="1" applyAlignment="1">
      <alignment horizontal="center" wrapText="1"/>
    </xf>
    <xf numFmtId="49" fontId="3" fillId="0" borderId="28" xfId="0" applyNumberFormat="1" applyFont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  <xf numFmtId="1" fontId="3" fillId="0" borderId="21" xfId="0" applyNumberFormat="1" applyFont="1" applyBorder="1" applyAlignment="1">
      <alignment horizontal="center" wrapText="1"/>
    </xf>
    <xf numFmtId="1" fontId="3" fillId="0" borderId="14" xfId="0" applyNumberFormat="1" applyFont="1" applyBorder="1" applyAlignment="1">
      <alignment horizontal="center" wrapText="1"/>
    </xf>
    <xf numFmtId="1" fontId="3" fillId="0" borderId="15" xfId="0" applyNumberFormat="1" applyFont="1" applyBorder="1" applyAlignment="1">
      <alignment horizontal="center" wrapText="1"/>
    </xf>
    <xf numFmtId="1" fontId="3" fillId="0" borderId="13" xfId="0" applyNumberFormat="1" applyFont="1" applyBorder="1" applyAlignment="1">
      <alignment horizontal="center" wrapText="1"/>
    </xf>
    <xf numFmtId="1" fontId="3" fillId="0" borderId="29" xfId="0" applyNumberFormat="1" applyFont="1" applyBorder="1" applyAlignment="1">
      <alignment horizontal="center" wrapText="1"/>
    </xf>
    <xf numFmtId="11" fontId="1" fillId="0" borderId="0" xfId="0" applyNumberFormat="1" applyFont="1" applyAlignment="1">
      <alignment horizontal="center" wrapText="1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C321-4411-A5E4-60A084A1C606}"/>
              </c:ext>
            </c:extLst>
          </c:dPt>
          <c:errBars>
            <c:errBarType val="both"/>
            <c:errValType val="cust"/>
            <c:noEndCap val="0"/>
            <c:plus>
              <c:numRef>
                <c:f>('ARR-CSR-21-1'!$N$25,'ARR-CSR-21-1'!$P$25,'ARR-CSR-21-1'!$R$25,'ARR-CSR-21-1'!$T$25,'ARR-CSR-21-1'!$V$25,'ARR-CSR-21-1'!$X$25)</c:f>
                <c:numCache>
                  <c:formatCode>General</c:formatCode>
                  <c:ptCount val="6"/>
                  <c:pt idx="0">
                    <c:v>972298.60811035417</c:v>
                  </c:pt>
                  <c:pt idx="1">
                    <c:v>1335122.4975010105</c:v>
                  </c:pt>
                  <c:pt idx="2">
                    <c:v>1068756.0916005729</c:v>
                  </c:pt>
                  <c:pt idx="3">
                    <c:v>1652785.7333218087</c:v>
                  </c:pt>
                  <c:pt idx="4">
                    <c:v>407546.00967252767</c:v>
                  </c:pt>
                  <c:pt idx="5">
                    <c:v>572048.58476647944</c:v>
                  </c:pt>
                </c:numCache>
              </c:numRef>
            </c:plus>
            <c:minus>
              <c:numRef>
                <c:f>('ARR-CSR-21-1'!$N$25,'ARR-CSR-21-1'!$P$25,'ARR-CSR-21-1'!$R$25,'ARR-CSR-21-1'!$T$25,'ARR-CSR-21-1'!$V$25,'ARR-CSR-21-1'!$X$25)</c:f>
                <c:numCache>
                  <c:formatCode>General</c:formatCode>
                  <c:ptCount val="6"/>
                  <c:pt idx="0">
                    <c:v>972298.60811035417</c:v>
                  </c:pt>
                  <c:pt idx="1">
                    <c:v>1335122.4975010105</c:v>
                  </c:pt>
                  <c:pt idx="2">
                    <c:v>1068756.0916005729</c:v>
                  </c:pt>
                  <c:pt idx="3">
                    <c:v>1652785.7333218087</c:v>
                  </c:pt>
                  <c:pt idx="4">
                    <c:v>407546.00967252767</c:v>
                  </c:pt>
                  <c:pt idx="5">
                    <c:v>572048.58476647944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('ARR-CSR-21-1'!$N$23,'ARR-CSR-21-1'!$P$23,'ARR-CSR-21-1'!$R$23,'ARR-CSR-21-1'!$T$23,'ARR-CSR-21-1'!$V$23,'ARR-CSR-21-1'!$X$23)</c:f>
              <c:numCache>
                <c:formatCode>0.00E+00</c:formatCode>
                <c:ptCount val="6"/>
                <c:pt idx="0">
                  <c:v>4483333.333333333</c:v>
                </c:pt>
                <c:pt idx="1">
                  <c:v>5104166.666666667</c:v>
                </c:pt>
                <c:pt idx="2">
                  <c:v>3558333.3333333335</c:v>
                </c:pt>
                <c:pt idx="3">
                  <c:v>5161904.7619047621</c:v>
                </c:pt>
                <c:pt idx="4">
                  <c:v>3737500</c:v>
                </c:pt>
                <c:pt idx="5">
                  <c:v>3708333.3333333335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1-4411-A5E4-60A084A1C606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('ARR-CSR-21-1'!$O$25,'ARR-CSR-21-1'!$Q$25,'ARR-CSR-21-1'!$S$25,'ARR-CSR-21-1'!$U$25,'ARR-CSR-21-1'!$W$25,'ARR-CSR-21-1'!$Y$25)</c:f>
                <c:numCache>
                  <c:formatCode>General</c:formatCode>
                  <c:ptCount val="6"/>
                  <c:pt idx="0">
                    <c:v>170744.38741385716</c:v>
                  </c:pt>
                  <c:pt idx="1">
                    <c:v>170629.96024536036</c:v>
                  </c:pt>
                  <c:pt idx="2">
                    <c:v>262661.65657235414</c:v>
                  </c:pt>
                  <c:pt idx="3">
                    <c:v>21650.635094610967</c:v>
                  </c:pt>
                  <c:pt idx="4">
                    <c:v>627992.83435402345</c:v>
                  </c:pt>
                  <c:pt idx="5">
                    <c:v>659679.23471057764</c:v>
                  </c:pt>
                </c:numCache>
              </c:numRef>
            </c:plus>
            <c:minus>
              <c:numRef>
                <c:f>('ARR-CSR-21-1'!$O$25,'ARR-CSR-21-1'!$Q$25,'ARR-CSR-21-1'!$S$25,'ARR-CSR-21-1'!$U$25,'ARR-CSR-21-1'!$W$25,'ARR-CSR-21-1'!$Y$25)</c:f>
                <c:numCache>
                  <c:formatCode>General</c:formatCode>
                  <c:ptCount val="6"/>
                  <c:pt idx="0">
                    <c:v>170744.38741385716</c:v>
                  </c:pt>
                  <c:pt idx="1">
                    <c:v>170629.96024536036</c:v>
                  </c:pt>
                  <c:pt idx="2">
                    <c:v>262661.65657235414</c:v>
                  </c:pt>
                  <c:pt idx="3">
                    <c:v>21650.635094610967</c:v>
                  </c:pt>
                  <c:pt idx="4">
                    <c:v>627992.83435402345</c:v>
                  </c:pt>
                  <c:pt idx="5">
                    <c:v>659679.23471057764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('ARR-CSR-21-1'!$O$23,'ARR-CSR-21-1'!$Q$23,'ARR-CSR-21-1'!$S$23,'ARR-CSR-21-1'!$U$23,'ARR-CSR-21-1'!$W$23,'ARR-CSR-21-1'!$Y$23)</c:f>
              <c:numCache>
                <c:formatCode>0.00E+00</c:formatCode>
                <c:ptCount val="6"/>
                <c:pt idx="0">
                  <c:v>327083.33333333331</c:v>
                </c:pt>
                <c:pt idx="1">
                  <c:v>1016666.6666666666</c:v>
                </c:pt>
                <c:pt idx="2">
                  <c:v>447083.33333333331</c:v>
                </c:pt>
                <c:pt idx="3">
                  <c:v>512500</c:v>
                </c:pt>
                <c:pt idx="4">
                  <c:v>1650000</c:v>
                </c:pt>
                <c:pt idx="5">
                  <c:v>564583.33333333337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1-4411-A5E4-60A084A1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ACB0-4465-BFE0-F0405DFFB445}"/>
              </c:ext>
            </c:extLst>
          </c:dPt>
          <c:errBars>
            <c:errBarType val="both"/>
            <c:errValType val="cust"/>
            <c:noEndCap val="0"/>
            <c:plus>
              <c:numRef>
                <c:f>('ARR-CSR-21-2'!$N$25,'ARR-CSR-21-2'!$P$25,'ARR-CSR-21-2'!$R$25,'ARR-CSR-21-2'!$T$25,'ARR-CSR-21-2'!$V$25,'ARR-CSR-21-2'!$X$25)</c:f>
                <c:numCache>
                  <c:formatCode>General</c:formatCode>
                  <c:ptCount val="6"/>
                  <c:pt idx="0">
                    <c:v>236836.03736287684</c:v>
                  </c:pt>
                  <c:pt idx="1">
                    <c:v>855932.38007322315</c:v>
                  </c:pt>
                  <c:pt idx="2">
                    <c:v>174226.34045497637</c:v>
                  </c:pt>
                  <c:pt idx="3">
                    <c:v>1504044.9070279642</c:v>
                  </c:pt>
                  <c:pt idx="4">
                    <c:v>2229073.8760866751</c:v>
                  </c:pt>
                  <c:pt idx="5">
                    <c:v>107589.59444729464</c:v>
                  </c:pt>
                </c:numCache>
              </c:numRef>
            </c:plus>
            <c:minus>
              <c:numRef>
                <c:f>('ARR-CSR-21-2'!$N$25,'ARR-CSR-21-2'!$P$25,'ARR-CSR-21-2'!$R$25,'ARR-CSR-21-2'!$T$25,'ARR-CSR-21-2'!$V$25,'ARR-CSR-21-2'!$X$25)</c:f>
                <c:numCache>
                  <c:formatCode>General</c:formatCode>
                  <c:ptCount val="6"/>
                  <c:pt idx="0">
                    <c:v>236836.03736287684</c:v>
                  </c:pt>
                  <c:pt idx="1">
                    <c:v>855932.38007322315</c:v>
                  </c:pt>
                  <c:pt idx="2">
                    <c:v>174226.34045497637</c:v>
                  </c:pt>
                  <c:pt idx="3">
                    <c:v>1504044.9070279642</c:v>
                  </c:pt>
                  <c:pt idx="4">
                    <c:v>2229073.8760866751</c:v>
                  </c:pt>
                  <c:pt idx="5">
                    <c:v>107589.59444729464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val>
            <c:numRef>
              <c:f>('ARR-CSR-21-2'!$N$23,'ARR-CSR-21-2'!$P$23,'ARR-CSR-21-2'!$R$23,'ARR-CSR-21-2'!$T$23,'ARR-CSR-21-2'!$V$23,'ARR-CSR-21-2'!$X$23)</c:f>
              <c:numCache>
                <c:formatCode>0.00E+00</c:formatCode>
                <c:ptCount val="6"/>
                <c:pt idx="0">
                  <c:v>3164062.5</c:v>
                </c:pt>
                <c:pt idx="1">
                  <c:v>3558593.7499999995</c:v>
                </c:pt>
                <c:pt idx="2">
                  <c:v>1802083.3333333333</c:v>
                </c:pt>
                <c:pt idx="3">
                  <c:v>5665364.583333333</c:v>
                </c:pt>
                <c:pt idx="4">
                  <c:v>4010416.6666666665</c:v>
                </c:pt>
                <c:pt idx="5">
                  <c:v>1133333.3333333333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B0-4465-BFE0-F0405DFFB445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('ARR-CSR-21-2'!$O$25,'ARR-CSR-21-2'!$Q$25,'ARR-CSR-21-2'!$S$25,'ARR-CSR-21-2'!$U$25,'ARR-CSR-21-2'!$W$25,'ARR-CSR-21-2'!$Y$25)</c:f>
                <c:numCache>
                  <c:formatCode>General</c:formatCode>
                  <c:ptCount val="6"/>
                  <c:pt idx="0">
                    <c:v>13204.126564575687</c:v>
                  </c:pt>
                  <c:pt idx="1">
                    <c:v>254307.6794619725</c:v>
                  </c:pt>
                  <c:pt idx="2">
                    <c:v>32137.400330456101</c:v>
                  </c:pt>
                  <c:pt idx="3">
                    <c:v>312062.19332049822</c:v>
                  </c:pt>
                  <c:pt idx="4">
                    <c:v>15206.906325745549</c:v>
                  </c:pt>
                  <c:pt idx="5">
                    <c:v>39376.653404439137</c:v>
                  </c:pt>
                </c:numCache>
              </c:numRef>
            </c:plus>
            <c:minus>
              <c:numRef>
                <c:f>('ARR-CSR-21-2'!$O$25,'ARR-CSR-21-2'!$Q$25,'ARR-CSR-21-2'!$S$25,'ARR-CSR-21-2'!$U$25,'ARR-CSR-21-2'!$W$25,'ARR-CSR-21-2'!$Y$25)</c:f>
                <c:numCache>
                  <c:formatCode>General</c:formatCode>
                  <c:ptCount val="6"/>
                  <c:pt idx="0">
                    <c:v>13204.126564575687</c:v>
                  </c:pt>
                  <c:pt idx="1">
                    <c:v>254307.6794619725</c:v>
                  </c:pt>
                  <c:pt idx="2">
                    <c:v>32137.400330456101</c:v>
                  </c:pt>
                  <c:pt idx="3">
                    <c:v>312062.19332049822</c:v>
                  </c:pt>
                  <c:pt idx="4">
                    <c:v>15206.906325745549</c:v>
                  </c:pt>
                  <c:pt idx="5">
                    <c:v>39376.653404439137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('ARR-CSR-21-2'!$O$23,'ARR-CSR-21-2'!$Q$23,'ARR-CSR-21-2'!$S$23,'ARR-CSR-21-2'!$U$23,'ARR-CSR-21-2'!$W$23,'ARR-CSR-21-2'!$Y$23)</c:f>
              <c:numCache>
                <c:formatCode>0.00E+00</c:formatCode>
                <c:ptCount val="6"/>
                <c:pt idx="0">
                  <c:v>137291.66666666666</c:v>
                </c:pt>
                <c:pt idx="1">
                  <c:v>423333.33333333331</c:v>
                </c:pt>
                <c:pt idx="2">
                  <c:v>51250</c:v>
                </c:pt>
                <c:pt idx="3">
                  <c:v>925000</c:v>
                </c:pt>
                <c:pt idx="4">
                  <c:v>95000</c:v>
                </c:pt>
                <c:pt idx="5">
                  <c:v>215416.66666666666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B0-4465-BFE0-F0405DFFB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F98-4B09-A736-2506F28C0E91}"/>
              </c:ext>
            </c:extLst>
          </c:dPt>
          <c:errBars>
            <c:errBarType val="both"/>
            <c:errValType val="cust"/>
            <c:noEndCap val="0"/>
            <c:plus>
              <c:numRef>
                <c:f>('ARR-CSR-21-2'!$N$25,'ARR-CSR-21-2'!$P$25,'ARR-CSR-21-2'!$R$25,'ARR-CSR-21-2'!$T$25,'ARR-CSR-21-2'!$V$25,'ARR-CSR-21-2'!$X$25)</c:f>
                <c:numCache>
                  <c:formatCode>General</c:formatCode>
                  <c:ptCount val="6"/>
                  <c:pt idx="0">
                    <c:v>236836.03736287684</c:v>
                  </c:pt>
                  <c:pt idx="1">
                    <c:v>855932.38007322315</c:v>
                  </c:pt>
                  <c:pt idx="2">
                    <c:v>174226.34045497637</c:v>
                  </c:pt>
                  <c:pt idx="3">
                    <c:v>1504044.9070279642</c:v>
                  </c:pt>
                  <c:pt idx="4">
                    <c:v>2229073.8760866751</c:v>
                  </c:pt>
                  <c:pt idx="5">
                    <c:v>107589.59444729464</c:v>
                  </c:pt>
                </c:numCache>
              </c:numRef>
            </c:plus>
            <c:minus>
              <c:numRef>
                <c:f>('ARR-CSR-21-2'!$N$25,'ARR-CSR-21-2'!$P$25,'ARR-CSR-21-2'!$R$25,'ARR-CSR-21-2'!$T$25,'ARR-CSR-21-2'!$V$25,'ARR-CSR-21-2'!$X$25)</c:f>
                <c:numCache>
                  <c:formatCode>General</c:formatCode>
                  <c:ptCount val="6"/>
                  <c:pt idx="0">
                    <c:v>236836.03736287684</c:v>
                  </c:pt>
                  <c:pt idx="1">
                    <c:v>855932.38007322315</c:v>
                  </c:pt>
                  <c:pt idx="2">
                    <c:v>174226.34045497637</c:v>
                  </c:pt>
                  <c:pt idx="3">
                    <c:v>1504044.9070279642</c:v>
                  </c:pt>
                  <c:pt idx="4">
                    <c:v>2229073.8760866751</c:v>
                  </c:pt>
                  <c:pt idx="5">
                    <c:v>107589.59444729464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'ARR-CSR-21-2'!$N$23</c:f>
              <c:numCache>
                <c:formatCode>0.00E+00</c:formatCode>
                <c:ptCount val="1"/>
                <c:pt idx="0">
                  <c:v>3164062.5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98-4B09-A736-2506F28C0E91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('ARR-CSR-21-2'!$O$25,'ARR-CSR-21-2'!$Q$25,'ARR-CSR-21-2'!$S$25,'ARR-CSR-21-2'!$U$25,'ARR-CSR-21-2'!$W$25,'ARR-CSR-21-2'!$Y$25)</c:f>
                <c:numCache>
                  <c:formatCode>General</c:formatCode>
                  <c:ptCount val="6"/>
                  <c:pt idx="0">
                    <c:v>13204.126564575687</c:v>
                  </c:pt>
                  <c:pt idx="1">
                    <c:v>254307.6794619725</c:v>
                  </c:pt>
                  <c:pt idx="2">
                    <c:v>32137.400330456101</c:v>
                  </c:pt>
                  <c:pt idx="3">
                    <c:v>312062.19332049822</c:v>
                  </c:pt>
                  <c:pt idx="4">
                    <c:v>15206.906325745549</c:v>
                  </c:pt>
                  <c:pt idx="5">
                    <c:v>39376.653404439137</c:v>
                  </c:pt>
                </c:numCache>
              </c:numRef>
            </c:plus>
            <c:minus>
              <c:numRef>
                <c:f>('ARR-CSR-21-2'!$O$25,'ARR-CSR-21-2'!$Q$25,'ARR-CSR-21-2'!$S$25,'ARR-CSR-21-2'!$U$25,'ARR-CSR-21-2'!$W$25,'ARR-CSR-21-2'!$Y$25)</c:f>
                <c:numCache>
                  <c:formatCode>General</c:formatCode>
                  <c:ptCount val="6"/>
                  <c:pt idx="0">
                    <c:v>13204.126564575687</c:v>
                  </c:pt>
                  <c:pt idx="1">
                    <c:v>254307.6794619725</c:v>
                  </c:pt>
                  <c:pt idx="2">
                    <c:v>32137.400330456101</c:v>
                  </c:pt>
                  <c:pt idx="3">
                    <c:v>312062.19332049822</c:v>
                  </c:pt>
                  <c:pt idx="4">
                    <c:v>15206.906325745549</c:v>
                  </c:pt>
                  <c:pt idx="5">
                    <c:v>39376.653404439137</c:v>
                  </c:pt>
                </c:numCache>
              </c:numRef>
            </c:minus>
          </c:errBars>
          <c:val>
            <c:numRef>
              <c:f>'ARR-CSR-21-2'!$O$23</c:f>
              <c:numCache>
                <c:formatCode>0.00E+00</c:formatCode>
                <c:ptCount val="1"/>
                <c:pt idx="0">
                  <c:v>137291.66666666666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F98-4B09-A736-2506F28C0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B1B-4A7D-B17D-62055B874B73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('ARR-CSR-21-3'!$N$25,'ARR-CSR-21-3'!$P$25,'ARR-CSR-21-3'!$R$25,'ARR-CSR-21-3'!$T$25,'ARR-CSR-21-3'!$V$25,'ARR-CSR-21-3'!$X$25)</c15:sqref>
                    </c15:fullRef>
                  </c:ext>
                </c:extLst>
                <c:f>('ARR-CSR-21-3'!$N$25,'ARR-CSR-21-3'!$R$25,'ARR-CSR-21-3'!$T$25,'ARR-CSR-21-3'!$V$25)</c:f>
                <c:numCache>
                  <c:formatCode>General</c:formatCode>
                  <c:ptCount val="4"/>
                  <c:pt idx="0">
                    <c:v>1880547.3493994623</c:v>
                  </c:pt>
                  <c:pt idx="1">
                    <c:v>2374177.4891528222</c:v>
                  </c:pt>
                  <c:pt idx="2">
                    <c:v>3351966.15187763</c:v>
                  </c:pt>
                  <c:pt idx="3">
                    <c:v>308305.1788947655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('ARR-CSR-21-3'!$N$25,'ARR-CSR-21-3'!$P$25,'ARR-CSR-21-3'!$R$25,'ARR-CSR-21-3'!$T$25,'ARR-CSR-21-3'!$V$25,'ARR-CSR-21-3'!$X$25)</c15:sqref>
                    </c15:fullRef>
                  </c:ext>
                </c:extLst>
                <c:f>('ARR-CSR-21-3'!$N$25,'ARR-CSR-21-3'!$R$25,'ARR-CSR-21-3'!$T$25,'ARR-CSR-21-3'!$V$25)</c:f>
                <c:numCache>
                  <c:formatCode>General</c:formatCode>
                  <c:ptCount val="4"/>
                  <c:pt idx="0">
                    <c:v>1880547.3493994623</c:v>
                  </c:pt>
                  <c:pt idx="1">
                    <c:v>2374177.4891528222</c:v>
                  </c:pt>
                  <c:pt idx="2">
                    <c:v>3351966.15187763</c:v>
                  </c:pt>
                  <c:pt idx="3">
                    <c:v>308305.1788947655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1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('ARR-CSR-21-3'!$N$23,'ARR-CSR-21-3'!$P$23,'ARR-CSR-21-3'!$R$23,'ARR-CSR-21-3'!$T$23,'ARR-CSR-21-3'!$V$23,'ARR-CSR-21-3'!$X$23)</c15:sqref>
                  </c15:fullRef>
                </c:ext>
              </c:extLst>
              <c:f>('ARR-CSR-21-3'!$N$23,'ARR-CSR-21-3'!$R$23,'ARR-CSR-21-3'!$T$23,'ARR-CSR-21-3'!$V$23)</c:f>
              <c:numCache>
                <c:formatCode>0.00E+00</c:formatCode>
                <c:ptCount val="4"/>
                <c:pt idx="0">
                  <c:v>9833333.333333334</c:v>
                </c:pt>
                <c:pt idx="1">
                  <c:v>2937500</c:v>
                </c:pt>
                <c:pt idx="2">
                  <c:v>9645833.333333334</c:v>
                </c:pt>
                <c:pt idx="3">
                  <c:v>5208333.333333333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B-4A7D-B17D-62055B874B73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('ARR-CSR-21-3'!$O$25,'ARR-CSR-21-3'!$Q$25,'ARR-CSR-21-3'!$S$25,'ARR-CSR-21-3'!$U$25,'ARR-CSR-21-3'!$W$25,'ARR-CSR-21-3'!$Y$25)</c15:sqref>
                    </c15:fullRef>
                  </c:ext>
                </c:extLst>
                <c:f>('ARR-CSR-21-3'!$O$25,'ARR-CSR-21-3'!$S$25,'ARR-CSR-21-3'!$U$25,'ARR-CSR-21-3'!$W$25)</c:f>
                <c:numCache>
                  <c:formatCode>General</c:formatCode>
                  <c:ptCount val="4"/>
                  <c:pt idx="0">
                    <c:v>330738.59894686221</c:v>
                  </c:pt>
                  <c:pt idx="1">
                    <c:v>150758.93077470845</c:v>
                  </c:pt>
                  <c:pt idx="2">
                    <c:v>217436.53288565206</c:v>
                  </c:pt>
                  <c:pt idx="3">
                    <c:v>247197.83743660335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('ARR-CSR-21-3'!$O$25,'ARR-CSR-21-3'!$Q$25,'ARR-CSR-21-3'!$S$25,'ARR-CSR-21-3'!$U$25,'ARR-CSR-21-3'!$W$25,'ARR-CSR-21-3'!$Y$25)</c15:sqref>
                    </c15:fullRef>
                  </c:ext>
                </c:extLst>
                <c:f>('ARR-CSR-21-3'!$O$25,'ARR-CSR-21-3'!$S$25,'ARR-CSR-21-3'!$U$25,'ARR-CSR-21-3'!$W$25)</c:f>
                <c:numCache>
                  <c:formatCode>General</c:formatCode>
                  <c:ptCount val="4"/>
                  <c:pt idx="0">
                    <c:v>330738.59894686221</c:v>
                  </c:pt>
                  <c:pt idx="1">
                    <c:v>150758.93077470845</c:v>
                  </c:pt>
                  <c:pt idx="2">
                    <c:v>217436.53288565206</c:v>
                  </c:pt>
                  <c:pt idx="3">
                    <c:v>247197.83743660335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1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('ARR-CSR-21-3'!$O$23,'ARR-CSR-21-3'!$Q$23,'ARR-CSR-21-3'!$S$23,'ARR-CSR-21-3'!$U$23,'ARR-CSR-21-3'!$W$23,'ARR-CSR-21-3'!$Y$23)</c15:sqref>
                  </c15:fullRef>
                </c:ext>
              </c:extLst>
              <c:f>('ARR-CSR-21-3'!$O$23,'ARR-CSR-21-3'!$S$23,'ARR-CSR-21-3'!$U$23,'ARR-CSR-21-3'!$W$23)</c:f>
              <c:numCache>
                <c:formatCode>0.00E+00</c:formatCode>
                <c:ptCount val="4"/>
                <c:pt idx="0">
                  <c:v>679166.66666666663</c:v>
                </c:pt>
                <c:pt idx="1">
                  <c:v>188958.33333333334</c:v>
                </c:pt>
                <c:pt idx="2">
                  <c:v>1116666.6666666667</c:v>
                </c:pt>
                <c:pt idx="3">
                  <c:v>614583.33333333337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B-4A7D-B17D-62055B874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8F91-422C-BCAB-BC1E73D747BD}"/>
              </c:ext>
            </c:extLst>
          </c:dPt>
          <c:errBars>
            <c:errBarType val="both"/>
            <c:errValType val="cust"/>
            <c:noEndCap val="0"/>
            <c:plus>
              <c:numRef>
                <c:f>('ARR-CSR-21-3'!$N$25,'ARR-CSR-21-3'!$P$25,'ARR-CSR-21-3'!$R$25,'ARR-CSR-21-3'!$T$25,'ARR-CSR-21-3'!$V$25,'ARR-CSR-21-3'!$X$25)</c:f>
                <c:numCache>
                  <c:formatCode>General</c:formatCode>
                  <c:ptCount val="6"/>
                  <c:pt idx="0">
                    <c:v>1880547.3493994623</c:v>
                  </c:pt>
                  <c:pt idx="1">
                    <c:v>1882277.5432969497</c:v>
                  </c:pt>
                  <c:pt idx="2">
                    <c:v>2374177.4891528222</c:v>
                  </c:pt>
                  <c:pt idx="3">
                    <c:v>3351966.15187763</c:v>
                  </c:pt>
                  <c:pt idx="4">
                    <c:v>308305.1788947655</c:v>
                  </c:pt>
                  <c:pt idx="5">
                    <c:v>1448778.2208928091</c:v>
                  </c:pt>
                </c:numCache>
              </c:numRef>
            </c:plus>
            <c:minus>
              <c:numRef>
                <c:f>('ARR-CSR-21-3'!$N$25,'ARR-CSR-21-3'!$P$25,'ARR-CSR-21-3'!$R$25,'ARR-CSR-21-3'!$T$25,'ARR-CSR-21-3'!$V$25,'ARR-CSR-21-3'!$X$25)</c:f>
                <c:numCache>
                  <c:formatCode>General</c:formatCode>
                  <c:ptCount val="6"/>
                  <c:pt idx="0">
                    <c:v>1880547.3493994623</c:v>
                  </c:pt>
                  <c:pt idx="1">
                    <c:v>1882277.5432969497</c:v>
                  </c:pt>
                  <c:pt idx="2">
                    <c:v>2374177.4891528222</c:v>
                  </c:pt>
                  <c:pt idx="3">
                    <c:v>3351966.15187763</c:v>
                  </c:pt>
                  <c:pt idx="4">
                    <c:v>308305.1788947655</c:v>
                  </c:pt>
                  <c:pt idx="5">
                    <c:v>1448778.2208928091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'ARR-CSR-21-3'!$N$23</c:f>
              <c:numCache>
                <c:formatCode>0.00E+00</c:formatCode>
                <c:ptCount val="1"/>
                <c:pt idx="0">
                  <c:v>9833333.333333334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91-422C-BCAB-BC1E73D747BD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('ARR-CSR-21-3'!$O$25,'ARR-CSR-21-3'!$Q$25,'ARR-CSR-21-3'!$S$25,'ARR-CSR-21-3'!$U$25,'ARR-CSR-21-3'!$W$25,'ARR-CSR-21-3'!$Y$25)</c:f>
                <c:numCache>
                  <c:formatCode>General</c:formatCode>
                  <c:ptCount val="6"/>
                  <c:pt idx="0">
                    <c:v>330738.59894686221</c:v>
                  </c:pt>
                  <c:pt idx="1">
                    <c:v>103769.4509879152</c:v>
                  </c:pt>
                  <c:pt idx="2">
                    <c:v>150758.93077470845</c:v>
                  </c:pt>
                  <c:pt idx="3">
                    <c:v>217436.53288565206</c:v>
                  </c:pt>
                  <c:pt idx="4">
                    <c:v>247197.83743660335</c:v>
                  </c:pt>
                  <c:pt idx="5">
                    <c:v>190034.94744388465</c:v>
                  </c:pt>
                </c:numCache>
              </c:numRef>
            </c:plus>
            <c:minus>
              <c:numRef>
                <c:f>('ARR-CSR-21-3'!$O$25,'ARR-CSR-21-3'!$Q$25,'ARR-CSR-21-3'!$S$25,'ARR-CSR-21-3'!$U$25,'ARR-CSR-21-3'!$W$25,'ARR-CSR-21-3'!$Y$25)</c:f>
                <c:numCache>
                  <c:formatCode>General</c:formatCode>
                  <c:ptCount val="6"/>
                  <c:pt idx="0">
                    <c:v>330738.59894686221</c:v>
                  </c:pt>
                  <c:pt idx="1">
                    <c:v>103769.4509879152</c:v>
                  </c:pt>
                  <c:pt idx="2">
                    <c:v>150758.93077470845</c:v>
                  </c:pt>
                  <c:pt idx="3">
                    <c:v>217436.53288565206</c:v>
                  </c:pt>
                  <c:pt idx="4">
                    <c:v>247197.83743660335</c:v>
                  </c:pt>
                  <c:pt idx="5">
                    <c:v>190034.94744388465</c:v>
                  </c:pt>
                </c:numCache>
              </c:numRef>
            </c:minus>
          </c:errBars>
          <c:val>
            <c:numRef>
              <c:f>'ARR-CSR-21-3'!$O$23</c:f>
              <c:numCache>
                <c:formatCode>0.00E+00</c:formatCode>
                <c:ptCount val="1"/>
                <c:pt idx="0">
                  <c:v>679166.66666666663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91-422C-BCAB-BC1E73D74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ED8-416E-8B1E-72E773FC07DF}"/>
              </c:ext>
            </c:extLst>
          </c:dPt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('ARR-CSR-23-1'!$N$25,'ARR-CSR-23-1'!$P$25,'ARR-CSR-23-1'!$R$25,'ARR-CSR-23-1'!$T$25,'ARR-CSR-23-1'!$V$25,'ARR-CSR-23-1'!$X$25)</c15:sqref>
                    </c15:fullRef>
                  </c:ext>
                </c:extLst>
                <c:f>('ARR-CSR-23-1'!$N$25,'ARR-CSR-23-1'!$P$25,'ARR-CSR-23-1'!$R$25,'ARR-CSR-23-1'!$T$25)</c:f>
                <c:numCache>
                  <c:formatCode>General</c:formatCode>
                  <c:ptCount val="4"/>
                  <c:pt idx="0">
                    <c:v>11116101.309961746</c:v>
                  </c:pt>
                  <c:pt idx="1">
                    <c:v>1876388.3748662823</c:v>
                  </c:pt>
                  <c:pt idx="2">
                    <c:v>1699034.6523835233</c:v>
                  </c:pt>
                  <c:pt idx="3">
                    <c:v>2844265.0632456886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('ARR-CSR-23-1'!$N$25,'ARR-CSR-23-1'!$P$25,'ARR-CSR-23-1'!$R$25,'ARR-CSR-23-1'!$T$25,'ARR-CSR-23-1'!$V$25,'ARR-CSR-23-1'!$X$25)</c15:sqref>
                    </c15:fullRef>
                  </c:ext>
                </c:extLst>
                <c:f>('ARR-CSR-23-1'!$N$25,'ARR-CSR-23-1'!$P$25,'ARR-CSR-23-1'!$R$25,'ARR-CSR-23-1'!$T$25)</c:f>
                <c:numCache>
                  <c:formatCode>General</c:formatCode>
                  <c:ptCount val="4"/>
                  <c:pt idx="0">
                    <c:v>11116101.309961746</c:v>
                  </c:pt>
                  <c:pt idx="1">
                    <c:v>1876388.3748662823</c:v>
                  </c:pt>
                  <c:pt idx="2">
                    <c:v>1699034.6523835233</c:v>
                  </c:pt>
                  <c:pt idx="3">
                    <c:v>2844265.0632456886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('ARR-CSR-23-1'!$N$23,'ARR-CSR-23-1'!$P$23,'ARR-CSR-23-1'!$R$23,'ARR-CSR-23-1'!$T$23,'ARR-CSR-23-1'!$V$23,'ARR-CSR-23-1'!$X$23)</c15:sqref>
                  </c15:fullRef>
                </c:ext>
              </c:extLst>
              <c:f>('ARR-CSR-23-1'!$N$23,'ARR-CSR-23-1'!$P$23,'ARR-CSR-23-1'!$R$23,'ARR-CSR-23-1'!$T$23)</c:f>
              <c:numCache>
                <c:formatCode>0.00E+00</c:formatCode>
                <c:ptCount val="4"/>
                <c:pt idx="0">
                  <c:v>27916666.666666668</c:v>
                </c:pt>
                <c:pt idx="1">
                  <c:v>8166666.666666667</c:v>
                </c:pt>
                <c:pt idx="2">
                  <c:v>3750000</c:v>
                </c:pt>
                <c:pt idx="3">
                  <c:v>13437500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D8-416E-8B1E-72E773FC07DF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('ARR-CSR-23-1'!$O$25,'ARR-CSR-23-1'!$Q$25,'ARR-CSR-23-1'!$S$25,'ARR-CSR-23-1'!$U$25,'ARR-CSR-23-1'!$W$25,'ARR-CSR-23-1'!$Y$25)</c15:sqref>
                    </c15:fullRef>
                  </c:ext>
                </c:extLst>
                <c:f>('ARR-CSR-23-1'!$O$25,'ARR-CSR-23-1'!$Q$25,'ARR-CSR-23-1'!$S$25,'ARR-CSR-23-1'!$U$25)</c:f>
                <c:numCache>
                  <c:formatCode>General</c:formatCode>
                  <c:ptCount val="4"/>
                  <c:pt idx="0">
                    <c:v>112557.85549366754</c:v>
                  </c:pt>
                  <c:pt idx="1">
                    <c:v>326279.53250753158</c:v>
                  </c:pt>
                  <c:pt idx="2">
                    <c:v>112918.20417157425</c:v>
                  </c:pt>
                  <c:pt idx="3">
                    <c:v>1084334.473306092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('ARR-CSR-23-1'!$O$25,'ARR-CSR-23-1'!$Q$25,'ARR-CSR-23-1'!$S$25,'ARR-CSR-23-1'!$U$25,'ARR-CSR-23-1'!$W$25,'ARR-CSR-23-1'!$Y$25)</c15:sqref>
                    </c15:fullRef>
                  </c:ext>
                </c:extLst>
                <c:f>('ARR-CSR-23-1'!$O$25,'ARR-CSR-23-1'!$Q$25,'ARR-CSR-23-1'!$S$25,'ARR-CSR-23-1'!$U$25)</c:f>
                <c:numCache>
                  <c:formatCode>General</c:formatCode>
                  <c:ptCount val="4"/>
                  <c:pt idx="0">
                    <c:v>112557.85549366754</c:v>
                  </c:pt>
                  <c:pt idx="1">
                    <c:v>326279.53250753158</c:v>
                  </c:pt>
                  <c:pt idx="2">
                    <c:v>112918.20417157425</c:v>
                  </c:pt>
                  <c:pt idx="3">
                    <c:v>1084334.473306092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('ARR-CSR-23-1'!$O$23,'ARR-CSR-23-1'!$Q$23,'ARR-CSR-23-1'!$S$23,'ARR-CSR-23-1'!$U$23,'ARR-CSR-23-1'!$W$23,'ARR-CSR-23-1'!$Y$23)</c15:sqref>
                  </c15:fullRef>
                </c:ext>
              </c:extLst>
              <c:f>('ARR-CSR-23-1'!$O$23,'ARR-CSR-23-1'!$Q$23,'ARR-CSR-23-1'!$S$23,'ARR-CSR-23-1'!$U$23)</c:f>
              <c:numCache>
                <c:formatCode>0.00E+00</c:formatCode>
                <c:ptCount val="4"/>
                <c:pt idx="0">
                  <c:v>310416.66666666669</c:v>
                </c:pt>
                <c:pt idx="1">
                  <c:v>3366666.6666666665</c:v>
                </c:pt>
                <c:pt idx="2">
                  <c:v>240833.33333333334</c:v>
                </c:pt>
                <c:pt idx="3">
                  <c:v>11062500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D8-416E-8B1E-72E773FC0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5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90909090909092"/>
          <c:y val="4.8997772828507792E-2"/>
          <c:w val="0.68956609878310671"/>
          <c:h val="0.77833016268416066"/>
        </c:manualLayout>
      </c:layout>
      <c:barChart>
        <c:barDir val="col"/>
        <c:grouping val="clustered"/>
        <c:varyColors val="0"/>
        <c:ser>
          <c:idx val="1"/>
          <c:order val="0"/>
          <c:tx>
            <c:v>3.5 wpg</c:v>
          </c:tx>
          <c:spPr>
            <a:solidFill>
              <a:schemeClr val="tx1">
                <a:lumMod val="65000"/>
                <a:lumOff val="35000"/>
              </a:schemeClr>
            </a:solidFill>
            <a:ln w="1270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EC7-4AB9-A6E6-3DC48B756195}"/>
              </c:ext>
            </c:extLst>
          </c:dPt>
          <c:errBars>
            <c:errBarType val="both"/>
            <c:errValType val="cust"/>
            <c:noEndCap val="0"/>
            <c:plus>
              <c:numRef>
                <c:f>('ARR-CSR-23-1'!$N$25,'ARR-CSR-23-1'!$P$25,'ARR-CSR-23-1'!$R$25,'ARR-CSR-23-1'!$T$25,'ARR-CSR-23-1'!$V$25,'ARR-CSR-23-1'!$X$25)</c:f>
                <c:numCache>
                  <c:formatCode>General</c:formatCode>
                  <c:ptCount val="6"/>
                  <c:pt idx="0">
                    <c:v>11116101.309961746</c:v>
                  </c:pt>
                  <c:pt idx="1">
                    <c:v>1876388.3748662823</c:v>
                  </c:pt>
                  <c:pt idx="2">
                    <c:v>1699034.6523835233</c:v>
                  </c:pt>
                  <c:pt idx="3">
                    <c:v>2844265.0632456886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('ARR-CSR-23-1'!$N$25,'ARR-CSR-23-1'!$P$25,'ARR-CSR-23-1'!$R$25,'ARR-CSR-23-1'!$T$25,'ARR-CSR-23-1'!$V$25,'ARR-CSR-23-1'!$X$25)</c:f>
                <c:numCache>
                  <c:formatCode>General</c:formatCode>
                  <c:ptCount val="6"/>
                  <c:pt idx="0">
                    <c:v>11116101.309961746</c:v>
                  </c:pt>
                  <c:pt idx="1">
                    <c:v>1876388.3748662823</c:v>
                  </c:pt>
                  <c:pt idx="2">
                    <c:v>1699034.6523835233</c:v>
                  </c:pt>
                  <c:pt idx="3">
                    <c:v>2844265.0632456886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ln>
                <a:solidFill>
                  <a:schemeClr val="tx1"/>
                </a:solidFill>
              </a:ln>
            </c:spPr>
          </c:errBars>
          <c:val>
            <c:numRef>
              <c:f>'ARR-CSR-23-1'!$N$23</c:f>
              <c:numCache>
                <c:formatCode>0.00E+00</c:formatCode>
                <c:ptCount val="1"/>
                <c:pt idx="0">
                  <c:v>27916666.666666668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C7-4AB9-A6E6-3DC48B756195}"/>
            </c:ext>
          </c:extLst>
        </c:ser>
        <c:ser>
          <c:idx val="2"/>
          <c:order val="1"/>
          <c:tx>
            <c:v>6 wpg</c:v>
          </c:tx>
          <c:spPr>
            <a:solidFill>
              <a:schemeClr val="bg1"/>
            </a:solidFill>
            <a:ln w="1270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('ARR-CSR-23-1'!$O$25,'ARR-CSR-23-1'!$Q$25,'ARR-CSR-23-1'!$S$25,'ARR-CSR-23-1'!$U$25,'ARR-CSR-23-1'!$W$25,'ARR-CSR-23-1'!$Y$25)</c:f>
                <c:numCache>
                  <c:formatCode>General</c:formatCode>
                  <c:ptCount val="6"/>
                  <c:pt idx="0">
                    <c:v>112557.85549366754</c:v>
                  </c:pt>
                  <c:pt idx="1">
                    <c:v>326279.53250753158</c:v>
                  </c:pt>
                  <c:pt idx="2">
                    <c:v>112918.20417157425</c:v>
                  </c:pt>
                  <c:pt idx="3">
                    <c:v>1084334.473306092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('ARR-CSR-23-1'!$O$25,'ARR-CSR-23-1'!$Q$25,'ARR-CSR-23-1'!$S$25,'ARR-CSR-23-1'!$U$25,'ARR-CSR-23-1'!$W$25,'ARR-CSR-23-1'!$Y$25)</c:f>
                <c:numCache>
                  <c:formatCode>General</c:formatCode>
                  <c:ptCount val="6"/>
                  <c:pt idx="0">
                    <c:v>112557.85549366754</c:v>
                  </c:pt>
                  <c:pt idx="1">
                    <c:v>326279.53250753158</c:v>
                  </c:pt>
                  <c:pt idx="2">
                    <c:v>112918.20417157425</c:v>
                  </c:pt>
                  <c:pt idx="3">
                    <c:v>1084334.473306092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</c:errBars>
          <c:val>
            <c:numRef>
              <c:f>'ARR-CSR-23-1'!$O$23</c:f>
              <c:numCache>
                <c:formatCode>0.00E+00</c:formatCode>
                <c:ptCount val="1"/>
                <c:pt idx="0">
                  <c:v>310416.66666666669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C7-4AB9-A6E6-3DC48B756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8288744"/>
        <c:axId val="441807816"/>
      </c:barChart>
      <c:catAx>
        <c:axId val="578288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41807816"/>
        <c:crosses val="autoZero"/>
        <c:auto val="1"/>
        <c:lblAlgn val="ctr"/>
        <c:lblOffset val="100"/>
        <c:noMultiLvlLbl val="0"/>
      </c:catAx>
      <c:valAx>
        <c:axId val="441807816"/>
        <c:scaling>
          <c:logBase val="10"/>
          <c:orientation val="minMax"/>
          <c:max val="10000000"/>
          <c:min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CA" b="1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Bacterial level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(CFU leaf disc</a:t>
                </a:r>
                <a:r>
                  <a:rPr lang="en-CA" b="1" baseline="300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-1</a:t>
                </a:r>
                <a:r>
                  <a:rPr lang="en-CA" b="1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en-CA" b="1">
                  <a:solidFill>
                    <a:sysClr val="windowText" lastClr="000000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6858067287043664E-2"/>
              <c:y val="0.1276337857551121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out"/>
        <c:minorTickMark val="out"/>
        <c:tickLblPos val="none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2887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469243</xdr:colOff>
      <xdr:row>38</xdr:row>
      <xdr:rowOff>132582</xdr:rowOff>
    </xdr:from>
    <xdr:to>
      <xdr:col>21</xdr:col>
      <xdr:colOff>111015</xdr:colOff>
      <xdr:row>53</xdr:row>
      <xdr:rowOff>110357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60DB0-0592-41CE-B91E-35EAC011C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0.12851</cdr:x>
      <cdr:y>0.82971</cdr:y>
    </cdr:from>
    <cdr:to>
      <cdr:x>0.25069</cdr:x>
      <cdr:y>0.91096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707804" y="2406960"/>
          <a:ext cx="672950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0.24182</cdr:x>
      <cdr:y>0.82518</cdr:y>
    </cdr:from>
    <cdr:to>
      <cdr:x>0.36401</cdr:x>
      <cdr:y>0.90643</cdr:y>
    </cdr:to>
    <cdr:sp macro="" textlink="">
      <cdr:nvSpPr>
        <cdr:cNvPr id="11" name="TextBox 10">
          <a:extLst xmlns:a="http://schemas.openxmlformats.org/drawingml/2006/main">
            <a:ext uri="{FF2B5EF4-FFF2-40B4-BE49-F238E27FC236}">
              <a16:creationId xmlns:a16="http://schemas.microsoft.com/office/drawing/2014/main" id="{C624A009-AC9A-45F4-A240-D7D494A75A73}"/>
            </a:ext>
          </a:extLst>
        </cdr:cNvPr>
        <cdr:cNvSpPr txBox="1"/>
      </cdr:nvSpPr>
      <cdr:spPr>
        <a:xfrm xmlns:a="http://schemas.openxmlformats.org/drawingml/2006/main">
          <a:off x="1331923" y="2393825"/>
          <a:ext cx="673005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bak1-4</a:t>
          </a:r>
        </a:p>
      </cdr:txBody>
    </cdr:sp>
  </cdr:relSizeAnchor>
  <cdr:relSizeAnchor xmlns:cdr="http://schemas.openxmlformats.org/drawingml/2006/chartDrawing">
    <cdr:from>
      <cdr:x>0.46609</cdr:x>
      <cdr:y>0.84103</cdr:y>
    </cdr:from>
    <cdr:to>
      <cdr:x>0.58828</cdr:x>
      <cdr:y>0.92228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567156" y="2439807"/>
          <a:ext cx="673005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0.35634</cdr:x>
      <cdr:y>0.82292</cdr:y>
    </cdr:from>
    <cdr:to>
      <cdr:x>0.47853</cdr:x>
      <cdr:y>0.90417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D7639354-74F0-41F8-B129-CF1F1A0E22B6}"/>
            </a:ext>
          </a:extLst>
        </cdr:cNvPr>
        <cdr:cNvSpPr txBox="1"/>
      </cdr:nvSpPr>
      <cdr:spPr>
        <a:xfrm xmlns:a="http://schemas.openxmlformats.org/drawingml/2006/main">
          <a:off x="1962692" y="2387253"/>
          <a:ext cx="673005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</cdr:txBody>
    </cdr:sp>
  </cdr:relSizeAnchor>
  <cdr:relSizeAnchor xmlns:cdr="http://schemas.openxmlformats.org/drawingml/2006/chartDrawing">
    <cdr:from>
      <cdr:x>0.59015</cdr:x>
      <cdr:y>0.8433</cdr:y>
    </cdr:from>
    <cdr:to>
      <cdr:x>0.71234</cdr:x>
      <cdr:y>0.92455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08E6E419-E53F-455E-BDCB-4DB6FDA0636E}"/>
            </a:ext>
          </a:extLst>
        </cdr:cNvPr>
        <cdr:cNvSpPr txBox="1"/>
      </cdr:nvSpPr>
      <cdr:spPr>
        <a:xfrm xmlns:a="http://schemas.openxmlformats.org/drawingml/2006/main">
          <a:off x="3250469" y="2446376"/>
          <a:ext cx="673005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0.14458</cdr:x>
      <cdr:y>0.02902</cdr:y>
    </cdr:from>
    <cdr:to>
      <cdr:x>0.20183</cdr:x>
      <cdr:y>0.13771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94D86FA3-B7D0-4707-9C92-E504F7238280}"/>
            </a:ext>
          </a:extLst>
        </cdr:cNvPr>
        <cdr:cNvSpPr txBox="1"/>
      </cdr:nvSpPr>
      <cdr:spPr>
        <a:xfrm xmlns:a="http://schemas.openxmlformats.org/drawingml/2006/main">
          <a:off x="797768" y="84406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0.46839</cdr:x>
      <cdr:y>0.21225</cdr:y>
    </cdr:from>
    <cdr:to>
      <cdr:x>0.52564</cdr:x>
      <cdr:y>0.32094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6DF7CBB9-332D-447A-BF21-77EB53DEA780}"/>
            </a:ext>
          </a:extLst>
        </cdr:cNvPr>
        <cdr:cNvSpPr txBox="1"/>
      </cdr:nvSpPr>
      <cdr:spPr>
        <a:xfrm xmlns:a="http://schemas.openxmlformats.org/drawingml/2006/main">
          <a:off x="2579852" y="615732"/>
          <a:ext cx="315310" cy="315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100"/>
        </a:p>
      </cdr:txBody>
    </cdr:sp>
  </cdr:relSizeAnchor>
  <cdr:relSizeAnchor xmlns:cdr="http://schemas.openxmlformats.org/drawingml/2006/chartDrawing">
    <cdr:from>
      <cdr:x>0.25877</cdr:x>
      <cdr:y>0.05169</cdr:y>
    </cdr:from>
    <cdr:to>
      <cdr:x>0.31602</cdr:x>
      <cdr:y>0.16038</cdr:y>
    </cdr:to>
    <cdr:sp macro="" textlink="">
      <cdr:nvSpPr>
        <cdr:cNvPr id="33" name="TextBox 32">
          <a:extLst xmlns:a="http://schemas.openxmlformats.org/drawingml/2006/main">
            <a:ext uri="{FF2B5EF4-FFF2-40B4-BE49-F238E27FC236}">
              <a16:creationId xmlns:a16="http://schemas.microsoft.com/office/drawing/2014/main" id="{36EE8AF9-04AC-46C3-946D-9B426B6B2D52}"/>
            </a:ext>
          </a:extLst>
        </cdr:cNvPr>
        <cdr:cNvSpPr txBox="1"/>
      </cdr:nvSpPr>
      <cdr:spPr>
        <a:xfrm xmlns:a="http://schemas.openxmlformats.org/drawingml/2006/main">
          <a:off x="1427883" y="150349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0.7182</cdr:x>
      <cdr:y>0.06681</cdr:y>
    </cdr:from>
    <cdr:to>
      <cdr:x>0.77545</cdr:x>
      <cdr:y>0.1755</cdr:y>
    </cdr:to>
    <cdr:sp macro="" textlink="">
      <cdr:nvSpPr>
        <cdr:cNvPr id="34" name="TextBox 33">
          <a:extLst xmlns:a="http://schemas.openxmlformats.org/drawingml/2006/main">
            <a:ext uri="{FF2B5EF4-FFF2-40B4-BE49-F238E27FC236}">
              <a16:creationId xmlns:a16="http://schemas.microsoft.com/office/drawing/2014/main" id="{61CA5513-C055-49B5-9E3E-1E378F7A755B}"/>
            </a:ext>
          </a:extLst>
        </cdr:cNvPr>
        <cdr:cNvSpPr txBox="1"/>
      </cdr:nvSpPr>
      <cdr:spPr>
        <a:xfrm xmlns:a="http://schemas.openxmlformats.org/drawingml/2006/main">
          <a:off x="3962998" y="194311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0.48848</cdr:x>
      <cdr:y>0.05421</cdr:y>
    </cdr:from>
    <cdr:to>
      <cdr:x>0.54573</cdr:x>
      <cdr:y>0.1629</cdr:y>
    </cdr:to>
    <cdr:sp macro="" textlink="">
      <cdr:nvSpPr>
        <cdr:cNvPr id="37" name="TextBox 36">
          <a:extLst xmlns:a="http://schemas.openxmlformats.org/drawingml/2006/main">
            <a:ext uri="{FF2B5EF4-FFF2-40B4-BE49-F238E27FC236}">
              <a16:creationId xmlns:a16="http://schemas.microsoft.com/office/drawing/2014/main" id="{947EC5CC-5EC2-4214-BDDB-6EC3DBD44381}"/>
            </a:ext>
          </a:extLst>
        </cdr:cNvPr>
        <cdr:cNvSpPr txBox="1"/>
      </cdr:nvSpPr>
      <cdr:spPr>
        <a:xfrm xmlns:a="http://schemas.openxmlformats.org/drawingml/2006/main">
          <a:off x="2695440" y="157676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0.37429</cdr:x>
      <cdr:y>0.02146</cdr:y>
    </cdr:from>
    <cdr:to>
      <cdr:x>0.43154</cdr:x>
      <cdr:y>0.13015</cdr:y>
    </cdr:to>
    <cdr:sp macro="" textlink="">
      <cdr:nvSpPr>
        <cdr:cNvPr id="38" name="TextBox 37">
          <a:extLst xmlns:a="http://schemas.openxmlformats.org/drawingml/2006/main">
            <a:ext uri="{FF2B5EF4-FFF2-40B4-BE49-F238E27FC236}">
              <a16:creationId xmlns:a16="http://schemas.microsoft.com/office/drawing/2014/main" id="{6000AE10-4CED-4DAD-ABB1-E316A6292B45}"/>
            </a:ext>
          </a:extLst>
        </cdr:cNvPr>
        <cdr:cNvSpPr txBox="1"/>
      </cdr:nvSpPr>
      <cdr:spPr>
        <a:xfrm xmlns:a="http://schemas.openxmlformats.org/drawingml/2006/main">
          <a:off x="2065325" y="62426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0.60268</cdr:x>
      <cdr:y>0</cdr:y>
    </cdr:from>
    <cdr:to>
      <cdr:x>0.65993</cdr:x>
      <cdr:y>0.10869</cdr:y>
    </cdr:to>
    <cdr:sp macro="" textlink="">
      <cdr:nvSpPr>
        <cdr:cNvPr id="39" name="TextBox 38">
          <a:extLst xmlns:a="http://schemas.openxmlformats.org/drawingml/2006/main">
            <a:ext uri="{FF2B5EF4-FFF2-40B4-BE49-F238E27FC236}">
              <a16:creationId xmlns:a16="http://schemas.microsoft.com/office/drawing/2014/main" id="{4F24B0DE-A609-4D6F-BD4E-79F6BBEA23E6}"/>
            </a:ext>
          </a:extLst>
        </cdr:cNvPr>
        <cdr:cNvSpPr txBox="1"/>
      </cdr:nvSpPr>
      <cdr:spPr>
        <a:xfrm xmlns:a="http://schemas.openxmlformats.org/drawingml/2006/main">
          <a:off x="3325556" y="0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0.284</cdr:x>
      <cdr:y>0.15498</cdr:y>
    </cdr:from>
    <cdr:to>
      <cdr:x>0.34125</cdr:x>
      <cdr:y>0.26367</cdr:y>
    </cdr:to>
    <cdr:sp macro="" textlink="">
      <cdr:nvSpPr>
        <cdr:cNvPr id="40" name="TextBox 39">
          <a:extLst xmlns:a="http://schemas.openxmlformats.org/drawingml/2006/main">
            <a:ext uri="{FF2B5EF4-FFF2-40B4-BE49-F238E27FC236}">
              <a16:creationId xmlns:a16="http://schemas.microsoft.com/office/drawing/2014/main" id="{58CABCDD-31D9-470C-AE58-1055719C7507}"/>
            </a:ext>
          </a:extLst>
        </cdr:cNvPr>
        <cdr:cNvSpPr txBox="1"/>
      </cdr:nvSpPr>
      <cdr:spPr>
        <a:xfrm xmlns:a="http://schemas.openxmlformats.org/drawingml/2006/main">
          <a:off x="1567094" y="450754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b</a:t>
          </a:r>
        </a:p>
      </cdr:txBody>
    </cdr:sp>
  </cdr:relSizeAnchor>
  <cdr:relSizeAnchor xmlns:cdr="http://schemas.openxmlformats.org/drawingml/2006/chartDrawing">
    <cdr:from>
      <cdr:x>0.4035</cdr:x>
      <cdr:y>0.1978</cdr:y>
    </cdr:from>
    <cdr:to>
      <cdr:x>0.46075</cdr:x>
      <cdr:y>0.30649</cdr:y>
    </cdr:to>
    <cdr:sp macro="" textlink="">
      <cdr:nvSpPr>
        <cdr:cNvPr id="41" name="TextBox 40">
          <a:extLst xmlns:a="http://schemas.openxmlformats.org/drawingml/2006/main">
            <a:ext uri="{FF2B5EF4-FFF2-40B4-BE49-F238E27FC236}">
              <a16:creationId xmlns:a16="http://schemas.microsoft.com/office/drawing/2014/main" id="{9DA33531-E141-4B71-A606-B7A7A07F1004}"/>
            </a:ext>
          </a:extLst>
        </cdr:cNvPr>
        <cdr:cNvSpPr txBox="1"/>
      </cdr:nvSpPr>
      <cdr:spPr>
        <a:xfrm xmlns:a="http://schemas.openxmlformats.org/drawingml/2006/main">
          <a:off x="2226517" y="575312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b</a:t>
          </a:r>
        </a:p>
      </cdr:txBody>
    </cdr:sp>
  </cdr:relSizeAnchor>
  <cdr:relSizeAnchor xmlns:cdr="http://schemas.openxmlformats.org/drawingml/2006/chartDrawing">
    <cdr:from>
      <cdr:x>0.52301</cdr:x>
      <cdr:y>0.24566</cdr:y>
    </cdr:from>
    <cdr:to>
      <cdr:x>0.58026</cdr:x>
      <cdr:y>0.35435</cdr:y>
    </cdr:to>
    <cdr:sp macro="" textlink="">
      <cdr:nvSpPr>
        <cdr:cNvPr id="42" name="TextBox 41">
          <a:extLst xmlns:a="http://schemas.openxmlformats.org/drawingml/2006/main">
            <a:ext uri="{FF2B5EF4-FFF2-40B4-BE49-F238E27FC236}">
              <a16:creationId xmlns:a16="http://schemas.microsoft.com/office/drawing/2014/main" id="{AF48B48E-DFBF-4B65-B923-7784652A7DAD}"/>
            </a:ext>
          </a:extLst>
        </cdr:cNvPr>
        <cdr:cNvSpPr txBox="1"/>
      </cdr:nvSpPr>
      <cdr:spPr>
        <a:xfrm xmlns:a="http://schemas.openxmlformats.org/drawingml/2006/main">
          <a:off x="2885940" y="714524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bc</a:t>
          </a:r>
        </a:p>
      </cdr:txBody>
    </cdr:sp>
  </cdr:relSizeAnchor>
  <cdr:relSizeAnchor xmlns:cdr="http://schemas.openxmlformats.org/drawingml/2006/chartDrawing">
    <cdr:from>
      <cdr:x>0.63587</cdr:x>
      <cdr:y>0.28849</cdr:y>
    </cdr:from>
    <cdr:to>
      <cdr:x>0.69312</cdr:x>
      <cdr:y>0.39718</cdr:y>
    </cdr:to>
    <cdr:sp macro="" textlink="">
      <cdr:nvSpPr>
        <cdr:cNvPr id="43" name="TextBox 42">
          <a:extLst xmlns:a="http://schemas.openxmlformats.org/drawingml/2006/main">
            <a:ext uri="{FF2B5EF4-FFF2-40B4-BE49-F238E27FC236}">
              <a16:creationId xmlns:a16="http://schemas.microsoft.com/office/drawing/2014/main" id="{016FB343-3355-479E-9B22-D1ACB4AAD850}"/>
            </a:ext>
          </a:extLst>
        </cdr:cNvPr>
        <cdr:cNvSpPr txBox="1"/>
      </cdr:nvSpPr>
      <cdr:spPr>
        <a:xfrm xmlns:a="http://schemas.openxmlformats.org/drawingml/2006/main">
          <a:off x="3508728" y="839082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0.75139</cdr:x>
      <cdr:y>0.20284</cdr:y>
    </cdr:from>
    <cdr:to>
      <cdr:x>0.80864</cdr:x>
      <cdr:y>0.31153</cdr:y>
    </cdr:to>
    <cdr:sp macro="" textlink="">
      <cdr:nvSpPr>
        <cdr:cNvPr id="44" name="TextBox 43">
          <a:extLst xmlns:a="http://schemas.openxmlformats.org/drawingml/2006/main">
            <a:ext uri="{FF2B5EF4-FFF2-40B4-BE49-F238E27FC236}">
              <a16:creationId xmlns:a16="http://schemas.microsoft.com/office/drawing/2014/main" id="{B44ECBD2-4964-483A-AB51-008A5A6873DD}"/>
            </a:ext>
          </a:extLst>
        </cdr:cNvPr>
        <cdr:cNvSpPr txBox="1"/>
      </cdr:nvSpPr>
      <cdr:spPr>
        <a:xfrm xmlns:a="http://schemas.openxmlformats.org/drawingml/2006/main">
          <a:off x="4146171" y="589966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0.17644</cdr:x>
      <cdr:y>0.28849</cdr:y>
    </cdr:from>
    <cdr:to>
      <cdr:x>0.23369</cdr:x>
      <cdr:y>0.39718</cdr:y>
    </cdr:to>
    <cdr:sp macro="" textlink="">
      <cdr:nvSpPr>
        <cdr:cNvPr id="45" name="TextBox 44">
          <a:extLst xmlns:a="http://schemas.openxmlformats.org/drawingml/2006/main">
            <a:ext uri="{FF2B5EF4-FFF2-40B4-BE49-F238E27FC236}">
              <a16:creationId xmlns:a16="http://schemas.microsoft.com/office/drawing/2014/main" id="{3623A185-EFD6-4049-9F02-1389FB1BF64D}"/>
            </a:ext>
          </a:extLst>
        </cdr:cNvPr>
        <cdr:cNvSpPr txBox="1"/>
      </cdr:nvSpPr>
      <cdr:spPr>
        <a:xfrm xmlns:a="http://schemas.openxmlformats.org/drawingml/2006/main">
          <a:off x="973613" y="839081"/>
          <a:ext cx="315903" cy="3161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0.70366</cdr:x>
      <cdr:y>0.83617</cdr:y>
    </cdr:from>
    <cdr:to>
      <cdr:x>0.82585</cdr:x>
      <cdr:y>0.91742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FCA1D0F3-9586-4470-9889-4F504CE11C98}"/>
            </a:ext>
          </a:extLst>
        </cdr:cNvPr>
        <cdr:cNvSpPr txBox="1"/>
      </cdr:nvSpPr>
      <cdr:spPr>
        <a:xfrm xmlns:a="http://schemas.openxmlformats.org/drawingml/2006/main">
          <a:off x="3882781" y="2432050"/>
          <a:ext cx="674240" cy="236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sobir1-12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590603</xdr:colOff>
      <xdr:row>30</xdr:row>
      <xdr:rowOff>8359</xdr:rowOff>
    </xdr:from>
    <xdr:to>
      <xdr:col>19</xdr:col>
      <xdr:colOff>166113</xdr:colOff>
      <xdr:row>44</xdr:row>
      <xdr:rowOff>166209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F1F29-95BC-462B-9985-306E7C63F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16</xdr:col>
      <xdr:colOff>238125</xdr:colOff>
      <xdr:row>62</xdr:row>
      <xdr:rowOff>154163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3B215-D0B9-4606-8AF4-86BE8AF93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0.12851</cdr:x>
      <cdr:y>0.82971</cdr:y>
    </cdr:from>
    <cdr:to>
      <cdr:x>0.25069</cdr:x>
      <cdr:y>0.91096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707804" y="2406960"/>
          <a:ext cx="672950" cy="2357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0.38997</cdr:x>
      <cdr:y>0.84135</cdr:y>
    </cdr:from>
    <cdr:to>
      <cdr:x>0.51216</cdr:x>
      <cdr:y>0.9226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188823" y="2253900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0.27248</cdr:x>
      <cdr:y>0.84534</cdr:y>
    </cdr:from>
    <cdr:to>
      <cdr:x>0.39467</cdr:x>
      <cdr:y>0.92659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D7639354-74F0-41F8-B129-CF1F1A0E22B6}"/>
            </a:ext>
          </a:extLst>
        </cdr:cNvPr>
        <cdr:cNvSpPr txBox="1"/>
      </cdr:nvSpPr>
      <cdr:spPr>
        <a:xfrm xmlns:a="http://schemas.openxmlformats.org/drawingml/2006/main">
          <a:off x="1529381" y="2264589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</cdr:txBody>
    </cdr:sp>
  </cdr:relSizeAnchor>
  <cdr:relSizeAnchor xmlns:cdr="http://schemas.openxmlformats.org/drawingml/2006/chartDrawing">
    <cdr:from>
      <cdr:x>0.4935</cdr:x>
      <cdr:y>0.83568</cdr:y>
    </cdr:from>
    <cdr:to>
      <cdr:x>0.61569</cdr:x>
      <cdr:y>0.91693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08E6E419-E53F-455E-BDCB-4DB6FDA0636E}"/>
            </a:ext>
          </a:extLst>
        </cdr:cNvPr>
        <cdr:cNvSpPr txBox="1"/>
      </cdr:nvSpPr>
      <cdr:spPr>
        <a:xfrm xmlns:a="http://schemas.openxmlformats.org/drawingml/2006/main">
          <a:off x="2769911" y="2238711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0.1485</cdr:x>
      <cdr:y>0.06154</cdr:y>
    </cdr:from>
    <cdr:to>
      <cdr:x>0.19829</cdr:x>
      <cdr:y>0.15521</cdr:y>
    </cdr:to>
    <cdr:sp macro="" textlink="">
      <cdr:nvSpPr>
        <cdr:cNvPr id="12" name="TextBox 11">
          <a:extLst xmlns:a="http://schemas.openxmlformats.org/drawingml/2006/main">
            <a:ext uri="{FF2B5EF4-FFF2-40B4-BE49-F238E27FC236}">
              <a16:creationId xmlns:a16="http://schemas.microsoft.com/office/drawing/2014/main" id="{72826700-FBA7-4F3E-BA59-124BC1CB364B}"/>
            </a:ext>
          </a:extLst>
        </cdr:cNvPr>
        <cdr:cNvSpPr txBox="1"/>
      </cdr:nvSpPr>
      <cdr:spPr>
        <a:xfrm xmlns:a="http://schemas.openxmlformats.org/drawingml/2006/main">
          <a:off x="815133" y="179587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0.26317</cdr:x>
      <cdr:y>0.02748</cdr:y>
    </cdr:from>
    <cdr:to>
      <cdr:x>0.31296</cdr:x>
      <cdr:y>0.12115</cdr:y>
    </cdr:to>
    <cdr:sp macro="" textlink="">
      <cdr:nvSpPr>
        <cdr:cNvPr id="33" name="TextBox 32">
          <a:extLst xmlns:a="http://schemas.openxmlformats.org/drawingml/2006/main">
            <a:ext uri="{FF2B5EF4-FFF2-40B4-BE49-F238E27FC236}">
              <a16:creationId xmlns:a16="http://schemas.microsoft.com/office/drawing/2014/main" id="{229869B1-E6D0-49B8-B461-9C2EED55703C}"/>
            </a:ext>
          </a:extLst>
        </cdr:cNvPr>
        <cdr:cNvSpPr txBox="1"/>
      </cdr:nvSpPr>
      <cdr:spPr>
        <a:xfrm xmlns:a="http://schemas.openxmlformats.org/drawingml/2006/main">
          <a:off x="1444612" y="80195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0.37633</cdr:x>
      <cdr:y>0.036</cdr:y>
    </cdr:from>
    <cdr:to>
      <cdr:x>0.42613</cdr:x>
      <cdr:y>0.12966</cdr:y>
    </cdr:to>
    <cdr:sp macro="" textlink="">
      <cdr:nvSpPr>
        <cdr:cNvPr id="34" name="TextBox 33">
          <a:extLst xmlns:a="http://schemas.openxmlformats.org/drawingml/2006/main">
            <a:ext uri="{FF2B5EF4-FFF2-40B4-BE49-F238E27FC236}">
              <a16:creationId xmlns:a16="http://schemas.microsoft.com/office/drawing/2014/main" id="{4DB2EA99-CE08-4BDC-947C-A5C7B76F365D}"/>
            </a:ext>
          </a:extLst>
        </cdr:cNvPr>
        <cdr:cNvSpPr txBox="1"/>
      </cdr:nvSpPr>
      <cdr:spPr>
        <a:xfrm xmlns:a="http://schemas.openxmlformats.org/drawingml/2006/main">
          <a:off x="2065807" y="105043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0.49403</cdr:x>
      <cdr:y>0.11547</cdr:y>
    </cdr:from>
    <cdr:to>
      <cdr:x>0.54382</cdr:x>
      <cdr:y>0.20914</cdr:y>
    </cdr:to>
    <cdr:sp macro="" textlink="">
      <cdr:nvSpPr>
        <cdr:cNvPr id="35" name="TextBox 34">
          <a:extLst xmlns:a="http://schemas.openxmlformats.org/drawingml/2006/main">
            <a:ext uri="{FF2B5EF4-FFF2-40B4-BE49-F238E27FC236}">
              <a16:creationId xmlns:a16="http://schemas.microsoft.com/office/drawing/2014/main" id="{59BB3770-8EF7-4ABC-843E-4712E51B7079}"/>
            </a:ext>
          </a:extLst>
        </cdr:cNvPr>
        <cdr:cNvSpPr txBox="1"/>
      </cdr:nvSpPr>
      <cdr:spPr>
        <a:xfrm xmlns:a="http://schemas.openxmlformats.org/drawingml/2006/main">
          <a:off x="2711850" y="336956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b</a:t>
          </a:r>
        </a:p>
      </cdr:txBody>
    </cdr:sp>
  </cdr:relSizeAnchor>
  <cdr:relSizeAnchor xmlns:cdr="http://schemas.openxmlformats.org/drawingml/2006/chartDrawing">
    <cdr:from>
      <cdr:x>0.60568</cdr:x>
      <cdr:y>0.03316</cdr:y>
    </cdr:from>
    <cdr:to>
      <cdr:x>0.65547</cdr:x>
      <cdr:y>0.12682</cdr:y>
    </cdr:to>
    <cdr:sp macro="" textlink="">
      <cdr:nvSpPr>
        <cdr:cNvPr id="36" name="TextBox 35">
          <a:extLst xmlns:a="http://schemas.openxmlformats.org/drawingml/2006/main">
            <a:ext uri="{FF2B5EF4-FFF2-40B4-BE49-F238E27FC236}">
              <a16:creationId xmlns:a16="http://schemas.microsoft.com/office/drawing/2014/main" id="{2D90A80A-2DCC-4FE5-87AE-2798CEAFEA26}"/>
            </a:ext>
          </a:extLst>
        </cdr:cNvPr>
        <cdr:cNvSpPr txBox="1"/>
      </cdr:nvSpPr>
      <cdr:spPr>
        <a:xfrm xmlns:a="http://schemas.openxmlformats.org/drawingml/2006/main">
          <a:off x="3324764" y="96760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  <cdr:relSizeAnchor xmlns:cdr="http://schemas.openxmlformats.org/drawingml/2006/chartDrawing">
    <cdr:from>
      <cdr:x>0.72036</cdr:x>
      <cdr:y>0.17508</cdr:y>
    </cdr:from>
    <cdr:to>
      <cdr:x>0.77015</cdr:x>
      <cdr:y>0.26874</cdr:y>
    </cdr:to>
    <cdr:sp macro="" textlink="">
      <cdr:nvSpPr>
        <cdr:cNvPr id="37" name="TextBox 36">
          <a:extLst xmlns:a="http://schemas.openxmlformats.org/drawingml/2006/main">
            <a:ext uri="{FF2B5EF4-FFF2-40B4-BE49-F238E27FC236}">
              <a16:creationId xmlns:a16="http://schemas.microsoft.com/office/drawing/2014/main" id="{4CA0C097-67E1-4E10-B185-6D1BB9FEBDC2}"/>
            </a:ext>
          </a:extLst>
        </cdr:cNvPr>
        <cdr:cNvSpPr txBox="1"/>
      </cdr:nvSpPr>
      <cdr:spPr>
        <a:xfrm xmlns:a="http://schemas.openxmlformats.org/drawingml/2006/main">
          <a:off x="3954242" y="510891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bc</a:t>
          </a:r>
        </a:p>
      </cdr:txBody>
    </cdr:sp>
  </cdr:relSizeAnchor>
  <cdr:relSizeAnchor xmlns:cdr="http://schemas.openxmlformats.org/drawingml/2006/chartDrawing">
    <cdr:from>
      <cdr:x>0.63888</cdr:x>
      <cdr:y>0.20346</cdr:y>
    </cdr:from>
    <cdr:to>
      <cdr:x>0.68867</cdr:x>
      <cdr:y>0.29713</cdr:y>
    </cdr:to>
    <cdr:sp macro="" textlink="">
      <cdr:nvSpPr>
        <cdr:cNvPr id="38" name="TextBox 37">
          <a:extLst xmlns:a="http://schemas.openxmlformats.org/drawingml/2006/main">
            <a:ext uri="{FF2B5EF4-FFF2-40B4-BE49-F238E27FC236}">
              <a16:creationId xmlns:a16="http://schemas.microsoft.com/office/drawing/2014/main" id="{9B6D414F-8D81-48C5-BAF8-63328FFA6157}"/>
            </a:ext>
          </a:extLst>
        </cdr:cNvPr>
        <cdr:cNvSpPr txBox="1"/>
      </cdr:nvSpPr>
      <cdr:spPr>
        <a:xfrm xmlns:a="http://schemas.openxmlformats.org/drawingml/2006/main">
          <a:off x="3506981" y="593717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c</a:t>
          </a:r>
        </a:p>
      </cdr:txBody>
    </cdr:sp>
  </cdr:relSizeAnchor>
  <cdr:relSizeAnchor xmlns:cdr="http://schemas.openxmlformats.org/drawingml/2006/chartDrawing">
    <cdr:from>
      <cdr:x>0.40802</cdr:x>
      <cdr:y>0.25739</cdr:y>
    </cdr:from>
    <cdr:to>
      <cdr:x>0.45781</cdr:x>
      <cdr:y>0.35105</cdr:y>
    </cdr:to>
    <cdr:sp macro="" textlink="">
      <cdr:nvSpPr>
        <cdr:cNvPr id="39" name="TextBox 38">
          <a:extLst xmlns:a="http://schemas.openxmlformats.org/drawingml/2006/main">
            <a:ext uri="{FF2B5EF4-FFF2-40B4-BE49-F238E27FC236}">
              <a16:creationId xmlns:a16="http://schemas.microsoft.com/office/drawing/2014/main" id="{08EBE609-65B3-4BBC-A63D-833C5C18DBDA}"/>
            </a:ext>
          </a:extLst>
        </cdr:cNvPr>
        <cdr:cNvSpPr txBox="1"/>
      </cdr:nvSpPr>
      <cdr:spPr>
        <a:xfrm xmlns:a="http://schemas.openxmlformats.org/drawingml/2006/main">
          <a:off x="2239742" y="751086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cd</a:t>
          </a:r>
        </a:p>
      </cdr:txBody>
    </cdr:sp>
  </cdr:relSizeAnchor>
  <cdr:relSizeAnchor xmlns:cdr="http://schemas.openxmlformats.org/drawingml/2006/chartDrawing">
    <cdr:from>
      <cdr:x>0.75506</cdr:x>
      <cdr:y>0.37376</cdr:y>
    </cdr:from>
    <cdr:to>
      <cdr:x>0.80485</cdr:x>
      <cdr:y>0.46743</cdr:y>
    </cdr:to>
    <cdr:sp macro="" textlink="">
      <cdr:nvSpPr>
        <cdr:cNvPr id="40" name="TextBox 39">
          <a:extLst xmlns:a="http://schemas.openxmlformats.org/drawingml/2006/main">
            <a:ext uri="{FF2B5EF4-FFF2-40B4-BE49-F238E27FC236}">
              <a16:creationId xmlns:a16="http://schemas.microsoft.com/office/drawing/2014/main" id="{8D6F1079-D6D3-4FA1-80BB-A67B7CEA0E81}"/>
            </a:ext>
          </a:extLst>
        </cdr:cNvPr>
        <cdr:cNvSpPr txBox="1"/>
      </cdr:nvSpPr>
      <cdr:spPr>
        <a:xfrm xmlns:a="http://schemas.openxmlformats.org/drawingml/2006/main">
          <a:off x="4144742" y="1090673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d</a:t>
          </a:r>
        </a:p>
      </cdr:txBody>
    </cdr:sp>
  </cdr:relSizeAnchor>
  <cdr:relSizeAnchor xmlns:cdr="http://schemas.openxmlformats.org/drawingml/2006/chartDrawing">
    <cdr:from>
      <cdr:x>0.17867</cdr:x>
      <cdr:y>0.42485</cdr:y>
    </cdr:from>
    <cdr:to>
      <cdr:x>0.22846</cdr:x>
      <cdr:y>0.51852</cdr:y>
    </cdr:to>
    <cdr:sp macro="" textlink="">
      <cdr:nvSpPr>
        <cdr:cNvPr id="41" name="TextBox 40">
          <a:extLst xmlns:a="http://schemas.openxmlformats.org/drawingml/2006/main">
            <a:ext uri="{FF2B5EF4-FFF2-40B4-BE49-F238E27FC236}">
              <a16:creationId xmlns:a16="http://schemas.microsoft.com/office/drawing/2014/main" id="{25B8AAC1-3F5B-4FB8-9FBD-B9ECCF75ADD2}"/>
            </a:ext>
          </a:extLst>
        </cdr:cNvPr>
        <cdr:cNvSpPr txBox="1"/>
      </cdr:nvSpPr>
      <cdr:spPr>
        <a:xfrm xmlns:a="http://schemas.openxmlformats.org/drawingml/2006/main">
          <a:off x="980785" y="1239760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e</a:t>
          </a:r>
        </a:p>
      </cdr:txBody>
    </cdr:sp>
  </cdr:relSizeAnchor>
  <cdr:relSizeAnchor xmlns:cdr="http://schemas.openxmlformats.org/drawingml/2006/chartDrawing">
    <cdr:from>
      <cdr:x>0.29184</cdr:x>
      <cdr:y>0.46459</cdr:y>
    </cdr:from>
    <cdr:to>
      <cdr:x>0.34163</cdr:x>
      <cdr:y>0.55825</cdr:y>
    </cdr:to>
    <cdr:sp macro="" textlink="">
      <cdr:nvSpPr>
        <cdr:cNvPr id="42" name="TextBox 41">
          <a:extLst xmlns:a="http://schemas.openxmlformats.org/drawingml/2006/main">
            <a:ext uri="{FF2B5EF4-FFF2-40B4-BE49-F238E27FC236}">
              <a16:creationId xmlns:a16="http://schemas.microsoft.com/office/drawing/2014/main" id="{0D1F7156-119E-4F2E-8767-435D09258CDC}"/>
            </a:ext>
          </a:extLst>
        </cdr:cNvPr>
        <cdr:cNvSpPr txBox="1"/>
      </cdr:nvSpPr>
      <cdr:spPr>
        <a:xfrm xmlns:a="http://schemas.openxmlformats.org/drawingml/2006/main">
          <a:off x="1601981" y="1355716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e</a:t>
          </a:r>
        </a:p>
      </cdr:txBody>
    </cdr:sp>
  </cdr:relSizeAnchor>
  <cdr:relSizeAnchor xmlns:cdr="http://schemas.openxmlformats.org/drawingml/2006/chartDrawing">
    <cdr:from>
      <cdr:x>0.5242</cdr:x>
      <cdr:y>0.49297</cdr:y>
    </cdr:from>
    <cdr:to>
      <cdr:x>0.574</cdr:x>
      <cdr:y>0.58664</cdr:y>
    </cdr:to>
    <cdr:sp macro="" textlink="">
      <cdr:nvSpPr>
        <cdr:cNvPr id="43" name="TextBox 42">
          <a:extLst xmlns:a="http://schemas.openxmlformats.org/drawingml/2006/main">
            <a:ext uri="{FF2B5EF4-FFF2-40B4-BE49-F238E27FC236}">
              <a16:creationId xmlns:a16="http://schemas.microsoft.com/office/drawing/2014/main" id="{7FB52D49-19EA-4835-AAB4-3F9EA4026E3F}"/>
            </a:ext>
          </a:extLst>
        </cdr:cNvPr>
        <cdr:cNvSpPr txBox="1"/>
      </cdr:nvSpPr>
      <cdr:spPr>
        <a:xfrm xmlns:a="http://schemas.openxmlformats.org/drawingml/2006/main">
          <a:off x="2877502" y="1438542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e</a:t>
          </a:r>
        </a:p>
      </cdr:txBody>
    </cdr:sp>
  </cdr:relSizeAnchor>
  <cdr:relSizeAnchor xmlns:cdr="http://schemas.openxmlformats.org/drawingml/2006/chartDrawing">
    <cdr:from>
      <cdr:x>0.70032</cdr:x>
      <cdr:y>0.85472</cdr:y>
    </cdr:from>
    <cdr:to>
      <cdr:x>0.82251</cdr:x>
      <cdr:y>0.93597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CDE58A8A-0FD6-444C-9974-079D7CB7E538}"/>
            </a:ext>
          </a:extLst>
        </cdr:cNvPr>
        <cdr:cNvSpPr txBox="1"/>
      </cdr:nvSpPr>
      <cdr:spPr>
        <a:xfrm xmlns:a="http://schemas.openxmlformats.org/drawingml/2006/main">
          <a:off x="3844235" y="2494170"/>
          <a:ext cx="670737" cy="237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sobir1-12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0.50795</cdr:x>
      <cdr:y>0.83281</cdr:y>
    </cdr:from>
    <cdr:to>
      <cdr:x>0.63013</cdr:x>
      <cdr:y>0.91406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2951614" y="2368592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6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23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24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25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0.30609</cdr:x>
      <cdr:y>0.84211</cdr:y>
    </cdr:from>
    <cdr:to>
      <cdr:x>0.42827</cdr:x>
      <cdr:y>0.92336</cdr:y>
    </cdr:to>
    <cdr:sp macro="" textlink="">
      <cdr:nvSpPr>
        <cdr:cNvPr id="26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1778628" y="2395050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3.5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29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30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543215</xdr:colOff>
      <xdr:row>30</xdr:row>
      <xdr:rowOff>160001</xdr:rowOff>
    </xdr:from>
    <xdr:to>
      <xdr:col>19</xdr:col>
      <xdr:colOff>118725</xdr:colOff>
      <xdr:row>45</xdr:row>
      <xdr:rowOff>137776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122BB08-A4AC-4342-8212-A3A39CF58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16</xdr:col>
      <xdr:colOff>238125</xdr:colOff>
      <xdr:row>62</xdr:row>
      <xdr:rowOff>154163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50974E-62C5-4735-B867-937C395CA2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0.1454</cdr:x>
      <cdr:y>0.82971</cdr:y>
    </cdr:from>
    <cdr:to>
      <cdr:x>0.26758</cdr:x>
      <cdr:y>0.91096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16070" y="2222706"/>
          <a:ext cx="685766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0.50649</cdr:x>
      <cdr:y>0.84843</cdr:y>
    </cdr:from>
    <cdr:to>
      <cdr:x>0.62868</cdr:x>
      <cdr:y>0.92968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842779" y="2272855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0.36029</cdr:x>
      <cdr:y>0.85242</cdr:y>
    </cdr:from>
    <cdr:to>
      <cdr:x>0.48248</cdr:x>
      <cdr:y>0.93367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D7639354-74F0-41F8-B129-CF1F1A0E22B6}"/>
            </a:ext>
          </a:extLst>
        </cdr:cNvPr>
        <cdr:cNvSpPr txBox="1"/>
      </cdr:nvSpPr>
      <cdr:spPr>
        <a:xfrm xmlns:a="http://schemas.openxmlformats.org/drawingml/2006/main">
          <a:off x="1977753" y="2487439"/>
          <a:ext cx="670737" cy="237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</cdr:txBody>
    </cdr:sp>
  </cdr:relSizeAnchor>
  <cdr:relSizeAnchor xmlns:cdr="http://schemas.openxmlformats.org/drawingml/2006/chartDrawing">
    <cdr:from>
      <cdr:x>0.66743</cdr:x>
      <cdr:y>0.84276</cdr:y>
    </cdr:from>
    <cdr:to>
      <cdr:x>0.78962</cdr:x>
      <cdr:y>0.92401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08E6E419-E53F-455E-BDCB-4DB6FDA0636E}"/>
            </a:ext>
          </a:extLst>
        </cdr:cNvPr>
        <cdr:cNvSpPr txBox="1"/>
      </cdr:nvSpPr>
      <cdr:spPr>
        <a:xfrm xmlns:a="http://schemas.openxmlformats.org/drawingml/2006/main">
          <a:off x="3746105" y="2257666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0.60568</cdr:x>
      <cdr:y>0.03316</cdr:y>
    </cdr:from>
    <cdr:to>
      <cdr:x>0.65547</cdr:x>
      <cdr:y>0.12682</cdr:y>
    </cdr:to>
    <cdr:sp macro="" textlink="">
      <cdr:nvSpPr>
        <cdr:cNvPr id="36" name="TextBox 35">
          <a:extLst xmlns:a="http://schemas.openxmlformats.org/drawingml/2006/main">
            <a:ext uri="{FF2B5EF4-FFF2-40B4-BE49-F238E27FC236}">
              <a16:creationId xmlns:a16="http://schemas.microsoft.com/office/drawing/2014/main" id="{2D90A80A-2DCC-4FE5-87AE-2798CEAFEA26}"/>
            </a:ext>
          </a:extLst>
        </cdr:cNvPr>
        <cdr:cNvSpPr txBox="1"/>
      </cdr:nvSpPr>
      <cdr:spPr>
        <a:xfrm xmlns:a="http://schemas.openxmlformats.org/drawingml/2006/main">
          <a:off x="3324764" y="96760"/>
          <a:ext cx="273326" cy="2733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100"/>
            <a:t>a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0.50795</cdr:x>
      <cdr:y>0.83281</cdr:y>
    </cdr:from>
    <cdr:to>
      <cdr:x>0.63013</cdr:x>
      <cdr:y>0.91406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2951614" y="2368592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6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23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24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25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0.30609</cdr:x>
      <cdr:y>0.84211</cdr:y>
    </cdr:from>
    <cdr:to>
      <cdr:x>0.42827</cdr:x>
      <cdr:y>0.92336</cdr:y>
    </cdr:to>
    <cdr:sp macro="" textlink="">
      <cdr:nvSpPr>
        <cdr:cNvPr id="26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1778628" y="2395050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3.5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29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30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543215</xdr:colOff>
      <xdr:row>30</xdr:row>
      <xdr:rowOff>160001</xdr:rowOff>
    </xdr:from>
    <xdr:to>
      <xdr:col>19</xdr:col>
      <xdr:colOff>118725</xdr:colOff>
      <xdr:row>45</xdr:row>
      <xdr:rowOff>137776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CE578-1E40-4106-89AC-AFC62E455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16</xdr:col>
      <xdr:colOff>238125</xdr:colOff>
      <xdr:row>62</xdr:row>
      <xdr:rowOff>154163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CF0793-7292-49ED-8C8E-D64D1C6A8E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0.1454</cdr:x>
      <cdr:y>0.82971</cdr:y>
    </cdr:from>
    <cdr:to>
      <cdr:x>0.26758</cdr:x>
      <cdr:y>0.91096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816070" y="2222706"/>
          <a:ext cx="685766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Col-0</a:t>
          </a:r>
        </a:p>
      </cdr:txBody>
    </cdr:sp>
  </cdr:relSizeAnchor>
  <cdr:relSizeAnchor xmlns:cdr="http://schemas.openxmlformats.org/drawingml/2006/chartDrawing">
    <cdr:from>
      <cdr:x>0.50649</cdr:x>
      <cdr:y>0.84843</cdr:y>
    </cdr:from>
    <cdr:to>
      <cdr:x>0.62868</cdr:x>
      <cdr:y>0.92968</cdr:y>
    </cdr:to>
    <cdr:sp macro="" textlink="">
      <cdr:nvSpPr>
        <cdr:cNvPr id="13" name="TextBox 12">
          <a:extLst xmlns:a="http://schemas.openxmlformats.org/drawingml/2006/main">
            <a:ext uri="{FF2B5EF4-FFF2-40B4-BE49-F238E27FC236}">
              <a16:creationId xmlns:a16="http://schemas.microsoft.com/office/drawing/2014/main" id="{BB618CC6-D026-4069-A640-C560C3A382E4}"/>
            </a:ext>
          </a:extLst>
        </cdr:cNvPr>
        <cdr:cNvSpPr txBox="1"/>
      </cdr:nvSpPr>
      <cdr:spPr>
        <a:xfrm xmlns:a="http://schemas.openxmlformats.org/drawingml/2006/main">
          <a:off x="2842779" y="2272855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0.36029</cdr:x>
      <cdr:y>0.85242</cdr:y>
    </cdr:from>
    <cdr:to>
      <cdr:x>0.48248</cdr:x>
      <cdr:y>0.93367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D7639354-74F0-41F8-B129-CF1F1A0E22B6}"/>
            </a:ext>
          </a:extLst>
        </cdr:cNvPr>
        <cdr:cNvSpPr txBox="1"/>
      </cdr:nvSpPr>
      <cdr:spPr>
        <a:xfrm xmlns:a="http://schemas.openxmlformats.org/drawingml/2006/main">
          <a:off x="1977753" y="2487439"/>
          <a:ext cx="670737" cy="23709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</cdr:txBody>
    </cdr:sp>
  </cdr:relSizeAnchor>
  <cdr:relSizeAnchor xmlns:cdr="http://schemas.openxmlformats.org/drawingml/2006/chartDrawing">
    <cdr:from>
      <cdr:x>0.66743</cdr:x>
      <cdr:y>0.84276</cdr:y>
    </cdr:from>
    <cdr:to>
      <cdr:x>0.78962</cdr:x>
      <cdr:y>0.92401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08E6E419-E53F-455E-BDCB-4DB6FDA0636E}"/>
            </a:ext>
          </a:extLst>
        </cdr:cNvPr>
        <cdr:cNvSpPr txBox="1"/>
      </cdr:nvSpPr>
      <cdr:spPr>
        <a:xfrm xmlns:a="http://schemas.openxmlformats.org/drawingml/2006/main">
          <a:off x="3746105" y="2257666"/>
          <a:ext cx="685822" cy="21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bak1-5</a:t>
          </a:r>
        </a:p>
        <a:p xmlns:a="http://schemas.openxmlformats.org/drawingml/2006/main">
          <a:pPr algn="ctr"/>
          <a:r>
            <a:rPr lang="en-CA" sz="1000" b="0" i="1">
              <a:latin typeface="Arial" panose="020B0604020202020204" pitchFamily="34" charset="0"/>
              <a:cs typeface="Arial" panose="020B0604020202020204" pitchFamily="34" charset="0"/>
            </a:rPr>
            <a:t>bkk1-1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0.50795</cdr:x>
      <cdr:y>0.83281</cdr:y>
    </cdr:from>
    <cdr:to>
      <cdr:x>0.63013</cdr:x>
      <cdr:y>0.91406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2951614" y="2368592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6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0.05382</cdr:x>
      <cdr:y>0.049</cdr:y>
    </cdr:from>
    <cdr:to>
      <cdr:x>0.11709</cdr:x>
      <cdr:y>0.14588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CC151717-D9A6-4C3A-9B01-D846BEC84701}"/>
            </a:ext>
          </a:extLst>
        </cdr:cNvPr>
        <cdr:cNvSpPr txBox="1"/>
      </cdr:nvSpPr>
      <cdr:spPr>
        <a:xfrm xmlns:a="http://schemas.openxmlformats.org/drawingml/2006/main">
          <a:off x="234958" y="143596"/>
          <a:ext cx="276213" cy="283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0.04291</cdr:x>
      <cdr:y>0.00557</cdr:y>
    </cdr:from>
    <cdr:to>
      <cdr:x>0.12582</cdr:x>
      <cdr:y>0.13252</cdr:y>
    </cdr:to>
    <cdr:sp macro="" textlink="">
      <cdr:nvSpPr>
        <cdr:cNvPr id="19" name="TextBox 2">
          <a:extLst xmlns:a="http://schemas.openxmlformats.org/drawingml/2006/main">
            <a:ext uri="{FF2B5EF4-FFF2-40B4-BE49-F238E27FC236}">
              <a16:creationId xmlns:a16="http://schemas.microsoft.com/office/drawing/2014/main" id="{3EF4A831-0921-4BE3-8EFA-04FBDF2489FD}"/>
            </a:ext>
          </a:extLst>
        </cdr:cNvPr>
        <cdr:cNvSpPr txBox="1"/>
      </cdr:nvSpPr>
      <cdr:spPr>
        <a:xfrm xmlns:a="http://schemas.openxmlformats.org/drawingml/2006/main">
          <a:off x="187325" y="15875"/>
          <a:ext cx="361950" cy="361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7</a:t>
          </a:r>
        </a:p>
      </cdr:txBody>
    </cdr:sp>
  </cdr:relSizeAnchor>
  <cdr:relSizeAnchor xmlns:cdr="http://schemas.openxmlformats.org/drawingml/2006/chartDrawing">
    <cdr:from>
      <cdr:x>0.04291</cdr:x>
      <cdr:y>0.26994</cdr:y>
    </cdr:from>
    <cdr:to>
      <cdr:x>0.12582</cdr:x>
      <cdr:y>0.39689</cdr:y>
    </cdr:to>
    <cdr:sp macro="" textlink="">
      <cdr:nvSpPr>
        <cdr:cNvPr id="23" name="TextBox 5">
          <a:extLst xmlns:a="http://schemas.openxmlformats.org/drawingml/2006/main">
            <a:ext uri="{FF2B5EF4-FFF2-40B4-BE49-F238E27FC236}">
              <a16:creationId xmlns:a16="http://schemas.microsoft.com/office/drawing/2014/main" id="{292CB2E2-7226-4218-B280-F9D5600CA0CC}"/>
            </a:ext>
          </a:extLst>
        </cdr:cNvPr>
        <cdr:cNvSpPr txBox="1"/>
      </cdr:nvSpPr>
      <cdr:spPr>
        <a:xfrm xmlns:a="http://schemas.openxmlformats.org/drawingml/2006/main">
          <a:off x="187325" y="791066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6</a:t>
          </a:r>
        </a:p>
      </cdr:txBody>
    </cdr:sp>
  </cdr:relSizeAnchor>
  <cdr:relSizeAnchor xmlns:cdr="http://schemas.openxmlformats.org/drawingml/2006/chartDrawing">
    <cdr:from>
      <cdr:x>0.04291</cdr:x>
      <cdr:y>0.5279</cdr:y>
    </cdr:from>
    <cdr:to>
      <cdr:x>0.12582</cdr:x>
      <cdr:y>0.65485</cdr:y>
    </cdr:to>
    <cdr:sp macro="" textlink="">
      <cdr:nvSpPr>
        <cdr:cNvPr id="24" name="TextBox 6">
          <a:extLst xmlns:a="http://schemas.openxmlformats.org/drawingml/2006/main">
            <a:ext uri="{FF2B5EF4-FFF2-40B4-BE49-F238E27FC236}">
              <a16:creationId xmlns:a16="http://schemas.microsoft.com/office/drawing/2014/main" id="{9F692085-DFB1-4BFA-A8B4-6EE160D9DF77}"/>
            </a:ext>
          </a:extLst>
        </cdr:cNvPr>
        <cdr:cNvSpPr txBox="1"/>
      </cdr:nvSpPr>
      <cdr:spPr>
        <a:xfrm xmlns:a="http://schemas.openxmlformats.org/drawingml/2006/main">
          <a:off x="187325" y="1547031"/>
          <a:ext cx="361950" cy="3720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5</a:t>
          </a:r>
        </a:p>
      </cdr:txBody>
    </cdr:sp>
  </cdr:relSizeAnchor>
  <cdr:relSizeAnchor xmlns:cdr="http://schemas.openxmlformats.org/drawingml/2006/chartDrawing">
    <cdr:from>
      <cdr:x>0.04291</cdr:x>
      <cdr:y>0.78523</cdr:y>
    </cdr:from>
    <cdr:to>
      <cdr:x>0.12582</cdr:x>
      <cdr:y>0.91218</cdr:y>
    </cdr:to>
    <cdr:sp macro="" textlink="">
      <cdr:nvSpPr>
        <cdr:cNvPr id="25" name="TextBox 7">
          <a:extLst xmlns:a="http://schemas.openxmlformats.org/drawingml/2006/main">
            <a:ext uri="{FF2B5EF4-FFF2-40B4-BE49-F238E27FC236}">
              <a16:creationId xmlns:a16="http://schemas.microsoft.com/office/drawing/2014/main" id="{9C483400-1735-44E8-B77F-62D81EF4B28F}"/>
            </a:ext>
          </a:extLst>
        </cdr:cNvPr>
        <cdr:cNvSpPr txBox="1"/>
      </cdr:nvSpPr>
      <cdr:spPr>
        <a:xfrm xmlns:a="http://schemas.openxmlformats.org/drawingml/2006/main">
          <a:off x="187325" y="2301140"/>
          <a:ext cx="361950" cy="3720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CA" sz="1000" b="1">
              <a:latin typeface="Arial" panose="020B0604020202020204" pitchFamily="34" charset="0"/>
              <a:cs typeface="Arial" panose="020B0604020202020204" pitchFamily="34" charset="0"/>
            </a:rPr>
            <a:t>10</a:t>
          </a:r>
          <a:r>
            <a:rPr lang="en-CA" sz="1000" b="1" baseline="30000">
              <a:latin typeface="Arial" panose="020B0604020202020204" pitchFamily="34" charset="0"/>
              <a:cs typeface="Arial" panose="020B0604020202020204" pitchFamily="34" charset="0"/>
            </a:rPr>
            <a:t>4</a:t>
          </a:r>
        </a:p>
      </cdr:txBody>
    </cdr:sp>
  </cdr:relSizeAnchor>
  <cdr:relSizeAnchor xmlns:cdr="http://schemas.openxmlformats.org/drawingml/2006/chartDrawing">
    <cdr:from>
      <cdr:x>0.30609</cdr:x>
      <cdr:y>0.84211</cdr:y>
    </cdr:from>
    <cdr:to>
      <cdr:x>0.42827</cdr:x>
      <cdr:y>0.92336</cdr:y>
    </cdr:to>
    <cdr:sp macro="" textlink="">
      <cdr:nvSpPr>
        <cdr:cNvPr id="26" name="TextBox 8">
          <a:extLst xmlns:a="http://schemas.openxmlformats.org/drawingml/2006/main">
            <a:ext uri="{FF2B5EF4-FFF2-40B4-BE49-F238E27FC236}">
              <a16:creationId xmlns:a16="http://schemas.microsoft.com/office/drawing/2014/main" id="{42898719-66A6-4062-8CE9-FF77609A220A}"/>
            </a:ext>
          </a:extLst>
        </cdr:cNvPr>
        <cdr:cNvSpPr txBox="1"/>
      </cdr:nvSpPr>
      <cdr:spPr>
        <a:xfrm xmlns:a="http://schemas.openxmlformats.org/drawingml/2006/main">
          <a:off x="1778628" y="2395050"/>
          <a:ext cx="709971" cy="2310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CA" sz="1000">
              <a:latin typeface="Arial" panose="020B0604020202020204" pitchFamily="34" charset="0"/>
              <a:cs typeface="Arial" panose="020B0604020202020204" pitchFamily="34" charset="0"/>
            </a:rPr>
            <a:t>3.5 wpg</a:t>
          </a:r>
        </a:p>
      </cdr:txBody>
    </cdr:sp>
  </cdr:relSizeAnchor>
  <cdr:relSizeAnchor xmlns:cdr="http://schemas.openxmlformats.org/drawingml/2006/chartDrawing">
    <cdr:from>
      <cdr:x>0.18909</cdr:x>
      <cdr:y>0.10943</cdr:y>
    </cdr:from>
    <cdr:to>
      <cdr:x>0.39855</cdr:x>
      <cdr:y>0.42145</cdr:y>
    </cdr:to>
    <cdr:sp macro="" textlink="">
      <cdr:nvSpPr>
        <cdr:cNvPr id="29" name="TextBox 3">
          <a:extLst xmlns:a="http://schemas.openxmlformats.org/drawingml/2006/main">
            <a:ext uri="{FF2B5EF4-FFF2-40B4-BE49-F238E27FC236}">
              <a16:creationId xmlns:a16="http://schemas.microsoft.com/office/drawing/2014/main" id="{7BCE8CDB-0948-46C0-A464-846FD3A2B943}"/>
            </a:ext>
          </a:extLst>
        </cdr:cNvPr>
        <cdr:cNvSpPr txBox="1"/>
      </cdr:nvSpPr>
      <cdr:spPr>
        <a:xfrm xmlns:a="http://schemas.openxmlformats.org/drawingml/2006/main">
          <a:off x="825500" y="320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CA" sz="1100"/>
        </a:p>
      </cdr:txBody>
    </cdr:sp>
  </cdr:relSizeAnchor>
  <cdr:relSizeAnchor xmlns:cdr="http://schemas.openxmlformats.org/drawingml/2006/chartDrawing">
    <cdr:from>
      <cdr:x>0.15418</cdr:x>
      <cdr:y>0.06717</cdr:y>
    </cdr:from>
    <cdr:to>
      <cdr:x>0.21964</cdr:x>
      <cdr:y>0.16468</cdr:y>
    </cdr:to>
    <cdr:sp macro="" textlink="">
      <cdr:nvSpPr>
        <cdr:cNvPr id="30" name="TextBox 4">
          <a:extLst xmlns:a="http://schemas.openxmlformats.org/drawingml/2006/main">
            <a:ext uri="{FF2B5EF4-FFF2-40B4-BE49-F238E27FC236}">
              <a16:creationId xmlns:a16="http://schemas.microsoft.com/office/drawing/2014/main" id="{FC961340-308F-48E6-941E-AED584BFC8E5}"/>
            </a:ext>
          </a:extLst>
        </cdr:cNvPr>
        <cdr:cNvSpPr txBox="1"/>
      </cdr:nvSpPr>
      <cdr:spPr>
        <a:xfrm xmlns:a="http://schemas.openxmlformats.org/drawingml/2006/main">
          <a:off x="673100" y="196851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0.55491</cdr:x>
      <cdr:y>0.32286</cdr:y>
    </cdr:from>
    <cdr:to>
      <cdr:x>0.62036</cdr:x>
      <cdr:y>0.42037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422525" y="9461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0.33236</cdr:x>
      <cdr:y>0.08884</cdr:y>
    </cdr:from>
    <cdr:to>
      <cdr:x>0.39782</cdr:x>
      <cdr:y>0.18635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157AA451-2169-4C84-943E-4BA91E9DAEB3}"/>
            </a:ext>
          </a:extLst>
        </cdr:cNvPr>
        <cdr:cNvSpPr txBox="1"/>
      </cdr:nvSpPr>
      <cdr:spPr>
        <a:xfrm xmlns:a="http://schemas.openxmlformats.org/drawingml/2006/main">
          <a:off x="1450975" y="2603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0.38036</cdr:x>
      <cdr:y>0.11484</cdr:y>
    </cdr:from>
    <cdr:to>
      <cdr:x>0.44582</cdr:x>
      <cdr:y>0.21235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1660525" y="33655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0.50036</cdr:x>
      <cdr:y>0.13434</cdr:y>
    </cdr:from>
    <cdr:to>
      <cdr:x>0.56582</cdr:x>
      <cdr:y>0.23185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184400" y="3937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0.67491</cdr:x>
      <cdr:y>0.11159</cdr:y>
    </cdr:from>
    <cdr:to>
      <cdr:x>0.74036</cdr:x>
      <cdr:y>0.2091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2946400" y="327025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  <cdr:relSizeAnchor xmlns:cdr="http://schemas.openxmlformats.org/drawingml/2006/chartDrawing">
    <cdr:from>
      <cdr:x>0.208</cdr:x>
      <cdr:y>0.40737</cdr:y>
    </cdr:from>
    <cdr:to>
      <cdr:x>0.27345</cdr:x>
      <cdr:y>0.50488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213C709-53E1-4067-B2CD-E87FF43E2976}"/>
            </a:ext>
          </a:extLst>
        </cdr:cNvPr>
        <cdr:cNvSpPr txBox="1"/>
      </cdr:nvSpPr>
      <cdr:spPr>
        <a:xfrm xmlns:a="http://schemas.openxmlformats.org/drawingml/2006/main">
          <a:off x="908050" y="1193800"/>
          <a:ext cx="285750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endParaRPr lang="en-CA" sz="14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ADCA-FD3D-4050-B8DF-3E06B8B7DCD5}">
  <dimension ref="A1:Y182"/>
  <sheetViews>
    <sheetView topLeftCell="L34" zoomScale="85" zoomScaleNormal="85" workbookViewId="0">
      <selection activeCell="N4" sqref="N4:U6"/>
    </sheetView>
  </sheetViews>
  <sheetFormatPr defaultColWidth="9.19921875" defaultRowHeight="14" x14ac:dyDescent="0.3"/>
  <cols>
    <col min="1" max="1" width="10.69921875" style="19" customWidth="1"/>
    <col min="2" max="2" width="10.69921875" style="20" customWidth="1"/>
    <col min="3" max="3" width="12.69921875" style="21" bestFit="1" customWidth="1"/>
    <col min="4" max="4" width="20.296875" style="21" customWidth="1"/>
    <col min="5" max="5" width="21" style="21" customWidth="1"/>
    <col min="6" max="6" width="11.5" style="5" customWidth="1"/>
    <col min="7" max="7" width="11.5" style="25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6" customWidth="1"/>
    <col min="14" max="15" width="12.69921875" style="17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6" customWidth="1"/>
    <col min="23" max="16384" width="9.19921875" style="6"/>
  </cols>
  <sheetData>
    <row r="1" spans="1:25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3" t="s">
        <v>10</v>
      </c>
      <c r="H1" s="22" t="s">
        <v>31</v>
      </c>
      <c r="I1" s="22" t="s">
        <v>32</v>
      </c>
      <c r="J1" s="22" t="s">
        <v>9</v>
      </c>
      <c r="K1" s="22" t="s">
        <v>33</v>
      </c>
      <c r="L1" s="22" t="s">
        <v>34</v>
      </c>
      <c r="M1" s="58"/>
      <c r="N1" s="86" t="s">
        <v>70</v>
      </c>
      <c r="O1" s="86"/>
      <c r="P1" s="86" t="s">
        <v>72</v>
      </c>
      <c r="Q1" s="86"/>
      <c r="R1" s="86" t="s">
        <v>73</v>
      </c>
      <c r="S1" s="86"/>
      <c r="T1" s="87" t="s">
        <v>74</v>
      </c>
      <c r="U1" s="87"/>
      <c r="V1" s="87" t="s">
        <v>71</v>
      </c>
      <c r="W1" s="87"/>
      <c r="X1" s="87" t="s">
        <v>75</v>
      </c>
      <c r="Y1" s="87"/>
    </row>
    <row r="2" spans="1:25" ht="15.75" customHeight="1" thickTop="1" x14ac:dyDescent="0.3">
      <c r="A2" s="77" t="s">
        <v>54</v>
      </c>
      <c r="B2" s="81">
        <v>1</v>
      </c>
      <c r="C2" s="26" t="s">
        <v>4</v>
      </c>
      <c r="D2" s="53">
        <v>351</v>
      </c>
      <c r="E2" s="53"/>
      <c r="F2" s="27">
        <f>(AVERAGEIF(D2:E2,"&gt;0",D2:E2))*10^3*100/8</f>
        <v>4387500</v>
      </c>
      <c r="G2" s="6">
        <v>1</v>
      </c>
      <c r="H2" s="5" t="s">
        <v>11</v>
      </c>
      <c r="J2" s="34"/>
      <c r="K2" s="37">
        <f t="array" ref="K2">IFERROR(INDEX($I$2:$I$81,SMALL(IF(ISNUMBER($I$2:$I$81),ROW($A$1:$A$80),""),ROW(A1))),"")</f>
        <v>4483333.333333333</v>
      </c>
      <c r="L2" s="37">
        <f t="array" ref="L2">IFERROR(INDEX($J$2:$J$81,SMALL(IF(ISNUMBER($J$2:$J$81),ROW($A$1:$A$80),""),ROW(A1))),"")</f>
        <v>972298.60811035417</v>
      </c>
      <c r="M2" s="59" t="s">
        <v>51</v>
      </c>
      <c r="N2" s="55">
        <v>1</v>
      </c>
      <c r="O2" s="55">
        <v>2</v>
      </c>
      <c r="P2" s="6">
        <v>5</v>
      </c>
      <c r="Q2" s="6">
        <v>6</v>
      </c>
      <c r="R2" s="56">
        <v>7</v>
      </c>
      <c r="S2" s="57">
        <v>8</v>
      </c>
      <c r="T2">
        <v>9</v>
      </c>
      <c r="U2">
        <v>10</v>
      </c>
      <c r="V2">
        <v>3</v>
      </c>
      <c r="W2">
        <v>4</v>
      </c>
      <c r="X2">
        <v>11</v>
      </c>
      <c r="Y2">
        <v>12</v>
      </c>
    </row>
    <row r="3" spans="1:25" x14ac:dyDescent="0.3">
      <c r="A3" s="78"/>
      <c r="B3" s="82"/>
      <c r="C3" s="10" t="s">
        <v>2</v>
      </c>
      <c r="D3" s="10">
        <v>22</v>
      </c>
      <c r="E3" s="10">
        <v>18</v>
      </c>
      <c r="F3" s="28">
        <f>(AVERAGEIF(D3:E3,"&gt;0",D3:E3))*10^4*100/8</f>
        <v>2500000</v>
      </c>
      <c r="G3" s="6"/>
      <c r="H3" s="5">
        <f t="array" ref="H3">IFERROR(INDEX($F$2:$F$181,SMALL(IF($G$2:$G$181=1,ROW($A$1:$A$163),""),ROW(A1))),"")</f>
        <v>4387500</v>
      </c>
      <c r="J3" s="35"/>
      <c r="K3" s="37">
        <f t="array" ref="K3">IFERROR(INDEX($I$2:$I$81,SMALL(IF(ISNUMBER($I$2:$I$81),ROW($A$1:$A$80),""),ROW(A2))),"")</f>
        <v>327083.33333333331</v>
      </c>
      <c r="L3" s="37">
        <f t="array" ref="L3">IFERROR(INDEX($J$2:$J$81,SMALL(IF(ISNUMBER($J$2:$J$81),ROW($A$1:$A$80),""),ROW(A2))),"")</f>
        <v>170744.38741385716</v>
      </c>
      <c r="M3" s="59" t="s">
        <v>52</v>
      </c>
      <c r="N3" s="55">
        <v>1</v>
      </c>
      <c r="O3" s="55">
        <v>2</v>
      </c>
      <c r="P3" s="6">
        <v>5</v>
      </c>
      <c r="Q3" s="6">
        <v>6</v>
      </c>
      <c r="R3" s="56">
        <v>7</v>
      </c>
      <c r="S3" s="57">
        <v>8</v>
      </c>
      <c r="T3">
        <v>9</v>
      </c>
      <c r="U3">
        <v>10</v>
      </c>
      <c r="V3">
        <v>3</v>
      </c>
      <c r="W3">
        <v>4</v>
      </c>
      <c r="X3">
        <v>11</v>
      </c>
      <c r="Y3">
        <v>12</v>
      </c>
    </row>
    <row r="4" spans="1:25" ht="14.55" thickBot="1" x14ac:dyDescent="0.35">
      <c r="A4" s="78"/>
      <c r="B4" s="83"/>
      <c r="C4" s="11" t="s">
        <v>3</v>
      </c>
      <c r="D4" s="11">
        <v>3</v>
      </c>
      <c r="E4" s="11">
        <v>3</v>
      </c>
      <c r="F4" s="29">
        <f>(AVERAGEIF(D4:E4,"&gt;0",D4:E4))*10^5*100/8</f>
        <v>3750000</v>
      </c>
      <c r="G4" s="6"/>
      <c r="H4" s="5">
        <f t="array" ref="H4">IFERROR(INDEX($F$2:$F$181,SMALL(IF($G$2:$G$181=1,ROW($A$1:$A$163),""),ROW(A2))),"")</f>
        <v>3562500</v>
      </c>
      <c r="J4" s="35"/>
      <c r="K4" s="37">
        <f t="array" ref="K4">IFERROR(INDEX($I$2:$I$81,SMALL(IF(ISNUMBER($I$2:$I$81),ROW($A$1:$A$80),""),ROW(A3))),"")</f>
        <v>3737500</v>
      </c>
      <c r="L4" s="37">
        <f t="array" ref="L4">IFERROR(INDEX($J$2:$J$81,SMALL(IF(ISNUMBER($J$2:$J$81),ROW($A$1:$A$80),""),ROW(A3))),"")</f>
        <v>407546.00967252767</v>
      </c>
      <c r="M4" s="60"/>
      <c r="N4" s="8">
        <f t="array" ref="N4">IFERROR(INDEX($F$2:$F$181,SMALL(_xlfn.IFS($G$2:$G$181&lt;$N$2,"",$G$2:$G$181&gt;$N$3,"",ISNUMBER($G$2:$G$181),ROW($A$1:$A$180)),ROW(A1))),"")</f>
        <v>4387500</v>
      </c>
      <c r="O4" s="8">
        <f t="array" ref="O4">IFERROR(INDEX($F$2:$F$181,SMALL(_xlfn.IFS($G$2:$G$181&lt;$O$2,"",$G$2:$G$181&gt;$O$3,"",ISNUMBER($G$2:$G$181),ROW($A$1:$A$180)),ROW(A1))),"")</f>
        <v>137500</v>
      </c>
      <c r="P4" s="8">
        <f t="array" ref="P4">IFERROR(INDEX($F$2:$F$181,SMALL(_xlfn.IFS($G$2:$G$181&lt;$P$2,"",$G$2:$G$181&gt;$P$3,"",ISNUMBER($G$2:$G$181),ROW($A$1:$A$180)),ROW(A1))),"")</f>
        <v>3562500</v>
      </c>
      <c r="Q4" s="8">
        <f t="array" ref="Q4">IFERROR(INDEX($F$2:$F$181,SMALL(_xlfn.IFS($G$2:$G$181&lt;$Q$2,"",$G$2:$G$181&gt;$Q$3,"",ISNUMBER($G$2:$G$181),ROW($A$1:$A$180)),ROW(A1))),"")</f>
        <v>900000</v>
      </c>
      <c r="R4" s="8">
        <f t="array" ref="R4">IFERROR(INDEX($F$2:$F$181,SMALL(_xlfn.IFS($G$2:$G$181&lt;$R$2,"",$G$2:$G$181&gt;$R$3,"",ISNUMBER($G$2:$G$181),ROW($A$1:$A$180)),ROW(A1))),"")</f>
        <v>2487500</v>
      </c>
      <c r="S4" s="9">
        <f t="array" ref="S4">IFERROR(INDEX($F$2:$F$181,SMALL(_xlfn.IFS($G$2:$G$181&lt;$S$2,"",$G$2:$G$181&gt;$S$3,"",ISNUMBER($G$2:$G$181),ROW($A$1:$A$180)),ROW(A1))),"")</f>
        <v>750000</v>
      </c>
      <c r="T4" s="5">
        <f t="array" ref="T4">IFERROR(INDEX($F$2:$F$181,SMALL(_xlfn.IFS($G$2:$G$181&lt;$T$2,"",$G$2:$G$181&gt;$T$3,"",ISNUMBER($G$2:$G$181),ROW($A$1:$A$180)),ROW(A1))),"")</f>
        <v>6571428.5714285718</v>
      </c>
      <c r="U4" s="5" cm="1">
        <f t="array" ref="U4">IFERROR(INDEX($F$2:$F$181,SMALL(_xlfn.IFS($G$2:$G$181&lt;U$2,"",$G$2:$G$181&gt;U$3,"",ISNUMBER($G$2:$G$181),ROW($A$1:$A$180)),ROW(A1))),"")</f>
        <v>537500</v>
      </c>
      <c r="V4" s="5" cm="1">
        <f t="array" ref="V4">IFERROR(INDEX($F$2:$F$181,SMALL(_xlfn.IFS($G$2:$G$181&lt;V$2,"",$G$2:$G$181&gt;V$3,"",ISNUMBER($G$2:$G$181),ROW($A$1:$A$180)),ROW(B1))),"")</f>
        <v>3775000</v>
      </c>
      <c r="W4" s="5" cm="1">
        <f t="array" ref="W4">IFERROR(INDEX($F$2:$F$181,SMALL(_xlfn.IFS($G$2:$G$181&lt;W$2,"",$G$2:$G$181&gt;W$3,"",ISNUMBER($G$2:$G$181),ROW($A$1:$A$180)),ROW(C1))),"")</f>
        <v>2025000</v>
      </c>
      <c r="X4" s="5" cm="1">
        <f t="array" ref="X4">IFERROR(INDEX($F$2:$F$181,SMALL(_xlfn.IFS($G$2:$G$181&lt;X$2,"",$G$2:$G$181&gt;X$3,"",ISNUMBER($G$2:$G$181),ROW($A$1:$A$180)),ROW(D1))),"")</f>
        <v>3862500</v>
      </c>
      <c r="Y4" s="5" cm="1">
        <f t="array" ref="Y4">IFERROR(INDEX($F$2:$F$181,SMALL(_xlfn.IFS($G$2:$G$181&lt;Y$2,"",$G$2:$G$181&gt;Y$3,"",ISNUMBER($G$2:$G$181),ROW($A$1:$A$180)),ROW(E1))),"")</f>
        <v>145625</v>
      </c>
    </row>
    <row r="5" spans="1:25" x14ac:dyDescent="0.3">
      <c r="A5" s="78"/>
      <c r="B5" s="84">
        <v>2</v>
      </c>
      <c r="C5" s="7" t="s">
        <v>4</v>
      </c>
      <c r="D5" s="54" t="s">
        <v>57</v>
      </c>
      <c r="E5" s="54"/>
      <c r="F5" s="30" t="e">
        <f t="shared" ref="F5" si="0">(AVERAGEIF(D5:E5,"&gt;0",D5:E5))*10^3*100/8</f>
        <v>#DIV/0!</v>
      </c>
      <c r="G5" s="6"/>
      <c r="H5" s="5">
        <f t="array" ref="H5">IFERROR(INDEX($F$2:$F$181,SMALL(IF($G$2:$G$181=1,ROW($A$1:$A$163),""),ROW(A3))),"")</f>
        <v>5500000</v>
      </c>
      <c r="I5" s="5">
        <f>AVERAGE(H3:H5)</f>
        <v>4483333.333333333</v>
      </c>
      <c r="J5" s="35">
        <f>STDEV(H3:H5)</f>
        <v>972298.60811035417</v>
      </c>
      <c r="K5" s="37">
        <f t="array" ref="K5">IFERROR(INDEX($I$2:$I$81,SMALL(IF(ISNUMBER($I$2:$I$81),ROW($A$1:$A$80),""),ROW(A4))),"")</f>
        <v>1650000</v>
      </c>
      <c r="L5" s="37">
        <f t="array" ref="L5">IFERROR(INDEX($J$2:$J$81,SMALL(IF(ISNUMBER($J$2:$J$81),ROW($A$1:$A$80),""),ROW(A4))),"")</f>
        <v>627992.83435402345</v>
      </c>
      <c r="M5" s="60"/>
      <c r="N5" s="8">
        <f t="array" ref="N5">IFERROR(INDEX($F$2:$F$181,SMALL(_xlfn.IFS($G$2:$G$181&lt;$N$2,"",$G$2:$G$181&gt;$N$3,"",ISNUMBER($G$2:$G$181),ROW($A$1:$A$180)),ROW(A2))),"")</f>
        <v>3562500</v>
      </c>
      <c r="O5" s="8">
        <f t="array" ref="O5">IFERROR(INDEX($F$2:$F$181,SMALL(_xlfn.IFS($G$2:$G$181&lt;$O$2,"",$G$2:$G$181&gt;$O$3,"",ISNUMBER($G$2:$G$181),ROW($A$1:$A$180)),ROW(A2))),"")</f>
        <v>468750</v>
      </c>
      <c r="P5" s="8">
        <f t="array" ref="P5">IFERROR(INDEX($F$2:$F$181,SMALL(_xlfn.IFS($G$2:$G$181&lt;$P$2,"",$G$2:$G$181&gt;$P$3,"",ISNUMBER($G$2:$G$181),ROW($A$1:$A$180)),ROW(A2))),"")</f>
        <v>5875000</v>
      </c>
      <c r="Q5" s="8">
        <f t="array" ref="Q5">IFERROR(INDEX($F$2:$F$181,SMALL(_xlfn.IFS($G$2:$G$181&lt;$Q$2,"",$G$2:$G$181&gt;$Q$3,"",ISNUMBER($G$2:$G$181),ROW($A$1:$A$180)),ROW(A2))),"")</f>
        <v>937500</v>
      </c>
      <c r="R5" s="8">
        <f t="array" ref="R5">IFERROR(INDEX($F$2:$F$181,SMALL(_xlfn.IFS($G$2:$G$181&lt;$R$2,"",$G$2:$G$181&gt;$R$3,"",ISNUMBER($G$2:$G$181),ROW($A$1:$A$180)),ROW(A2))),"")</f>
        <v>3562500</v>
      </c>
      <c r="S5" s="9">
        <f t="array" ref="S5">IFERROR(INDEX($F$2:$F$181,SMALL(_xlfn.IFS($G$2:$G$181&lt;$S$2,"",$G$2:$G$181&gt;$S$3,"",ISNUMBER($G$2:$G$181),ROW($A$1:$A$180)),ROW(A2))),"")</f>
        <v>308750</v>
      </c>
      <c r="T5" s="5">
        <f t="array" ref="T5">IFERROR(INDEX($F$2:$F$181,SMALL(_xlfn.IFS($G$2:$G$181&lt;$T$2,"",$G$2:$G$181&gt;$T$3,"",ISNUMBER($G$2:$G$181),ROW($A$1:$A$180)),ROW(A2))),"")</f>
        <v>3342857.1428571427</v>
      </c>
      <c r="U5" s="5">
        <f t="array" ref="U5">IFERROR(INDEX($F$2:$F$181,SMALL(_xlfn.IFS($G$2:$G$181&lt;$U$2,"",$G$2:$G$181&gt;$U$3,"",ISNUMBER($G$2:$G$181),ROW($A$1:$A$180)),ROW(A2))),"")</f>
        <v>500000</v>
      </c>
      <c r="V5" s="5" cm="1">
        <f t="array" ref="V5">IFERROR(INDEX($F$2:$F$181,SMALL(_xlfn.IFS($G$2:$G$181&lt;V$2,"",$G$2:$G$181&gt;V$3,"",ISNUMBER($G$2:$G$181),ROW($A$1:$A$180)),ROW(B2))),"")</f>
        <v>3312500</v>
      </c>
      <c r="W5" s="5" cm="1">
        <f t="array" ref="W5">IFERROR(INDEX($F$2:$F$181,SMALL(_xlfn.IFS($G$2:$G$181&lt;W$2,"",$G$2:$G$181&gt;W$3,"",ISNUMBER($G$2:$G$181),ROW($A$1:$A$180)),ROW(C2))),"")</f>
        <v>925000</v>
      </c>
      <c r="X5" s="5" cm="1">
        <f t="array" ref="X5">IFERROR(INDEX($F$2:$F$181,SMALL(_xlfn.IFS($G$2:$G$181&lt;X$2,"",$G$2:$G$181&gt;X$3,"",ISNUMBER($G$2:$G$181),ROW($A$1:$A$180)),ROW(D2))),"")</f>
        <v>4187500</v>
      </c>
      <c r="Y5" s="5" cm="1">
        <f t="array" ref="Y5">IFERROR(INDEX($F$2:$F$181,SMALL(_xlfn.IFS($G$2:$G$181&lt;Y$2,"",$G$2:$G$181&gt;Y$3,"",ISNUMBER($G$2:$G$181),ROW($A$1:$A$180)),ROW(E2))),"")</f>
        <v>223125</v>
      </c>
    </row>
    <row r="6" spans="1:25" x14ac:dyDescent="0.3">
      <c r="A6" s="78"/>
      <c r="B6" s="82"/>
      <c r="C6" s="10" t="s">
        <v>2</v>
      </c>
      <c r="D6" s="10">
        <v>30</v>
      </c>
      <c r="E6" s="10">
        <v>27</v>
      </c>
      <c r="F6" s="28">
        <f t="shared" ref="F6" si="1">(AVERAGEIF(D6:E6,"&gt;0",D6:E6))*10^4*100/8</f>
        <v>3562500</v>
      </c>
      <c r="G6" s="6">
        <v>1</v>
      </c>
      <c r="H6" s="5" t="s">
        <v>12</v>
      </c>
      <c r="J6" s="35"/>
      <c r="K6" s="37">
        <f t="array" ref="K6">IFERROR(INDEX($I$2:$I$81,SMALL(IF(ISNUMBER($I$2:$I$81),ROW($A$1:$A$80),""),ROW(A5))),"")</f>
        <v>5104166.666666667</v>
      </c>
      <c r="L6" s="37">
        <f t="array" ref="L6">IFERROR(INDEX($J$2:$J$81,SMALL(IF(ISNUMBER($J$2:$J$81),ROW($A$1:$A$80),""),ROW(A5))),"")</f>
        <v>1335122.4975010105</v>
      </c>
      <c r="M6" s="60"/>
      <c r="N6" s="8">
        <f t="array" ref="N6">IFERROR(INDEX($F$2:$F$181,SMALL(_xlfn.IFS($G$2:$G$181&lt;$N$2,"",$G$2:$G$181&gt;$N$3,"",ISNUMBER($G$2:$G$181),ROW($A$1:$A$180)),ROW(A3))),"")</f>
        <v>5500000</v>
      </c>
      <c r="O6" s="8">
        <f t="array" ref="O6">IFERROR(INDEX($F$2:$F$181,SMALL(_xlfn.IFS($G$2:$G$181&lt;$O$2,"",$G$2:$G$181&gt;$O$3,"",ISNUMBER($G$2:$G$181),ROW($A$1:$A$180)),ROW(A3))),"")</f>
        <v>375000</v>
      </c>
      <c r="P6" s="8">
        <f t="array" ref="P6">IFERROR(INDEX($F$2:$F$181,SMALL(_xlfn.IFS($G$2:$G$181&lt;$P$2,"",$G$2:$G$181&gt;$P$3,"",ISNUMBER($G$2:$G$181),ROW($A$1:$A$180)),ROW(A3))),"")</f>
        <v>5875000</v>
      </c>
      <c r="Q6" s="8">
        <f t="array" ref="Q6">IFERROR(INDEX($F$2:$F$181,SMALL(_xlfn.IFS($G$2:$G$181&lt;$Q$2,"",$G$2:$G$181&gt;$Q$3,"",ISNUMBER($G$2:$G$181),ROW($A$1:$A$180)),ROW(A3))),"")</f>
        <v>1212500</v>
      </c>
      <c r="R6" s="8">
        <f t="array" ref="R6">IFERROR(INDEX($F$2:$F$181,SMALL(_xlfn.IFS($G$2:$G$181&lt;$R$2,"",$G$2:$G$181&gt;$R$3,"",ISNUMBER($G$2:$G$181),ROW($A$1:$A$180)),ROW(A3))),"")</f>
        <v>4625000</v>
      </c>
      <c r="S6" s="9">
        <f t="array" ref="S6">IFERROR(INDEX($F$2:$F$181,SMALL(_xlfn.IFS($G$2:$G$181&lt;$S$2,"",$G$2:$G$181&gt;$S$3,"",ISNUMBER($G$2:$G$181),ROW($A$1:$A$180)),ROW(A3))),"")</f>
        <v>282500</v>
      </c>
      <c r="T6" s="5">
        <f t="array" ref="T6">IFERROR(INDEX($F$2:$F$181,SMALL(_xlfn.IFS($G$2:$G$181&lt;$T$2,"",$G$2:$G$181&gt;$T$3,"",ISNUMBER($G$2:$G$181),ROW($A$1:$A$180)),ROW(A3))),"")</f>
        <v>5571428.5714285718</v>
      </c>
      <c r="U6" s="5">
        <f t="array" ref="U6">IFERROR(INDEX($F$2:$F$181,SMALL(_xlfn.IFS($G$2:$G$181&lt;$U$2,"",$G$2:$G$181&gt;$U$3,"",ISNUMBER($G$2:$G$181),ROW($A$1:$A$180)),ROW(A3))),"")</f>
        <v>500000</v>
      </c>
      <c r="V6" s="5" cm="1">
        <f t="array" ref="V6">IFERROR(INDEX($F$2:$F$181,SMALL(_xlfn.IFS($G$2:$G$181&lt;V$2,"",$G$2:$G$181&gt;V$3,"",ISNUMBER($G$2:$G$181),ROW($A$1:$A$180)),ROW(B3))),"")</f>
        <v>4125000</v>
      </c>
      <c r="W6" s="5" cm="1">
        <f t="array" ref="W6">IFERROR(INDEX($F$2:$F$181,SMALL(_xlfn.IFS($G$2:$G$181&lt;W$2,"",$G$2:$G$181&gt;W$3,"",ISNUMBER($G$2:$G$181),ROW($A$1:$A$180)),ROW(C3))),"")</f>
        <v>2000000</v>
      </c>
      <c r="X6" s="5" cm="1">
        <f t="array" ref="X6">IFERROR(INDEX($F$2:$F$181,SMALL(_xlfn.IFS($G$2:$G$181&lt;X$2,"",$G$2:$G$181&gt;X$3,"",ISNUMBER($G$2:$G$181),ROW($A$1:$A$180)),ROW(D3))),"")</f>
        <v>3075000</v>
      </c>
      <c r="Y6" s="5" cm="1">
        <f t="array" ref="Y6">IFERROR(INDEX($F$2:$F$181,SMALL(_xlfn.IFS($G$2:$G$181&lt;Y$2,"",$G$2:$G$181&gt;Y$3,"",ISNUMBER($G$2:$G$181),ROW($A$1:$A$180)),ROW(E3))),"")</f>
        <v>1325000</v>
      </c>
    </row>
    <row r="7" spans="1:25" ht="14.55" thickBot="1" x14ac:dyDescent="0.35">
      <c r="A7" s="78"/>
      <c r="B7" s="83"/>
      <c r="C7" s="11" t="s">
        <v>3</v>
      </c>
      <c r="D7" s="11" t="s">
        <v>56</v>
      </c>
      <c r="E7" s="11"/>
      <c r="F7" s="29" t="e">
        <f t="shared" ref="F7" si="2">(AVERAGEIF(D7:E7,"&gt;0",D7:E7))*10^5*100/8</f>
        <v>#DIV/0!</v>
      </c>
      <c r="G7" s="6"/>
      <c r="H7" s="5">
        <f t="array" ref="H7">IFERROR(INDEX($F$2:$F$181,SMALL(IF($G$2:$G$181=2,ROW($A$1:$A$163),""),ROW(A1))),"")</f>
        <v>137500</v>
      </c>
      <c r="J7" s="35"/>
      <c r="K7" s="37">
        <f t="array" ref="K7">IFERROR(INDEX($I$2:$I$81,SMALL(IF(ISNUMBER($I$2:$I$81),ROW($A$1:$A$80),""),ROW(A6))),"")</f>
        <v>1016666.6666666666</v>
      </c>
      <c r="L7" s="37">
        <f t="array" ref="L7">IFERROR(INDEX($J$2:$J$81,SMALL(IF(ISNUMBER($J$2:$J$81),ROW($A$1:$A$80),""),ROW(A6))),"")</f>
        <v>170629.96024536036</v>
      </c>
      <c r="M7" s="60"/>
      <c r="N7" s="8" t="str">
        <f t="array" ref="N7">IFERROR(INDEX($F$2:$F$181,SMALL(_xlfn.IFS($G$2:$G$181&lt;$N$2,"",$G$2:$G$181&gt;$N$3,"",ISNUMBER($G$2:$G$181),ROW($A$1:$A$180)),ROW(A4))),"")</f>
        <v/>
      </c>
      <c r="O7" s="8" t="str">
        <f t="array" ref="O7">IFERROR(INDEX($F$2:$F$181,SMALL(_xlfn.IFS($G$2:$G$181&lt;$O$2,"",$G$2:$G$181&gt;$O$3,"",ISNUMBER($G$2:$G$181),ROW($A$1:$A$180)),ROW(A4))),"")</f>
        <v/>
      </c>
      <c r="P7" s="8" t="str">
        <f t="array" ref="P7">IFERROR(INDEX($F$2:$F$181,SMALL(_xlfn.IFS($G$2:$G$181&lt;$P$2,"",$G$2:$G$181&gt;$P$3,"",ISNUMBER($G$2:$G$181),ROW($A$1:$A$180)),ROW(A4))),"")</f>
        <v/>
      </c>
      <c r="Q7" s="8" t="str">
        <f t="array" ref="Q7">IFERROR(INDEX($F$2:$F$181,SMALL(_xlfn.IFS($G$2:$G$181&lt;$Q$2,"",$G$2:$G$181&gt;$Q$3,"",ISNUMBER($G$2:$G$181),ROW($A$1:$A$180)),ROW(A4))),"")</f>
        <v/>
      </c>
      <c r="R7" s="8" t="str">
        <f t="array" ref="R7">IFERROR(INDEX($F$2:$F$181,SMALL(_xlfn.IFS($G$2:$G$181&lt;$R$2,"",$G$2:$G$181&gt;$R$3,"",ISNUMBER($G$2:$G$181),ROW($A$1:$A$180)),ROW(A4))),"")</f>
        <v/>
      </c>
      <c r="S7" s="9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  <c r="V7" s="5" t="str" cm="1">
        <f t="array" ref="V7">IFERROR(INDEX($F$2:$F$181,SMALL(_xlfn.IFS($G$2:$G$181&lt;V$2,"",$G$2:$G$181&gt;V$3,"",ISNUMBER($G$2:$G$181),ROW($A$1:$A$180)),ROW(B4))),"")</f>
        <v/>
      </c>
      <c r="W7" s="5" t="str" cm="1">
        <f t="array" ref="W7">IFERROR(INDEX($F$2:$F$181,SMALL(_xlfn.IFS($G$2:$G$181&lt;W$2,"",$G$2:$G$181&gt;W$3,"",ISNUMBER($G$2:$G$181),ROW($A$1:$A$180)),ROW(C4))),"")</f>
        <v/>
      </c>
      <c r="X7" s="5" t="str" cm="1">
        <f t="array" ref="X7">IFERROR(INDEX($F$2:$F$181,SMALL(_xlfn.IFS($G$2:$G$181&lt;X$2,"",$G$2:$G$181&gt;X$3,"",ISNUMBER($G$2:$G$181),ROW($A$1:$A$180)),ROW(D4))),"")</f>
        <v/>
      </c>
      <c r="Y7" s="5" t="str" cm="1">
        <f t="array" ref="Y7">IFERROR(INDEX($F$2:$F$181,SMALL(_xlfn.IFS($G$2:$G$181&lt;Y$2,"",$G$2:$G$181&gt;Y$3,"",ISNUMBER($G$2:$G$181),ROW($A$1:$A$180)),ROW(E4))),"")</f>
        <v/>
      </c>
    </row>
    <row r="8" spans="1:25" x14ac:dyDescent="0.3">
      <c r="A8" s="78"/>
      <c r="B8" s="84">
        <v>3</v>
      </c>
      <c r="C8" s="7" t="s">
        <v>4</v>
      </c>
      <c r="D8" s="54" t="s">
        <v>57</v>
      </c>
      <c r="E8" s="54"/>
      <c r="F8" s="30" t="e">
        <f t="shared" ref="F8" si="3">(AVERAGEIF(D8:E8,"&gt;0",D8:E8))*10^3*100/8</f>
        <v>#DIV/0!</v>
      </c>
      <c r="G8" s="6"/>
      <c r="H8" s="5">
        <f t="array" ref="H8">IFERROR(INDEX($F$2:$F$181,SMALL(IF($G$2:$G$181=2,ROW($A$1:$A$163),""),ROW(A2))),"")</f>
        <v>468750</v>
      </c>
      <c r="J8" s="35"/>
      <c r="K8" s="37">
        <f t="array" ref="K8">IFERROR(INDEX($I$2:$I$81,SMALL(IF(ISNUMBER($I$2:$I$81),ROW($A$1:$A$80),""),ROW(A7))),"")</f>
        <v>3558333.3333333335</v>
      </c>
      <c r="L8" s="37">
        <f t="array" ref="L8">IFERROR(INDEX($J$2:$J$81,SMALL(IF(ISNUMBER($J$2:$J$81),ROW($A$1:$A$80),""),ROW(A7))),"")</f>
        <v>1068756.0916005729</v>
      </c>
      <c r="M8" s="60"/>
      <c r="N8" s="8" t="str">
        <f t="array" ref="N8">IFERROR(INDEX($F$2:$F$181,SMALL(_xlfn.IFS($G$2:$G$181&lt;$N$2,"",$G$2:$G$181&gt;$N$3,"",ISNUMBER($G$2:$G$181),ROW($A$1:$A$180)),ROW(A5))),"")</f>
        <v/>
      </c>
      <c r="O8" s="8" t="str">
        <f t="array" ref="O8">IFERROR(INDEX($F$2:$F$181,SMALL(_xlfn.IFS($G$2:$G$181&lt;$O$2,"",$G$2:$G$181&gt;$O$3,"",ISNUMBER($G$2:$G$181),ROW($A$1:$A$180)),ROW(A5))),"")</f>
        <v/>
      </c>
      <c r="P8" s="8" t="str">
        <f t="array" ref="P8">IFERROR(INDEX($F$2:$F$181,SMALL(_xlfn.IFS($G$2:$G$181&lt;$P$2,"",$G$2:$G$181&gt;$P$3,"",ISNUMBER($G$2:$G$181),ROW($A$1:$A$180)),ROW(A5))),"")</f>
        <v/>
      </c>
      <c r="Q8" s="8" t="str">
        <f t="array" ref="Q8">IFERROR(INDEX($F$2:$F$181,SMALL(_xlfn.IFS($G$2:$G$181&lt;$Q$2,"",$G$2:$G$181&gt;$Q$3,"",ISNUMBER($G$2:$G$181),ROW($A$1:$A$180)),ROW(A5))),"")</f>
        <v/>
      </c>
      <c r="R8" s="8" t="str">
        <f t="array" ref="R8">IFERROR(INDEX($F$2:$F$181,SMALL(_xlfn.IFS($G$2:$G$181&lt;$R$2,"",$G$2:$G$181&gt;$R$3,"",ISNUMBER($G$2:$G$181),ROW($A$1:$A$180)),ROW(A5))),"")</f>
        <v/>
      </c>
      <c r="S8" s="9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  <c r="V8" s="5" t="str" cm="1">
        <f t="array" ref="V8">IFERROR(INDEX($F$2:$F$181,SMALL(_xlfn.IFS($G$2:$G$181&lt;V$2,"",$G$2:$G$181&gt;V$3,"",ISNUMBER($G$2:$G$181),ROW($A$1:$A$180)),ROW(B5))),"")</f>
        <v/>
      </c>
      <c r="W8" s="5" t="str" cm="1">
        <f t="array" ref="W8">IFERROR(INDEX($F$2:$F$181,SMALL(_xlfn.IFS($G$2:$G$181&lt;W$2,"",$G$2:$G$181&gt;W$3,"",ISNUMBER($G$2:$G$181),ROW($A$1:$A$180)),ROW(C5))),"")</f>
        <v/>
      </c>
      <c r="X8" s="5" t="str" cm="1">
        <f t="array" ref="X8">IFERROR(INDEX($F$2:$F$181,SMALL(_xlfn.IFS($G$2:$G$181&lt;X$2,"",$G$2:$G$181&gt;X$3,"",ISNUMBER($G$2:$G$181),ROW($A$1:$A$180)),ROW(D5))),"")</f>
        <v/>
      </c>
      <c r="Y8" s="5" t="str" cm="1">
        <f t="array" ref="Y8">IFERROR(INDEX($F$2:$F$181,SMALL(_xlfn.IFS($G$2:$G$181&lt;Y$2,"",$G$2:$G$181&gt;Y$3,"",ISNUMBER($G$2:$G$181),ROW($A$1:$A$180)),ROW(E5))),"")</f>
        <v/>
      </c>
    </row>
    <row r="9" spans="1:25" x14ac:dyDescent="0.3">
      <c r="A9" s="78"/>
      <c r="B9" s="82"/>
      <c r="C9" s="10" t="s">
        <v>2</v>
      </c>
      <c r="D9" s="10">
        <v>50</v>
      </c>
      <c r="E9" s="10">
        <v>38</v>
      </c>
      <c r="F9" s="28">
        <f t="shared" ref="F9" si="4">(AVERAGEIF(D9:E9,"&gt;0",D9:E9))*10^4*100/8</f>
        <v>5500000</v>
      </c>
      <c r="G9" s="6">
        <v>1</v>
      </c>
      <c r="H9" s="5">
        <f t="array" ref="H9">IFERROR(INDEX($F$2:$F$181,SMALL(IF($G$2:$G$181=2,ROW($A$1:$A$163),""),ROW(A3))),"")</f>
        <v>375000</v>
      </c>
      <c r="I9" s="5">
        <f>AVERAGE(H7:H9)</f>
        <v>327083.33333333331</v>
      </c>
      <c r="J9" s="35">
        <f>STDEV(H7:H9)</f>
        <v>170744.38741385716</v>
      </c>
      <c r="K9" s="37">
        <f t="array" ref="K9">IFERROR(INDEX($I$2:$I$81,SMALL(IF(ISNUMBER($I$2:$I$81),ROW($A$1:$A$80),""),ROW(A8))),"")</f>
        <v>447083.33333333331</v>
      </c>
      <c r="L9" s="37">
        <f t="array" ref="L9">IFERROR(INDEX($J$2:$J$81,SMALL(IF(ISNUMBER($J$2:$J$81),ROW($A$1:$A$80),""),ROW(A8))),"")</f>
        <v>262661.65657235414</v>
      </c>
      <c r="M9" s="60"/>
      <c r="N9" s="8" t="str">
        <f t="array" ref="N9">IFERROR(INDEX($F$2:$F$181,SMALL(_xlfn.IFS($G$2:$G$181&lt;$N$2,"",$G$2:$G$181&gt;$N$3,"",ISNUMBER($G$2:$G$181),ROW($A$1:$A$180)),ROW(A6))),"")</f>
        <v/>
      </c>
      <c r="O9" s="8" t="str">
        <f t="array" ref="O9">IFERROR(INDEX($F$2:$F$181,SMALL(_xlfn.IFS($G$2:$G$181&lt;$O$2,"",$G$2:$G$181&gt;$O$3,"",ISNUMBER($G$2:$G$181),ROW($A$1:$A$180)),ROW(A6))),"")</f>
        <v/>
      </c>
      <c r="P9" s="8" t="str">
        <f t="array" ref="P9">IFERROR(INDEX($F$2:$F$181,SMALL(_xlfn.IFS($G$2:$G$181&lt;$P$2,"",$G$2:$G$181&gt;$P$3,"",ISNUMBER($G$2:$G$181),ROW($A$1:$A$180)),ROW(A6))),"")</f>
        <v/>
      </c>
      <c r="Q9" s="8" t="str">
        <f t="array" ref="Q9">IFERROR(INDEX($F$2:$F$181,SMALL(_xlfn.IFS($G$2:$G$181&lt;$Q$2,"",$G$2:$G$181&gt;$Q$3,"",ISNUMBER($G$2:$G$181),ROW($A$1:$A$180)),ROW(A6))),"")</f>
        <v/>
      </c>
      <c r="R9" s="8" t="str">
        <f t="array" ref="R9">IFERROR(INDEX($F$2:$F$181,SMALL(_xlfn.IFS($G$2:$G$181&lt;$R$2,"",$G$2:$G$181&gt;$R$3,"",ISNUMBER($G$2:$G$181),ROW($A$1:$A$180)),ROW(A6))),"")</f>
        <v/>
      </c>
      <c r="S9" s="9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  <c r="V9" s="5" t="str" cm="1">
        <f t="array" ref="V9">IFERROR(INDEX($F$2:$F$181,SMALL(_xlfn.IFS($G$2:$G$181&lt;V$2,"",$G$2:$G$181&gt;V$3,"",ISNUMBER($G$2:$G$181),ROW($A$1:$A$180)),ROW(B6))),"")</f>
        <v/>
      </c>
      <c r="W9" s="5" t="str" cm="1">
        <f t="array" ref="W9">IFERROR(INDEX($F$2:$F$181,SMALL(_xlfn.IFS($G$2:$G$181&lt;W$2,"",$G$2:$G$181&gt;W$3,"",ISNUMBER($G$2:$G$181),ROW($A$1:$A$180)),ROW(C6))),"")</f>
        <v/>
      </c>
      <c r="X9" s="5" t="str" cm="1">
        <f t="array" ref="X9">IFERROR(INDEX($F$2:$F$181,SMALL(_xlfn.IFS($G$2:$G$181&lt;X$2,"",$G$2:$G$181&gt;X$3,"",ISNUMBER($G$2:$G$181),ROW($A$1:$A$180)),ROW(D6))),"")</f>
        <v/>
      </c>
      <c r="Y9" s="5" t="str" cm="1">
        <f t="array" ref="Y9">IFERROR(INDEX($F$2:$F$181,SMALL(_xlfn.IFS($G$2:$G$181&lt;Y$2,"",$G$2:$G$181&gt;Y$3,"",ISNUMBER($G$2:$G$181),ROW($A$1:$A$180)),ROW(E6))),"")</f>
        <v/>
      </c>
    </row>
    <row r="10" spans="1:25" ht="14.55" thickBot="1" x14ac:dyDescent="0.35">
      <c r="A10" s="79"/>
      <c r="B10" s="85"/>
      <c r="C10" s="31" t="s">
        <v>3</v>
      </c>
      <c r="D10" s="31" t="s">
        <v>56</v>
      </c>
      <c r="E10" s="31"/>
      <c r="F10" s="32" t="e">
        <f t="shared" ref="F10" si="5">(AVERAGEIF(D10:E10,"&gt;0",D10:E10))*10^5*100/8</f>
        <v>#DIV/0!</v>
      </c>
      <c r="G10" s="6"/>
      <c r="H10" s="5" t="s">
        <v>13</v>
      </c>
      <c r="J10" s="35"/>
      <c r="K10" s="37">
        <f t="array" ref="K10">IFERROR(INDEX($I$2:$I$81,SMALL(IF(ISNUMBER($I$2:$I$81),ROW($A$1:$A$80),""),ROW(A9))),"")</f>
        <v>5161904.7619047621</v>
      </c>
      <c r="L10" s="37">
        <f t="array" ref="L10">IFERROR(INDEX($J$2:$J$81,SMALL(IF(ISNUMBER($J$2:$J$81),ROW($A$1:$A$80),""),ROW(A9))),"")</f>
        <v>1652785.7333218087</v>
      </c>
      <c r="M10" s="60"/>
      <c r="N10" s="8" t="str">
        <f t="array" ref="N10">IFERROR(INDEX($F$2:$F$181,SMALL(_xlfn.IFS($G$2:$G$181&lt;$N$2,"",$G$2:$G$181&gt;$N$3,"",ISNUMBER($G$2:$G$181),ROW($A$1:$A$180)),ROW(A7))),"")</f>
        <v/>
      </c>
      <c r="O10" s="8" t="str">
        <f t="array" ref="O10">IFERROR(INDEX($F$2:$F$181,SMALL(_xlfn.IFS($G$2:$G$181&lt;$O$2,"",$G$2:$G$181&gt;$O$3,"",ISNUMBER($G$2:$G$181),ROW($A$1:$A$180)),ROW(A7))),"")</f>
        <v/>
      </c>
      <c r="P10" s="8" t="str">
        <f t="array" ref="P10">IFERROR(INDEX($F$2:$F$181,SMALL(_xlfn.IFS($G$2:$G$181&lt;$P$2,"",$G$2:$G$181&gt;$P$3,"",ISNUMBER($G$2:$G$181),ROW($A$1:$A$180)),ROW(A7))),"")</f>
        <v/>
      </c>
      <c r="Q10" s="8" t="str">
        <f t="array" ref="Q10">IFERROR(INDEX($F$2:$F$181,SMALL(_xlfn.IFS($G$2:$G$181&lt;$Q$2,"",$G$2:$G$181&gt;$Q$3,"",ISNUMBER($G$2:$G$181),ROW($A$1:$A$180)),ROW(A7))),"")</f>
        <v/>
      </c>
      <c r="R10" s="8" t="str">
        <f t="array" ref="R10">IFERROR(INDEX($F$2:$F$181,SMALL(_xlfn.IFS($G$2:$G$181&lt;$R$2,"",$G$2:$G$181&gt;$R$3,"",ISNUMBER($G$2:$G$181),ROW($A$1:$A$180)),ROW(A7))),"")</f>
        <v/>
      </c>
      <c r="S10" s="9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  <c r="V10" s="5" t="str" cm="1">
        <f t="array" ref="V10">IFERROR(INDEX($F$2:$F$181,SMALL(_xlfn.IFS($G$2:$G$181&lt;V$2,"",$G$2:$G$181&gt;V$3,"",ISNUMBER($G$2:$G$181),ROW($A$1:$A$180)),ROW(B7))),"")</f>
        <v/>
      </c>
      <c r="W10" s="5" t="str" cm="1">
        <f t="array" ref="W10">IFERROR(INDEX($F$2:$F$181,SMALL(_xlfn.IFS($G$2:$G$181&lt;W$2,"",$G$2:$G$181&gt;W$3,"",ISNUMBER($G$2:$G$181),ROW($A$1:$A$180)),ROW(C7))),"")</f>
        <v/>
      </c>
      <c r="X10" s="5" t="str" cm="1">
        <f t="array" ref="X10">IFERROR(INDEX($F$2:$F$181,SMALL(_xlfn.IFS($G$2:$G$181&lt;X$2,"",$G$2:$G$181&gt;X$3,"",ISNUMBER($G$2:$G$181),ROW($A$1:$A$180)),ROW(D7))),"")</f>
        <v/>
      </c>
      <c r="Y10" s="5" t="str" cm="1">
        <f t="array" ref="Y10">IFERROR(INDEX($F$2:$F$181,SMALL(_xlfn.IFS($G$2:$G$181&lt;Y$2,"",$G$2:$G$181&gt;Y$3,"",ISNUMBER($G$2:$G$181),ROW($A$1:$A$180)),ROW(E7))),"")</f>
        <v/>
      </c>
    </row>
    <row r="11" spans="1:25" ht="16.55" customHeight="1" thickTop="1" x14ac:dyDescent="0.3">
      <c r="A11" s="77" t="s">
        <v>58</v>
      </c>
      <c r="B11" s="81">
        <v>1</v>
      </c>
      <c r="C11" s="26" t="s">
        <v>4</v>
      </c>
      <c r="D11" s="26">
        <v>302</v>
      </c>
      <c r="E11" s="26"/>
      <c r="F11" s="27">
        <f t="shared" ref="F11" si="6">(AVERAGEIF(D11:E11,"&gt;0",D11:E11))*10^3*100/8</f>
        <v>3775000</v>
      </c>
      <c r="G11" s="6">
        <v>3</v>
      </c>
      <c r="H11" s="5">
        <f t="array" ref="H11">IFERROR(INDEX($F$2:$F$181,SMALL(IF($G$2:$G$181=3,ROW($A$1:$A$163),""),ROW(A1))),"")</f>
        <v>3775000</v>
      </c>
      <c r="J11" s="35"/>
      <c r="K11" s="37">
        <f t="array" ref="K11">IFERROR(INDEX($I$2:$I$81,SMALL(IF(ISNUMBER($I$2:$I$81),ROW($A$1:$A$80),""),ROW(A10))),"")</f>
        <v>512500</v>
      </c>
      <c r="L11" s="37">
        <f t="array" ref="L11">IFERROR(INDEX($J$2:$J$81,SMALL(IF(ISNUMBER($J$2:$J$81),ROW($A$1:$A$80),""),ROW(A10))),"")</f>
        <v>21650.635094610967</v>
      </c>
      <c r="M11" s="60"/>
      <c r="N11" s="8" t="str">
        <f t="array" ref="N11">IFERROR(INDEX($F$2:$F$181,SMALL(_xlfn.IFS($G$2:$G$181&lt;$N$2,"",$G$2:$G$181&gt;$N$3,"",ISNUMBER($G$2:$G$181),ROW($A$1:$A$180)),ROW(A8))),"")</f>
        <v/>
      </c>
      <c r="O11" s="8" t="str">
        <f t="array" ref="O11">IFERROR(INDEX($F$2:$F$181,SMALL(_xlfn.IFS($G$2:$G$181&lt;$O$2,"",$G$2:$G$181&gt;$O$3,"",ISNUMBER($G$2:$G$181),ROW($A$1:$A$180)),ROW(A8))),"")</f>
        <v/>
      </c>
      <c r="P11" s="8" t="str">
        <f t="array" ref="P11">IFERROR(INDEX($F$2:$F$181,SMALL(_xlfn.IFS($G$2:$G$181&lt;$P$2,"",$G$2:$G$181&gt;$P$3,"",ISNUMBER($G$2:$G$181),ROW($A$1:$A$180)),ROW(A8))),"")</f>
        <v/>
      </c>
      <c r="Q11" s="8" t="str">
        <f t="array" ref="Q11">IFERROR(INDEX($F$2:$F$181,SMALL(_xlfn.IFS($G$2:$G$181&lt;$Q$2,"",$G$2:$G$181&gt;$Q$3,"",ISNUMBER($G$2:$G$181),ROW($A$1:$A$180)),ROW(A8))),"")</f>
        <v/>
      </c>
      <c r="R11" s="8" t="str">
        <f t="array" ref="R11">IFERROR(INDEX($F$2:$F$181,SMALL(_xlfn.IFS($G$2:$G$181&lt;$R$2,"",$G$2:$G$181&gt;$R$3,"",ISNUMBER($G$2:$G$181),ROW($A$1:$A$180)),ROW(A8))),"")</f>
        <v/>
      </c>
      <c r="S11" s="9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  <c r="V11" s="5" t="str" cm="1">
        <f t="array" ref="V11">IFERROR(INDEX($F$2:$F$181,SMALL(_xlfn.IFS($G$2:$G$181&lt;V$2,"",$G$2:$G$181&gt;V$3,"",ISNUMBER($G$2:$G$181),ROW($A$1:$A$180)),ROW(B8))),"")</f>
        <v/>
      </c>
      <c r="W11" s="5" t="str" cm="1">
        <f t="array" ref="W11">IFERROR(INDEX($F$2:$F$181,SMALL(_xlfn.IFS($G$2:$G$181&lt;W$2,"",$G$2:$G$181&gt;W$3,"",ISNUMBER($G$2:$G$181),ROW($A$1:$A$180)),ROW(C8))),"")</f>
        <v/>
      </c>
      <c r="X11" s="5" t="str" cm="1">
        <f t="array" ref="X11">IFERROR(INDEX($F$2:$F$181,SMALL(_xlfn.IFS($G$2:$G$181&lt;X$2,"",$G$2:$G$181&gt;X$3,"",ISNUMBER($G$2:$G$181),ROW($A$1:$A$180)),ROW(D8))),"")</f>
        <v/>
      </c>
      <c r="Y11" s="5" t="str" cm="1">
        <f t="array" ref="Y11">IFERROR(INDEX($F$2:$F$181,SMALL(_xlfn.IFS($G$2:$G$181&lt;Y$2,"",$G$2:$G$181&gt;Y$3,"",ISNUMBER($G$2:$G$181),ROW($A$1:$A$180)),ROW(E8))),"")</f>
        <v/>
      </c>
    </row>
    <row r="12" spans="1:25" x14ac:dyDescent="0.3">
      <c r="A12" s="78"/>
      <c r="B12" s="82"/>
      <c r="C12" s="10" t="s">
        <v>2</v>
      </c>
      <c r="D12" s="10">
        <v>29</v>
      </c>
      <c r="E12" s="10">
        <v>15</v>
      </c>
      <c r="F12" s="28">
        <f t="shared" ref="F12" si="7">(AVERAGEIF(D12:E12,"&gt;0",D12:E12))*10^4*100/8</f>
        <v>2750000</v>
      </c>
      <c r="G12" s="6"/>
      <c r="H12" s="5">
        <f t="array" ref="H12">IFERROR(INDEX($F$2:$F$181,SMALL(IF($G$2:$G$181=3,ROW($A$1:$A$163),""),ROW(A2))),"")</f>
        <v>3312500</v>
      </c>
      <c r="J12" s="35"/>
      <c r="K12" s="37">
        <f t="array" ref="K12">IFERROR(INDEX($I$2:$I$81,SMALL(IF(ISNUMBER($I$2:$I$81),ROW($A$1:$A$80),""),ROW(A11))),"")</f>
        <v>3708333.3333333335</v>
      </c>
      <c r="L12" s="37">
        <f t="array" ref="L12">IFERROR(INDEX($J$2:$J$81,SMALL(IF(ISNUMBER($J$2:$J$81),ROW($A$1:$A$80),""),ROW(A11))),"")</f>
        <v>572048.58476647944</v>
      </c>
      <c r="M12" s="60"/>
      <c r="N12" s="8" t="str">
        <f t="array" ref="N12">IFERROR(INDEX($F$2:$F$181,SMALL(_xlfn.IFS($G$2:$G$181&lt;$N$2,"",$G$2:$G$181&gt;$N$3,"",ISNUMBER($G$2:$G$181),ROW($A$1:$A$180)),ROW(A9))),"")</f>
        <v/>
      </c>
      <c r="O12" s="8" t="str">
        <f t="array" ref="O12">IFERROR(INDEX($F$2:$F$181,SMALL(_xlfn.IFS($G$2:$G$181&lt;$O$2,"",$G$2:$G$181&gt;$O$3,"",ISNUMBER($G$2:$G$181),ROW($A$1:$A$180)),ROW(A9))),"")</f>
        <v/>
      </c>
      <c r="P12" s="8" t="str">
        <f t="array" ref="P12">IFERROR(INDEX($F$2:$F$181,SMALL(_xlfn.IFS($G$2:$G$181&lt;$P$2,"",$G$2:$G$181&gt;$P$3,"",ISNUMBER($G$2:$G$181),ROW($A$1:$A$180)),ROW(A9))),"")</f>
        <v/>
      </c>
      <c r="Q12" s="8" t="str">
        <f t="array" ref="Q12">IFERROR(INDEX($F$2:$F$181,SMALL(_xlfn.IFS($G$2:$G$181&lt;$Q$2,"",$G$2:$G$181&gt;$Q$3,"",ISNUMBER($G$2:$G$181),ROW($A$1:$A$180)),ROW(A9))),"")</f>
        <v/>
      </c>
      <c r="R12" s="8" t="str">
        <f t="array" ref="R12">IFERROR(INDEX($F$2:$F$181,SMALL(_xlfn.IFS($G$2:$G$181&lt;$R$2,"",$G$2:$G$181&gt;$R$3,"",ISNUMBER($G$2:$G$181),ROW($A$1:$A$180)),ROW(A9))),"")</f>
        <v/>
      </c>
      <c r="S12" s="9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  <c r="V12" s="5" t="str" cm="1">
        <f t="array" ref="V12">IFERROR(INDEX($F$2:$F$181,SMALL(_xlfn.IFS($G$2:$G$181&lt;V$2,"",$G$2:$G$181&gt;V$3,"",ISNUMBER($G$2:$G$181),ROW($A$1:$A$180)),ROW(B9))),"")</f>
        <v/>
      </c>
      <c r="W12" s="5" t="str" cm="1">
        <f t="array" ref="W12">IFERROR(INDEX($F$2:$F$181,SMALL(_xlfn.IFS($G$2:$G$181&lt;W$2,"",$G$2:$G$181&gt;W$3,"",ISNUMBER($G$2:$G$181),ROW($A$1:$A$180)),ROW(C9))),"")</f>
        <v/>
      </c>
      <c r="X12" s="5" t="str" cm="1">
        <f t="array" ref="X12">IFERROR(INDEX($F$2:$F$181,SMALL(_xlfn.IFS($G$2:$G$181&lt;X$2,"",$G$2:$G$181&gt;X$3,"",ISNUMBER($G$2:$G$181),ROW($A$1:$A$180)),ROW(D9))),"")</f>
        <v/>
      </c>
      <c r="Y12" s="5" t="str" cm="1">
        <f t="array" ref="Y12">IFERROR(INDEX($F$2:$F$181,SMALL(_xlfn.IFS($G$2:$G$181&lt;Y$2,"",$G$2:$G$181&gt;Y$3,"",ISNUMBER($G$2:$G$181),ROW($A$1:$A$180)),ROW(E9))),"")</f>
        <v/>
      </c>
    </row>
    <row r="13" spans="1:25" ht="14.55" thickBot="1" x14ac:dyDescent="0.35">
      <c r="A13" s="78"/>
      <c r="B13" s="83"/>
      <c r="C13" s="11" t="s">
        <v>3</v>
      </c>
      <c r="D13" s="11" t="s">
        <v>56</v>
      </c>
      <c r="E13" s="11"/>
      <c r="F13" s="29" t="e">
        <f t="shared" ref="F13" si="8">(AVERAGEIF(D13:E13,"&gt;0",D13:E13))*10^5*100/8</f>
        <v>#DIV/0!</v>
      </c>
      <c r="G13" s="6"/>
      <c r="H13" s="5">
        <f t="array" ref="H13">IFERROR(INDEX($F$2:$F$181,SMALL(IF($G$2:$G$181=3,ROW($A$1:$A$163),""),ROW(A3))),"")</f>
        <v>4125000</v>
      </c>
      <c r="I13" s="5">
        <f>AVERAGE(H11:H13)</f>
        <v>3737500</v>
      </c>
      <c r="J13" s="35">
        <f>STDEV(H11:H13)</f>
        <v>407546.00967252767</v>
      </c>
      <c r="K13" s="37">
        <f t="array" ref="K13">IFERROR(INDEX($I$2:$I$81,SMALL(IF(ISNUMBER($I$2:$I$81),ROW($A$1:$A$80),""),ROW(A12))),"")</f>
        <v>564583.33333333337</v>
      </c>
      <c r="L13" s="37">
        <f t="array" ref="L13">IFERROR(INDEX($J$2:$J$81,SMALL(IF(ISNUMBER($J$2:$J$81),ROW($A$1:$A$80),""),ROW(A12))),"")</f>
        <v>659679.23471057764</v>
      </c>
      <c r="M13" s="60"/>
      <c r="N13" s="8" t="str">
        <f t="array" ref="N13">IFERROR(INDEX($F$2:$F$181,SMALL(_xlfn.IFS($G$2:$G$181&lt;$N$2,"",$G$2:$G$181&gt;$N$3,"",ISNUMBER($G$2:$G$181),ROW($A$1:$A$180)),ROW(A10))),"")</f>
        <v/>
      </c>
      <c r="O13" s="8" t="str">
        <f t="array" ref="O13">IFERROR(INDEX($F$2:$F$181,SMALL(_xlfn.IFS($G$2:$G$181&lt;$O$2,"",$G$2:$G$181&gt;$O$3,"",ISNUMBER($G$2:$G$181),ROW($A$1:$A$180)),ROW(A10))),"")</f>
        <v/>
      </c>
      <c r="P13" s="8" t="str">
        <f t="array" ref="P13">IFERROR(INDEX($F$2:$F$181,SMALL(_xlfn.IFS($G$2:$G$181&lt;$P$2,"",$G$2:$G$181&gt;$P$3,"",ISNUMBER($G$2:$G$181),ROW($A$1:$A$180)),ROW(A10))),"")</f>
        <v/>
      </c>
      <c r="Q13" s="8" t="str">
        <f t="array" ref="Q13">IFERROR(INDEX($F$2:$F$181,SMALL(_xlfn.IFS($G$2:$G$181&lt;$Q$2,"",$G$2:$G$181&gt;$Q$3,"",ISNUMBER($G$2:$G$181),ROW($A$1:$A$180)),ROW(A10))),"")</f>
        <v/>
      </c>
      <c r="R13" s="8" t="str">
        <f t="array" ref="R13">IFERROR(INDEX($F$2:$F$181,SMALL(_xlfn.IFS($G$2:$G$181&lt;$R$2,"",$G$2:$G$181&gt;$R$3,"",ISNUMBER($G$2:$G$181),ROW($A$1:$A$180)),ROW(A10))),"")</f>
        <v/>
      </c>
      <c r="S13" s="9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  <c r="V13" s="5" t="str" cm="1">
        <f t="array" ref="V13">IFERROR(INDEX($F$2:$F$181,SMALL(_xlfn.IFS($G$2:$G$181&lt;V$2,"",$G$2:$G$181&gt;V$3,"",ISNUMBER($G$2:$G$181),ROW($A$1:$A$180)),ROW(B10))),"")</f>
        <v/>
      </c>
      <c r="W13" s="5" t="str" cm="1">
        <f t="array" ref="W13">IFERROR(INDEX($F$2:$F$181,SMALL(_xlfn.IFS($G$2:$G$181&lt;W$2,"",$G$2:$G$181&gt;W$3,"",ISNUMBER($G$2:$G$181),ROW($A$1:$A$180)),ROW(C10))),"")</f>
        <v/>
      </c>
      <c r="X13" s="5" t="str" cm="1">
        <f t="array" ref="X13">IFERROR(INDEX($F$2:$F$181,SMALL(_xlfn.IFS($G$2:$G$181&lt;X$2,"",$G$2:$G$181&gt;X$3,"",ISNUMBER($G$2:$G$181),ROW($A$1:$A$180)),ROW(D10))),"")</f>
        <v/>
      </c>
      <c r="Y13" s="5" t="str" cm="1">
        <f t="array" ref="Y13">IFERROR(INDEX($F$2:$F$181,SMALL(_xlfn.IFS($G$2:$G$181&lt;Y$2,"",$G$2:$G$181&gt;Y$3,"",ISNUMBER($G$2:$G$181),ROW($A$1:$A$180)),ROW(E10))),"")</f>
        <v/>
      </c>
    </row>
    <row r="14" spans="1:25" ht="14.55" thickTop="1" x14ac:dyDescent="0.3">
      <c r="A14" s="78"/>
      <c r="B14" s="84">
        <v>2</v>
      </c>
      <c r="C14" s="7" t="s">
        <v>4</v>
      </c>
      <c r="D14" s="7" t="s">
        <v>57</v>
      </c>
      <c r="E14" s="7"/>
      <c r="F14" s="27" t="e">
        <f t="shared" ref="F14:F53" si="9">(AVERAGEIF(D14:E14,"&gt;0",D14:E14))*10^3*100/8</f>
        <v>#DIV/0!</v>
      </c>
      <c r="G14" s="6"/>
      <c r="H14" s="5" t="s">
        <v>14</v>
      </c>
      <c r="J14" s="36"/>
      <c r="K14" s="37" t="str">
        <f t="array" ref="K14">IFERROR(INDEX($I$2:$I$81,SMALL(IF(ISNUMBER($I$2:$I$81),ROW($A$1:$A$80),""),ROW(A13))),"")</f>
        <v/>
      </c>
      <c r="L14" s="37" t="str">
        <f t="array" ref="L14">IFERROR(INDEX($J$2:$J$81,SMALL(IF(ISNUMBER($J$2:$J$81),ROW($A$1:$A$80),""),ROW(A13))),"")</f>
        <v/>
      </c>
      <c r="M14" s="60"/>
      <c r="N14" s="8" t="str">
        <f t="array" ref="N14">IFERROR(INDEX($F$2:$F$181,SMALL(_xlfn.IFS($G$2:$G$181&lt;$N$2,"",$G$2:$G$181&gt;$N$3,"",ISNUMBER($G$2:$G$181),ROW($A$1:$A$180)),ROW(A11))),"")</f>
        <v/>
      </c>
      <c r="O14" s="8" t="str">
        <f t="array" ref="O14">IFERROR(INDEX($F$2:$F$181,SMALL(_xlfn.IFS($G$2:$G$181&lt;$O$2,"",$G$2:$G$181&gt;$O$3,"",ISNUMBER($G$2:$G$181),ROW($A$1:$A$180)),ROW(A11))),"")</f>
        <v/>
      </c>
      <c r="P14" s="8" t="str">
        <f t="array" ref="P14">IFERROR(INDEX($F$2:$F$181,SMALL(_xlfn.IFS($G$2:$G$181&lt;$P$2,"",$G$2:$G$181&gt;$P$3,"",ISNUMBER($G$2:$G$181),ROW($A$1:$A$180)),ROW(A11))),"")</f>
        <v/>
      </c>
      <c r="Q14" s="8" t="str">
        <f t="array" ref="Q14">IFERROR(INDEX($F$2:$F$181,SMALL(_xlfn.IFS($G$2:$G$181&lt;$Q$2,"",$G$2:$G$181&gt;$Q$3,"",ISNUMBER($G$2:$G$181),ROW($A$1:$A$180)),ROW(A11))),"")</f>
        <v/>
      </c>
      <c r="R14" s="8" t="str">
        <f t="array" ref="R14">IFERROR(INDEX($F$2:$F$181,SMALL(_xlfn.IFS($G$2:$G$181&lt;$R$2,"",$G$2:$G$181&gt;$R$3,"",ISNUMBER($G$2:$G$181),ROW($A$1:$A$180)),ROW(A11))),"")</f>
        <v/>
      </c>
      <c r="S14" s="9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  <c r="V14" s="5" t="str" cm="1">
        <f t="array" ref="V14">IFERROR(INDEX($F$2:$F$181,SMALL(_xlfn.IFS($G$2:$G$181&lt;V$2,"",$G$2:$G$181&gt;V$3,"",ISNUMBER($G$2:$G$181),ROW($A$1:$A$180)),ROW(B11))),"")</f>
        <v/>
      </c>
      <c r="W14" s="5" t="str" cm="1">
        <f t="array" ref="W14">IFERROR(INDEX($F$2:$F$181,SMALL(_xlfn.IFS($G$2:$G$181&lt;W$2,"",$G$2:$G$181&gt;W$3,"",ISNUMBER($G$2:$G$181),ROW($A$1:$A$180)),ROW(C11))),"")</f>
        <v/>
      </c>
      <c r="X14" s="5" t="str" cm="1">
        <f t="array" ref="X14">IFERROR(INDEX($F$2:$F$181,SMALL(_xlfn.IFS($G$2:$G$181&lt;X$2,"",$G$2:$G$181&gt;X$3,"",ISNUMBER($G$2:$G$181),ROW($A$1:$A$180)),ROW(D11))),"")</f>
        <v/>
      </c>
      <c r="Y14" s="5" t="str" cm="1">
        <f t="array" ref="Y14">IFERROR(INDEX($F$2:$F$181,SMALL(_xlfn.IFS($G$2:$G$181&lt;Y$2,"",$G$2:$G$181&gt;Y$3,"",ISNUMBER($G$2:$G$181),ROW($A$1:$A$180)),ROW(E11))),"")</f>
        <v/>
      </c>
    </row>
    <row r="15" spans="1:25" x14ac:dyDescent="0.3">
      <c r="A15" s="78"/>
      <c r="B15" s="82"/>
      <c r="C15" s="10" t="s">
        <v>2</v>
      </c>
      <c r="D15" s="10">
        <v>29</v>
      </c>
      <c r="E15" s="10">
        <v>24</v>
      </c>
      <c r="F15" s="28">
        <f t="shared" ref="F15:F54" si="10">(AVERAGEIF(D15:E15,"&gt;0",D15:E15))*10^4*100/8</f>
        <v>3312500</v>
      </c>
      <c r="G15" s="6">
        <v>3</v>
      </c>
      <c r="H15" s="5">
        <f t="array" ref="H15">IFERROR(INDEX($F$2:$F$181,SMALL(IF($G$2:$G$181=4,ROW($A$1:$A$163),""),ROW(A1))),"")</f>
        <v>2025000</v>
      </c>
      <c r="J15" s="36"/>
      <c r="K15" s="37" t="str">
        <f t="array" ref="K15">IFERROR(INDEX($I$2:$I$81,SMALL(IF(ISNUMBER($I$2:$I$81),ROW($A$1:$A$80),""),ROW(A14))),"")</f>
        <v/>
      </c>
      <c r="L15" s="37" t="str">
        <f t="array" ref="L15">IFERROR(INDEX($J$2:$J$81,SMALL(IF(ISNUMBER($J$2:$J$81),ROW($A$1:$A$80),""),ROW(A14))),"")</f>
        <v/>
      </c>
      <c r="M15" s="60"/>
      <c r="N15" s="8" t="str">
        <f t="array" ref="N15">IFERROR(INDEX($F$2:$F$181,SMALL(_xlfn.IFS($G$2:$G$181&lt;$N$2,"",$G$2:$G$181&gt;$N$3,"",ISNUMBER($G$2:$G$181),ROW($A$1:$A$180)),ROW(A12))),"")</f>
        <v/>
      </c>
      <c r="O15" s="8" t="str">
        <f t="array" ref="O15">IFERROR(INDEX($F$2:$F$181,SMALL(_xlfn.IFS($G$2:$G$181&lt;$O$2,"",$G$2:$G$181&gt;$O$3,"",ISNUMBER($G$2:$G$181),ROW($A$1:$A$180)),ROW(A12))),"")</f>
        <v/>
      </c>
      <c r="P15" s="8" t="str">
        <f t="array" ref="P15">IFERROR(INDEX($F$2:$F$181,SMALL(_xlfn.IFS($G$2:$G$181&lt;$P$2,"",$G$2:$G$181&gt;$P$3,"",ISNUMBER($G$2:$G$181),ROW($A$1:$A$180)),ROW(A12))),"")</f>
        <v/>
      </c>
      <c r="Q15" s="8" t="str">
        <f t="array" ref="Q15">IFERROR(INDEX($F$2:$F$181,SMALL(_xlfn.IFS($G$2:$G$181&lt;$Q$2,"",$G$2:$G$181&gt;$Q$3,"",ISNUMBER($G$2:$G$181),ROW($A$1:$A$180)),ROW(A12))),"")</f>
        <v/>
      </c>
      <c r="R15" s="8" t="str">
        <f t="array" ref="R15">IFERROR(INDEX($F$2:$F$181,SMALL(_xlfn.IFS($G$2:$G$181&lt;$R$2,"",$G$2:$G$181&gt;$R$3,"",ISNUMBER($G$2:$G$181),ROW($A$1:$A$180)),ROW(A12))),"")</f>
        <v/>
      </c>
      <c r="S15" s="9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  <c r="V15" s="5" t="str" cm="1">
        <f t="array" ref="V15">IFERROR(INDEX($F$2:$F$181,SMALL(_xlfn.IFS($G$2:$G$181&lt;V$2,"",$G$2:$G$181&gt;V$3,"",ISNUMBER($G$2:$G$181),ROW($A$1:$A$180)),ROW(B12))),"")</f>
        <v/>
      </c>
      <c r="W15" s="5" t="str" cm="1">
        <f t="array" ref="W15">IFERROR(INDEX($F$2:$F$181,SMALL(_xlfn.IFS($G$2:$G$181&lt;W$2,"",$G$2:$G$181&gt;W$3,"",ISNUMBER($G$2:$G$181),ROW($A$1:$A$180)),ROW(C12))),"")</f>
        <v/>
      </c>
      <c r="X15" s="5" t="str" cm="1">
        <f t="array" ref="X15">IFERROR(INDEX($F$2:$F$181,SMALL(_xlfn.IFS($G$2:$G$181&lt;X$2,"",$G$2:$G$181&gt;X$3,"",ISNUMBER($G$2:$G$181),ROW($A$1:$A$180)),ROW(D12))),"")</f>
        <v/>
      </c>
      <c r="Y15" s="5" t="str" cm="1">
        <f t="array" ref="Y15">IFERROR(INDEX($F$2:$F$181,SMALL(_xlfn.IFS($G$2:$G$181&lt;Y$2,"",$G$2:$G$181&gt;Y$3,"",ISNUMBER($G$2:$G$181),ROW($A$1:$A$180)),ROW(E12))),"")</f>
        <v/>
      </c>
    </row>
    <row r="16" spans="1:25" ht="14.55" thickBot="1" x14ac:dyDescent="0.35">
      <c r="A16" s="78"/>
      <c r="B16" s="83"/>
      <c r="C16" s="11" t="s">
        <v>3</v>
      </c>
      <c r="D16" s="11" t="s">
        <v>56</v>
      </c>
      <c r="E16" s="11"/>
      <c r="F16" s="29" t="e">
        <f t="shared" ref="F16:F55" si="11">(AVERAGEIF(D16:E16,"&gt;0",D16:E16))*10^5*100/8</f>
        <v>#DIV/0!</v>
      </c>
      <c r="G16" s="6"/>
      <c r="H16" s="5">
        <f t="array" ref="H16">IFERROR(INDEX($F$2:$F$181,SMALL(IF($G$2:$G$181=4,ROW($A$1:$A$163),""),ROW(A2))),"")</f>
        <v>925000</v>
      </c>
      <c r="J16" s="36"/>
      <c r="K16" s="37" t="str">
        <f t="array" ref="K16">IFERROR(INDEX($I$2:$I$81,SMALL(IF(ISNUMBER($I$2:$I$81),ROW($A$1:$A$80),""),ROW(A15))),"")</f>
        <v/>
      </c>
      <c r="L16" s="37" t="str">
        <f t="array" ref="L16">IFERROR(INDEX($J$2:$J$81,SMALL(IF(ISNUMBER($J$2:$J$81),ROW($A$1:$A$80),""),ROW(A15))),"")</f>
        <v/>
      </c>
      <c r="M16" s="60"/>
      <c r="N16" s="8" t="str">
        <f t="array" ref="N16">IFERROR(INDEX($F$2:$F$181,SMALL(_xlfn.IFS($G$2:$G$181&lt;$N$2,"",$G$2:$G$181&gt;$N$3,"",ISNUMBER($G$2:$G$181),ROW($A$1:$A$180)),ROW(A13))),"")</f>
        <v/>
      </c>
      <c r="O16" s="8" t="str">
        <f t="array" ref="O16">IFERROR(INDEX($F$2:$F$181,SMALL(_xlfn.IFS($G$2:$G$181&lt;$O$2,"",$G$2:$G$181&gt;$O$3,"",ISNUMBER($G$2:$G$181),ROW($A$1:$A$180)),ROW(A13))),"")</f>
        <v/>
      </c>
      <c r="P16" s="8" t="str">
        <f t="array" ref="P16">IFERROR(INDEX($F$2:$F$181,SMALL(_xlfn.IFS($G$2:$G$181&lt;$P$2,"",$G$2:$G$181&gt;$P$3,"",ISNUMBER($G$2:$G$181),ROW($A$1:$A$180)),ROW(A13))),"")</f>
        <v/>
      </c>
      <c r="Q16" s="8" t="str">
        <f t="array" ref="Q16">IFERROR(INDEX($F$2:$F$181,SMALL(_xlfn.IFS($G$2:$G$181&lt;$Q$2,"",$G$2:$G$181&gt;$Q$3,"",ISNUMBER($G$2:$G$181),ROW($A$1:$A$180)),ROW(A13))),"")</f>
        <v/>
      </c>
      <c r="R16" s="8" t="str">
        <f t="array" ref="R16">IFERROR(INDEX($F$2:$F$181,SMALL(_xlfn.IFS($G$2:$G$181&lt;$R$2,"",$G$2:$G$181&gt;$R$3,"",ISNUMBER($G$2:$G$181),ROW($A$1:$A$180)),ROW(A13))),"")</f>
        <v/>
      </c>
      <c r="S16" s="9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  <c r="V16" s="5" t="str" cm="1">
        <f t="array" ref="V16">IFERROR(INDEX($F$2:$F$181,SMALL(_xlfn.IFS($G$2:$G$181&lt;V$2,"",$G$2:$G$181&gt;V$3,"",ISNUMBER($G$2:$G$181),ROW($A$1:$A$180)),ROW(B13))),"")</f>
        <v/>
      </c>
      <c r="W16" s="5" t="str" cm="1">
        <f t="array" ref="W16">IFERROR(INDEX($F$2:$F$181,SMALL(_xlfn.IFS($G$2:$G$181&lt;W$2,"",$G$2:$G$181&gt;W$3,"",ISNUMBER($G$2:$G$181),ROW($A$1:$A$180)),ROW(C13))),"")</f>
        <v/>
      </c>
      <c r="X16" s="5" t="str" cm="1">
        <f t="array" ref="X16">IFERROR(INDEX($F$2:$F$181,SMALL(_xlfn.IFS($G$2:$G$181&lt;X$2,"",$G$2:$G$181&gt;X$3,"",ISNUMBER($G$2:$G$181),ROW($A$1:$A$180)),ROW(D13))),"")</f>
        <v/>
      </c>
      <c r="Y16" s="5" t="str" cm="1">
        <f t="array" ref="Y16">IFERROR(INDEX($F$2:$F$181,SMALL(_xlfn.IFS($G$2:$G$181&lt;Y$2,"",$G$2:$G$181&gt;Y$3,"",ISNUMBER($G$2:$G$181),ROW($A$1:$A$180)),ROW(E13))),"")</f>
        <v/>
      </c>
    </row>
    <row r="17" spans="1:25" ht="14.55" thickTop="1" x14ac:dyDescent="0.3">
      <c r="A17" s="78"/>
      <c r="B17" s="84">
        <v>3</v>
      </c>
      <c r="C17" s="7" t="s">
        <v>4</v>
      </c>
      <c r="D17" s="7" t="s">
        <v>57</v>
      </c>
      <c r="E17" s="7"/>
      <c r="F17" s="27" t="e">
        <f t="shared" si="9"/>
        <v>#DIV/0!</v>
      </c>
      <c r="G17" s="6"/>
      <c r="H17" s="5">
        <f t="array" ref="H17">IFERROR(INDEX($F$2:$F$181,SMALL(IF($G$2:$G$181=4,ROW($A$1:$A$163),""),ROW(A3))),"")</f>
        <v>2000000</v>
      </c>
      <c r="I17" s="5">
        <f>AVERAGE(H15:H17)</f>
        <v>1650000</v>
      </c>
      <c r="J17" s="35">
        <f>STDEV(H15:H17)</f>
        <v>627992.83435402345</v>
      </c>
      <c r="K17" s="37" t="str">
        <f t="array" ref="K17">IFERROR(INDEX($I$2:$I$81,SMALL(IF(ISNUMBER($I$2:$I$81),ROW($A$1:$A$80),""),ROW(A16))),"")</f>
        <v/>
      </c>
      <c r="L17" s="37" t="str">
        <f t="array" ref="L17">IFERROR(INDEX($J$2:$J$81,SMALL(IF(ISNUMBER($J$2:$J$81),ROW($A$1:$A$80),""),ROW(A16))),"")</f>
        <v/>
      </c>
      <c r="M17" s="60"/>
      <c r="N17" s="8" t="str">
        <f t="array" ref="N17">IFERROR(INDEX($F$2:$F$181,SMALL(_xlfn.IFS($G$2:$G$181&lt;$N$2,"",$G$2:$G$181&gt;$N$3,"",ISNUMBER($G$2:$G$181),ROW($A$1:$A$180)),ROW(A14))),"")</f>
        <v/>
      </c>
      <c r="O17" s="8" t="str">
        <f t="array" ref="O17">IFERROR(INDEX($F$2:$F$181,SMALL(_xlfn.IFS($G$2:$G$181&lt;$O$2,"",$G$2:$G$181&gt;$O$3,"",ISNUMBER($G$2:$G$181),ROW($A$1:$A$180)),ROW(A14))),"")</f>
        <v/>
      </c>
      <c r="P17" s="8" t="str">
        <f t="array" ref="P17">IFERROR(INDEX($F$2:$F$181,SMALL(_xlfn.IFS($G$2:$G$181&lt;$P$2,"",$G$2:$G$181&gt;$P$3,"",ISNUMBER($G$2:$G$181),ROW($A$1:$A$180)),ROW(A14))),"")</f>
        <v/>
      </c>
      <c r="Q17" s="8" t="str">
        <f t="array" ref="Q17">IFERROR(INDEX($F$2:$F$181,SMALL(_xlfn.IFS($G$2:$G$181&lt;$Q$2,"",$G$2:$G$181&gt;$Q$3,"",ISNUMBER($G$2:$G$181),ROW($A$1:$A$180)),ROW(A14))),"")</f>
        <v/>
      </c>
      <c r="R17" s="8" t="str">
        <f t="array" ref="R17">IFERROR(INDEX($F$2:$F$181,SMALL(_xlfn.IFS($G$2:$G$181&lt;$R$2,"",$G$2:$G$181&gt;$R$3,"",ISNUMBER($G$2:$G$181),ROW($A$1:$A$180)),ROW(A14))),"")</f>
        <v/>
      </c>
      <c r="S17" s="9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  <c r="V17" s="5" t="str" cm="1">
        <f t="array" ref="V17">IFERROR(INDEX($F$2:$F$181,SMALL(_xlfn.IFS($G$2:$G$181&lt;V$2,"",$G$2:$G$181&gt;V$3,"",ISNUMBER($G$2:$G$181),ROW($A$1:$A$180)),ROW(B14))),"")</f>
        <v/>
      </c>
      <c r="W17" s="5" t="str" cm="1">
        <f t="array" ref="W17">IFERROR(INDEX($F$2:$F$181,SMALL(_xlfn.IFS($G$2:$G$181&lt;W$2,"",$G$2:$G$181&gt;W$3,"",ISNUMBER($G$2:$G$181),ROW($A$1:$A$180)),ROW(C14))),"")</f>
        <v/>
      </c>
      <c r="X17" s="5" t="str" cm="1">
        <f t="array" ref="X17">IFERROR(INDEX($F$2:$F$181,SMALL(_xlfn.IFS($G$2:$G$181&lt;X$2,"",$G$2:$G$181&gt;X$3,"",ISNUMBER($G$2:$G$181),ROW($A$1:$A$180)),ROW(D14))),"")</f>
        <v/>
      </c>
      <c r="Y17" s="5" t="str" cm="1">
        <f t="array" ref="Y17">IFERROR(INDEX($F$2:$F$181,SMALL(_xlfn.IFS($G$2:$G$181&lt;Y$2,"",$G$2:$G$181&gt;Y$3,"",ISNUMBER($G$2:$G$181),ROW($A$1:$A$180)),ROW(E14))),"")</f>
        <v/>
      </c>
    </row>
    <row r="18" spans="1:25" x14ac:dyDescent="0.3">
      <c r="A18" s="78"/>
      <c r="B18" s="82"/>
      <c r="C18" s="10" t="s">
        <v>2</v>
      </c>
      <c r="D18" s="10">
        <v>33</v>
      </c>
      <c r="E18" s="10">
        <v>33</v>
      </c>
      <c r="F18" s="28">
        <f t="shared" si="10"/>
        <v>4125000</v>
      </c>
      <c r="G18" s="6">
        <v>3</v>
      </c>
      <c r="H18" s="5" t="s">
        <v>15</v>
      </c>
      <c r="J18" s="36"/>
      <c r="K18" s="37" t="str">
        <f t="array" ref="K18">IFERROR(INDEX($I$2:$I$81,SMALL(IF(ISNUMBER($I$2:$I$81),ROW($A$1:$A$80),""),ROW(A17))),"")</f>
        <v/>
      </c>
      <c r="L18" s="37" t="str">
        <f t="array" ref="L18">IFERROR(INDEX($J$2:$J$81,SMALL(IF(ISNUMBER($J$2:$J$81),ROW($A$1:$A$80),""),ROW(A17))),"")</f>
        <v/>
      </c>
      <c r="M18" s="60"/>
      <c r="N18" s="8" t="str">
        <f t="array" ref="N18">IFERROR(INDEX($F$2:$F$181,SMALL(_xlfn.IFS($G$2:$G$181&lt;$N$2,"",$G$2:$G$181&gt;$N$3,"",ISNUMBER($G$2:$G$181),ROW($A$1:$A$180)),ROW(A15))),"")</f>
        <v/>
      </c>
      <c r="O18" s="8" t="str">
        <f t="array" ref="O18">IFERROR(INDEX($F$2:$F$181,SMALL(_xlfn.IFS($G$2:$G$181&lt;$O$2,"",$G$2:$G$181&gt;$O$3,"",ISNUMBER($G$2:$G$181),ROW($A$1:$A$180)),ROW(A15))),"")</f>
        <v/>
      </c>
      <c r="P18" s="8" t="str">
        <f t="array" ref="P18">IFERROR(INDEX($F$2:$F$181,SMALL(_xlfn.IFS($G$2:$G$181&lt;$P$2,"",$G$2:$G$181&gt;$P$3,"",ISNUMBER($G$2:$G$181),ROW($A$1:$A$180)),ROW(A15))),"")</f>
        <v/>
      </c>
      <c r="Q18" s="8" t="str">
        <f t="array" ref="Q18">IFERROR(INDEX($F$2:$F$181,SMALL(_xlfn.IFS($G$2:$G$181&lt;$Q$2,"",$G$2:$G$181&gt;$Q$3,"",ISNUMBER($G$2:$G$181),ROW($A$1:$A$180)),ROW(A15))),"")</f>
        <v/>
      </c>
      <c r="R18" s="8" t="str">
        <f t="array" ref="R18">IFERROR(INDEX($F$2:$F$181,SMALL(_xlfn.IFS($G$2:$G$181&lt;$R$2,"",$G$2:$G$181&gt;$R$3,"",ISNUMBER($G$2:$G$181),ROW($A$1:$A$180)),ROW(A15))),"")</f>
        <v/>
      </c>
      <c r="S18" s="9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  <c r="V18" s="5" t="str" cm="1">
        <f t="array" ref="V18">IFERROR(INDEX($F$2:$F$181,SMALL(_xlfn.IFS($G$2:$G$181&lt;V$2,"",$G$2:$G$181&gt;V$3,"",ISNUMBER($G$2:$G$181),ROW($A$1:$A$180)),ROW(B15))),"")</f>
        <v/>
      </c>
      <c r="W18" s="5" t="str" cm="1">
        <f t="array" ref="W18">IFERROR(INDEX($F$2:$F$181,SMALL(_xlfn.IFS($G$2:$G$181&lt;W$2,"",$G$2:$G$181&gt;W$3,"",ISNUMBER($G$2:$G$181),ROW($A$1:$A$180)),ROW(C15))),"")</f>
        <v/>
      </c>
      <c r="X18" s="5" t="str" cm="1">
        <f t="array" ref="X18">IFERROR(INDEX($F$2:$F$181,SMALL(_xlfn.IFS($G$2:$G$181&lt;X$2,"",$G$2:$G$181&gt;X$3,"",ISNUMBER($G$2:$G$181),ROW($A$1:$A$180)),ROW(D15))),"")</f>
        <v/>
      </c>
      <c r="Y18" s="5" t="str" cm="1">
        <f t="array" ref="Y18">IFERROR(INDEX($F$2:$F$181,SMALL(_xlfn.IFS($G$2:$G$181&lt;Y$2,"",$G$2:$G$181&gt;Y$3,"",ISNUMBER($G$2:$G$181),ROW($A$1:$A$180)),ROW(E15))),"")</f>
        <v/>
      </c>
    </row>
    <row r="19" spans="1:25" ht="14.55" thickBot="1" x14ac:dyDescent="0.35">
      <c r="A19" s="79"/>
      <c r="B19" s="85"/>
      <c r="C19" s="31" t="s">
        <v>3</v>
      </c>
      <c r="D19" s="31" t="s">
        <v>56</v>
      </c>
      <c r="E19" s="31"/>
      <c r="F19" s="29" t="e">
        <f t="shared" si="11"/>
        <v>#DIV/0!</v>
      </c>
      <c r="G19" s="6"/>
      <c r="H19" s="5">
        <f t="array" ref="H19">IFERROR(INDEX($F$2:$F$181,SMALL(IF($G$2:$G$181=5,ROW($A$1:$A$163),""),ROW(A1))),"")</f>
        <v>3562500</v>
      </c>
      <c r="J19" s="36"/>
      <c r="K19" s="37" t="str">
        <f t="array" ref="K19">IFERROR(INDEX($I$2:$I$81,SMALL(IF(ISNUMBER($I$2:$I$81),ROW($A$1:$A$80),""),ROW(A18))),"")</f>
        <v/>
      </c>
      <c r="L19" s="37" t="str">
        <f t="array" ref="L19">IFERROR(INDEX($J$2:$J$81,SMALL(IF(ISNUMBER($J$2:$J$81),ROW($A$1:$A$80),""),ROW(A18))),"")</f>
        <v/>
      </c>
      <c r="M19" s="60"/>
      <c r="N19" s="8" t="str">
        <f t="array" ref="N19">IFERROR(INDEX($F$2:$F$181,SMALL(_xlfn.IFS($G$2:$G$181&lt;$N$2,"",$G$2:$G$181&gt;$N$3,"",ISNUMBER($G$2:$G$181),ROW($A$1:$A$180)),ROW(A16))),"")</f>
        <v/>
      </c>
      <c r="O19" s="8" t="str">
        <f t="array" ref="O19">IFERROR(INDEX($F$2:$F$181,SMALL(_xlfn.IFS($G$2:$G$181&lt;$O$2,"",$G$2:$G$181&gt;$O$3,"",ISNUMBER($G$2:$G$181),ROW($A$1:$A$180)),ROW(A16))),"")</f>
        <v/>
      </c>
      <c r="P19" s="8" t="str">
        <f t="array" ref="P19">IFERROR(INDEX($F$2:$F$181,SMALL(_xlfn.IFS($G$2:$G$181&lt;$P$2,"",$G$2:$G$181&gt;$P$3,"",ISNUMBER($G$2:$G$181),ROW($A$1:$A$180)),ROW(A16))),"")</f>
        <v/>
      </c>
      <c r="Q19" s="8" t="str">
        <f t="array" ref="Q19">IFERROR(INDEX($F$2:$F$181,SMALL(_xlfn.IFS($G$2:$G$181&lt;$Q$2,"",$G$2:$G$181&gt;$Q$3,"",ISNUMBER($G$2:$G$181),ROW($A$1:$A$180)),ROW(A16))),"")</f>
        <v/>
      </c>
      <c r="R19" s="8" t="str">
        <f t="array" ref="R19">IFERROR(INDEX($F$2:$F$181,SMALL(_xlfn.IFS($G$2:$G$181&lt;$R$2,"",$G$2:$G$181&gt;$R$3,"",ISNUMBER($G$2:$G$181),ROW($A$1:$A$180)),ROW(A16))),"")</f>
        <v/>
      </c>
      <c r="S19" s="9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  <c r="V19" s="5" t="str" cm="1">
        <f t="array" ref="V19">IFERROR(INDEX($F$2:$F$181,SMALL(_xlfn.IFS($G$2:$G$181&lt;V$2,"",$G$2:$G$181&gt;V$3,"",ISNUMBER($G$2:$G$181),ROW($A$1:$A$180)),ROW(B16))),"")</f>
        <v/>
      </c>
      <c r="W19" s="5" t="str" cm="1">
        <f t="array" ref="W19">IFERROR(INDEX($F$2:$F$181,SMALL(_xlfn.IFS($G$2:$G$181&lt;W$2,"",$G$2:$G$181&gt;W$3,"",ISNUMBER($G$2:$G$181),ROW($A$1:$A$180)),ROW(C16))),"")</f>
        <v/>
      </c>
      <c r="X19" s="5" t="str" cm="1">
        <f t="array" ref="X19">IFERROR(INDEX($F$2:$F$181,SMALL(_xlfn.IFS($G$2:$G$181&lt;X$2,"",$G$2:$G$181&gt;X$3,"",ISNUMBER($G$2:$G$181),ROW($A$1:$A$180)),ROW(D16))),"")</f>
        <v/>
      </c>
      <c r="Y19" s="5" t="str" cm="1">
        <f t="array" ref="Y19">IFERROR(INDEX($F$2:$F$181,SMALL(_xlfn.IFS($G$2:$G$181&lt;Y$2,"",$G$2:$G$181&gt;Y$3,"",ISNUMBER($G$2:$G$181),ROW($A$1:$A$180)),ROW(E16))),"")</f>
        <v/>
      </c>
    </row>
    <row r="20" spans="1:25" ht="14.55" thickTop="1" x14ac:dyDescent="0.3">
      <c r="A20" s="77" t="s">
        <v>59</v>
      </c>
      <c r="B20" s="81">
        <v>1</v>
      </c>
      <c r="C20" s="26" t="s">
        <v>4</v>
      </c>
      <c r="D20" s="53">
        <v>285</v>
      </c>
      <c r="E20" s="53"/>
      <c r="F20" s="27">
        <f t="shared" si="9"/>
        <v>3562500</v>
      </c>
      <c r="G20" s="6">
        <v>5</v>
      </c>
      <c r="H20" s="5">
        <f t="array" ref="H20">IFERROR(INDEX($F$2:$F$181,SMALL(IF($G$2:$G$181=5,ROW($A$1:$A$163),""),ROW(A2))),"")</f>
        <v>5875000</v>
      </c>
      <c r="J20" s="36"/>
      <c r="K20" s="37" t="str">
        <f t="array" ref="K20">IFERROR(INDEX($I$2:$I$81,SMALL(IF(ISNUMBER($I$2:$I$81),ROW($A$1:$A$80),""),ROW(A19))),"")</f>
        <v/>
      </c>
      <c r="L20" s="37" t="str">
        <f t="array" ref="L20">IFERROR(INDEX($J$2:$J$81,SMALL(IF(ISNUMBER($J$2:$J$81),ROW($A$1:$A$80),""),ROW(A19))),"")</f>
        <v/>
      </c>
      <c r="M20" s="60"/>
      <c r="N20" s="8" t="str">
        <f t="array" ref="N20">IFERROR(INDEX($F$2:$F$181,SMALL(_xlfn.IFS($G$2:$G$181&lt;$N$2,"",$G$2:$G$181&gt;$N$3,"",ISNUMBER($G$2:$G$181),ROW($A$1:$A$180)),ROW(A17))),"")</f>
        <v/>
      </c>
      <c r="O20" s="8" t="str">
        <f t="array" ref="O20">IFERROR(INDEX($F$2:$F$181,SMALL(_xlfn.IFS($G$2:$G$181&lt;$O$2,"",$G$2:$G$181&gt;$O$3,"",ISNUMBER($G$2:$G$181),ROW($A$1:$A$180)),ROW(A17))),"")</f>
        <v/>
      </c>
      <c r="P20" s="8" t="str">
        <f t="array" ref="P20">IFERROR(INDEX($F$2:$F$181,SMALL(_xlfn.IFS($G$2:$G$181&lt;$P$2,"",$G$2:$G$181&gt;$P$3,"",ISNUMBER($G$2:$G$181),ROW($A$1:$A$180)),ROW(A17))),"")</f>
        <v/>
      </c>
      <c r="Q20" s="8" t="str">
        <f t="array" ref="Q20">IFERROR(INDEX($F$2:$F$181,SMALL(_xlfn.IFS($G$2:$G$181&lt;$Q$2,"",$G$2:$G$181&gt;$Q$3,"",ISNUMBER($G$2:$G$181),ROW($A$1:$A$180)),ROW(A17))),"")</f>
        <v/>
      </c>
      <c r="R20" s="8" t="str">
        <f t="array" ref="R20">IFERROR(INDEX($F$2:$F$181,SMALL(_xlfn.IFS($G$2:$G$181&lt;$R$2,"",$G$2:$G$181&gt;$R$3,"",ISNUMBER($G$2:$G$181),ROW($A$1:$A$180)),ROW(A17))),"")</f>
        <v/>
      </c>
      <c r="S20" s="9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  <c r="V20" s="5" t="str" cm="1">
        <f t="array" ref="V20">IFERROR(INDEX($F$2:$F$181,SMALL(_xlfn.IFS($G$2:$G$181&lt;V$2,"",$G$2:$G$181&gt;V$3,"",ISNUMBER($G$2:$G$181),ROW($A$1:$A$180)),ROW(B17))),"")</f>
        <v/>
      </c>
      <c r="W20" s="5" t="str" cm="1">
        <f t="array" ref="W20">IFERROR(INDEX($F$2:$F$181,SMALL(_xlfn.IFS($G$2:$G$181&lt;W$2,"",$G$2:$G$181&gt;W$3,"",ISNUMBER($G$2:$G$181),ROW($A$1:$A$180)),ROW(C17))),"")</f>
        <v/>
      </c>
      <c r="X20" s="5" t="str" cm="1">
        <f t="array" ref="X20">IFERROR(INDEX($F$2:$F$181,SMALL(_xlfn.IFS($G$2:$G$181&lt;X$2,"",$G$2:$G$181&gt;X$3,"",ISNUMBER($G$2:$G$181),ROW($A$1:$A$180)),ROW(D17))),"")</f>
        <v/>
      </c>
      <c r="Y20" s="5" t="str" cm="1">
        <f t="array" ref="Y20">IFERROR(INDEX($F$2:$F$181,SMALL(_xlfn.IFS($G$2:$G$181&lt;Y$2,"",$G$2:$G$181&gt;Y$3,"",ISNUMBER($G$2:$G$181),ROW($A$1:$A$180)),ROW(E17))),"")</f>
        <v/>
      </c>
    </row>
    <row r="21" spans="1:25" x14ac:dyDescent="0.3">
      <c r="A21" s="78"/>
      <c r="B21" s="82"/>
      <c r="C21" s="10" t="s">
        <v>2</v>
      </c>
      <c r="D21" s="10">
        <v>16</v>
      </c>
      <c r="E21" s="10">
        <v>19</v>
      </c>
      <c r="F21" s="28">
        <f t="shared" si="10"/>
        <v>2187500</v>
      </c>
      <c r="G21" s="6"/>
      <c r="H21" s="5">
        <f t="array" ref="H21">IFERROR(INDEX($F$2:$F$181,SMALL(IF($G$2:$G$181=5,ROW($A$1:$A$163),""),ROW(A3))),"")</f>
        <v>5875000</v>
      </c>
      <c r="I21" s="5">
        <f>AVERAGE(H19:H21)</f>
        <v>5104166.666666667</v>
      </c>
      <c r="J21" s="35">
        <f>STDEV(H19:H21)</f>
        <v>1335122.4975010105</v>
      </c>
      <c r="K21" s="37" t="str">
        <f t="array" ref="K21">IFERROR(INDEX($I$2:$I$81,SMALL(IF(ISNUMBER($I$2:$I$81),ROW($A$1:$A$80),""),ROW(A20))),"")</f>
        <v/>
      </c>
      <c r="L21" s="37" t="str">
        <f t="array" ref="L21">IFERROR(INDEX($J$2:$J$81,SMALL(IF(ISNUMBER($J$2:$J$81),ROW($A$1:$A$80),""),ROW(A20))),"")</f>
        <v/>
      </c>
      <c r="M21" s="60"/>
      <c r="N21" s="8" t="str">
        <f t="array" ref="N21">IFERROR(INDEX($F$2:$F$181,SMALL(_xlfn.IFS($G$2:$G$181&lt;$N$2,"",$G$2:$G$181&gt;$N$3,"",ISNUMBER($G$2:$G$181),ROW($A$1:$A$180)),ROW(A18))),"")</f>
        <v/>
      </c>
      <c r="O21" s="8" t="str">
        <f t="array" ref="O21">IFERROR(INDEX($F$2:$F$181,SMALL(_xlfn.IFS($G$2:$G$181&lt;$O$2,"",$G$2:$G$181&gt;$O$3,"",ISNUMBER($G$2:$G$181),ROW($A$1:$A$180)),ROW(A18))),"")</f>
        <v/>
      </c>
      <c r="P21" s="8" t="str">
        <f t="array" ref="P21">IFERROR(INDEX($F$2:$F$181,SMALL(_xlfn.IFS($G$2:$G$181&lt;$P$2,"",$G$2:$G$181&gt;$P$3,"",ISNUMBER($G$2:$G$181),ROW($A$1:$A$180)),ROW(A18))),"")</f>
        <v/>
      </c>
      <c r="Q21" s="8" t="str">
        <f t="array" ref="Q21">IFERROR(INDEX($F$2:$F$181,SMALL(_xlfn.IFS($G$2:$G$181&lt;$Q$2,"",$G$2:$G$181&gt;$Q$3,"",ISNUMBER($G$2:$G$181),ROW($A$1:$A$180)),ROW(A18))),"")</f>
        <v/>
      </c>
      <c r="R21" s="8" t="str">
        <f t="array" ref="R21">IFERROR(INDEX($F$2:$F$181,SMALL(_xlfn.IFS($G$2:$G$181&lt;$R$2,"",$G$2:$G$181&gt;$R$3,"",ISNUMBER($G$2:$G$181),ROW($A$1:$A$180)),ROW(A18))),"")</f>
        <v/>
      </c>
      <c r="S21" s="9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  <c r="V21" s="5" t="str" cm="1">
        <f t="array" ref="V21">IFERROR(INDEX($F$2:$F$181,SMALL(_xlfn.IFS($G$2:$G$181&lt;V$2,"",$G$2:$G$181&gt;V$3,"",ISNUMBER($G$2:$G$181),ROW($A$1:$A$180)),ROW(B18))),"")</f>
        <v/>
      </c>
      <c r="W21" s="5" t="str" cm="1">
        <f t="array" ref="W21">IFERROR(INDEX($F$2:$F$181,SMALL(_xlfn.IFS($G$2:$G$181&lt;W$2,"",$G$2:$G$181&gt;W$3,"",ISNUMBER($G$2:$G$181),ROW($A$1:$A$180)),ROW(C18))),"")</f>
        <v/>
      </c>
      <c r="X21" s="5" t="str" cm="1">
        <f t="array" ref="X21">IFERROR(INDEX($F$2:$F$181,SMALL(_xlfn.IFS($G$2:$G$181&lt;X$2,"",$G$2:$G$181&gt;X$3,"",ISNUMBER($G$2:$G$181),ROW($A$1:$A$180)),ROW(D18))),"")</f>
        <v/>
      </c>
      <c r="Y21" s="5" t="str" cm="1">
        <f t="array" ref="Y21">IFERROR(INDEX($F$2:$F$181,SMALL(_xlfn.IFS($G$2:$G$181&lt;Y$2,"",$G$2:$G$181&gt;Y$3,"",ISNUMBER($G$2:$G$181),ROW($A$1:$A$180)),ROW(E18))),"")</f>
        <v/>
      </c>
    </row>
    <row r="22" spans="1:25" ht="14.55" thickBot="1" x14ac:dyDescent="0.35">
      <c r="A22" s="78"/>
      <c r="B22" s="83"/>
      <c r="C22" s="11" t="s">
        <v>3</v>
      </c>
      <c r="D22" s="11" t="s">
        <v>56</v>
      </c>
      <c r="E22" s="11"/>
      <c r="F22" s="29" t="e">
        <f t="shared" si="11"/>
        <v>#DIV/0!</v>
      </c>
      <c r="G22" s="6"/>
      <c r="H22" s="5" t="s">
        <v>16</v>
      </c>
      <c r="J22" s="36"/>
      <c r="K22" s="37" t="str">
        <f t="array" ref="K22">IFERROR(INDEX($I$2:$I$81,SMALL(IF(ISNUMBER($I$2:$I$81),ROW($A$1:$A$80),""),ROW(A21))),"")</f>
        <v/>
      </c>
      <c r="L22" s="37" t="str">
        <f t="array" ref="L22">IFERROR(INDEX($J$2:$J$81,SMALL(IF(ISNUMBER($J$2:$J$81),ROW($A$1:$A$80),""),ROW(A21))),"")</f>
        <v/>
      </c>
      <c r="M22" s="61"/>
      <c r="N22" s="42" t="s">
        <v>35</v>
      </c>
      <c r="O22" s="42" t="s">
        <v>36</v>
      </c>
      <c r="P22" s="42" t="s">
        <v>37</v>
      </c>
      <c r="Q22" s="42" t="s">
        <v>38</v>
      </c>
      <c r="R22" s="43" t="s">
        <v>39</v>
      </c>
      <c r="S22" s="43" t="s">
        <v>40</v>
      </c>
      <c r="T22" s="41" t="s">
        <v>41</v>
      </c>
      <c r="U22" s="41" t="s">
        <v>42</v>
      </c>
      <c r="V22" s="41" t="s">
        <v>42</v>
      </c>
      <c r="W22" s="41" t="s">
        <v>42</v>
      </c>
      <c r="X22" s="41" t="s">
        <v>42</v>
      </c>
      <c r="Y22" s="41" t="s">
        <v>42</v>
      </c>
    </row>
    <row r="23" spans="1:25" ht="14.55" thickTop="1" x14ac:dyDescent="0.3">
      <c r="A23" s="78"/>
      <c r="B23" s="84">
        <v>2</v>
      </c>
      <c r="C23" s="7" t="s">
        <v>4</v>
      </c>
      <c r="D23" s="54" t="s">
        <v>57</v>
      </c>
      <c r="E23" s="54"/>
      <c r="F23" s="27" t="e">
        <f t="shared" si="9"/>
        <v>#DIV/0!</v>
      </c>
      <c r="G23" s="6"/>
      <c r="H23" s="5">
        <f t="array" ref="H23">IFERROR(INDEX($F$2:$F$181,SMALL(IF($G$2:$G$181=6,ROW($A$1:$A$163),""),ROW(A1))),"")</f>
        <v>900000</v>
      </c>
      <c r="J23" s="36"/>
      <c r="K23" s="37" t="str">
        <f t="array" ref="K23">IFERROR(INDEX($I$2:$I$81,SMALL(IF(ISNUMBER($I$2:$I$81),ROW($A$1:$A$80),""),ROW(A22))),"")</f>
        <v/>
      </c>
      <c r="L23" s="37" t="str">
        <f t="array" ref="L23">IFERROR(INDEX($J$2:$J$81,SMALL(IF(ISNUMBER($J$2:$J$81),ROW($A$1:$A$80),""),ROW(A22))),"")</f>
        <v/>
      </c>
      <c r="M23" s="61"/>
      <c r="N23" s="8">
        <f>AVERAGE(N4:N21)</f>
        <v>4483333.333333333</v>
      </c>
      <c r="O23" s="8">
        <f t="shared" ref="O23:Y23" si="12">AVERAGE(O4:O21)</f>
        <v>327083.33333333331</v>
      </c>
      <c r="P23" s="8">
        <f t="shared" si="12"/>
        <v>5104166.666666667</v>
      </c>
      <c r="Q23" s="8">
        <f t="shared" si="12"/>
        <v>1016666.6666666666</v>
      </c>
      <c r="R23" s="8">
        <f t="shared" si="12"/>
        <v>3558333.3333333335</v>
      </c>
      <c r="S23" s="8">
        <f t="shared" si="12"/>
        <v>447083.33333333331</v>
      </c>
      <c r="T23" s="8">
        <f t="shared" si="12"/>
        <v>5161904.7619047621</v>
      </c>
      <c r="U23" s="8">
        <f t="shared" si="12"/>
        <v>512500</v>
      </c>
      <c r="V23" s="8">
        <f t="shared" si="12"/>
        <v>3737500</v>
      </c>
      <c r="W23" s="8">
        <f t="shared" si="12"/>
        <v>1650000</v>
      </c>
      <c r="X23" s="8">
        <f t="shared" si="12"/>
        <v>3708333.3333333335</v>
      </c>
      <c r="Y23" s="8">
        <f t="shared" si="12"/>
        <v>564583.33333333337</v>
      </c>
    </row>
    <row r="24" spans="1:25" x14ac:dyDescent="0.3">
      <c r="A24" s="78"/>
      <c r="B24" s="82"/>
      <c r="C24" s="10" t="s">
        <v>2</v>
      </c>
      <c r="D24" s="10">
        <v>54</v>
      </c>
      <c r="E24" s="10">
        <v>40</v>
      </c>
      <c r="F24" s="28">
        <f t="shared" si="10"/>
        <v>5875000</v>
      </c>
      <c r="G24" s="6">
        <v>5</v>
      </c>
      <c r="H24" s="5">
        <f t="array" ref="H24">IFERROR(INDEX($F$2:$F$181,SMALL(IF($G$2:$G$181=6,ROW($A$1:$A$163),""),ROW(A2))),"")</f>
        <v>937500</v>
      </c>
      <c r="J24" s="36"/>
      <c r="K24" s="37" t="str">
        <f t="array" ref="K24">IFERROR(INDEX($I$2:$I$81,SMALL(IF(ISNUMBER($I$2:$I$81),ROW($A$1:$A$80),""),ROW(A23))),"")</f>
        <v/>
      </c>
      <c r="L24" s="37" t="str">
        <f t="array" ref="L24">IFERROR(INDEX($J$2:$J$81,SMALL(IF(ISNUMBER($J$2:$J$81),ROW($A$1:$A$80),""),ROW(A23))),"")</f>
        <v/>
      </c>
      <c r="M24" s="61"/>
      <c r="N24" s="42" t="s">
        <v>43</v>
      </c>
      <c r="O24" s="42" t="s">
        <v>44</v>
      </c>
      <c r="P24" s="42" t="s">
        <v>45</v>
      </c>
      <c r="Q24" s="42" t="s">
        <v>46</v>
      </c>
      <c r="R24" s="43" t="s">
        <v>47</v>
      </c>
      <c r="S24" s="43" t="s">
        <v>48</v>
      </c>
      <c r="T24" s="41" t="s">
        <v>50</v>
      </c>
      <c r="U24" s="41" t="s">
        <v>49</v>
      </c>
      <c r="V24" s="41" t="s">
        <v>49</v>
      </c>
      <c r="W24" s="41" t="s">
        <v>49</v>
      </c>
      <c r="X24" s="41" t="s">
        <v>49</v>
      </c>
      <c r="Y24" s="41" t="s">
        <v>49</v>
      </c>
    </row>
    <row r="25" spans="1:25" ht="14.55" thickBot="1" x14ac:dyDescent="0.35">
      <c r="A25" s="78"/>
      <c r="B25" s="83"/>
      <c r="C25" s="11" t="s">
        <v>3</v>
      </c>
      <c r="D25" s="11" t="s">
        <v>56</v>
      </c>
      <c r="E25" s="11"/>
      <c r="F25" s="29" t="e">
        <f t="shared" si="11"/>
        <v>#DIV/0!</v>
      </c>
      <c r="G25" s="6"/>
      <c r="H25" s="5">
        <f t="array" ref="H25">IFERROR(INDEX($F$2:$F$181,SMALL(IF($G$2:$G$181=6,ROW($A$1:$A$163),""),ROW(A3))),"")</f>
        <v>1212500</v>
      </c>
      <c r="I25" s="5">
        <f>AVERAGE(H23:H25)</f>
        <v>1016666.6666666666</v>
      </c>
      <c r="J25" s="35">
        <f>STDEV(H23:H25)</f>
        <v>170629.96024536036</v>
      </c>
      <c r="K25" s="37" t="str">
        <f t="array" ref="K25">IFERROR(INDEX($I$2:$I$81,SMALL(IF(ISNUMBER($I$2:$I$81),ROW($A$1:$A$80),""),ROW(A24))),"")</f>
        <v/>
      </c>
      <c r="L25" s="37" t="str">
        <f t="array" ref="L25">IFERROR(INDEX($J$2:$J$81,SMALL(IF(ISNUMBER($J$2:$J$81),ROW($A$1:$A$80),""),ROW(A24))),"")</f>
        <v/>
      </c>
      <c r="M25" s="61"/>
      <c r="N25" s="13">
        <f t="shared" ref="N25:P25" si="13">STDEV(N4:N21)</f>
        <v>972298.60811035417</v>
      </c>
      <c r="O25" s="13">
        <f t="shared" si="13"/>
        <v>170744.38741385716</v>
      </c>
      <c r="P25" s="13">
        <f t="shared" si="13"/>
        <v>1335122.4975010105</v>
      </c>
      <c r="Q25" s="13">
        <f>STDEV(Q4:Q21)</f>
        <v>170629.96024536036</v>
      </c>
      <c r="R25" s="13">
        <f t="shared" ref="R25:Y25" si="14">STDEV(R4:R21)</f>
        <v>1068756.0916005729</v>
      </c>
      <c r="S25" s="13">
        <f t="shared" si="14"/>
        <v>262661.65657235414</v>
      </c>
      <c r="T25" s="13">
        <f t="shared" si="14"/>
        <v>1652785.7333218087</v>
      </c>
      <c r="U25" s="13">
        <f t="shared" si="14"/>
        <v>21650.635094610967</v>
      </c>
      <c r="V25" s="13">
        <f t="shared" si="14"/>
        <v>407546.00967252767</v>
      </c>
      <c r="W25" s="13">
        <f t="shared" si="14"/>
        <v>627992.83435402345</v>
      </c>
      <c r="X25" s="13">
        <f t="shared" si="14"/>
        <v>572048.58476647944</v>
      </c>
      <c r="Y25" s="13">
        <f t="shared" si="14"/>
        <v>659679.23471057764</v>
      </c>
    </row>
    <row r="26" spans="1:25" ht="14.55" thickTop="1" x14ac:dyDescent="0.3">
      <c r="A26" s="78"/>
      <c r="B26" s="84">
        <v>3</v>
      </c>
      <c r="C26" s="7" t="s">
        <v>4</v>
      </c>
      <c r="D26" s="54" t="s">
        <v>57</v>
      </c>
      <c r="E26" s="54"/>
      <c r="F26" s="27" t="e">
        <f t="shared" si="9"/>
        <v>#DIV/0!</v>
      </c>
      <c r="G26" s="6"/>
      <c r="H26" s="5" t="s">
        <v>17</v>
      </c>
      <c r="J26" s="36"/>
      <c r="K26" s="37" t="str">
        <f t="array" ref="K26">IFERROR(INDEX($I$2:$I$81,SMALL(IF(ISNUMBER($I$2:$I$81),ROW($A$1:$A$80),""),ROW(A25))),"")</f>
        <v/>
      </c>
      <c r="L26" s="37" t="str">
        <f t="array" ref="L26">IFERROR(INDEX($J$2:$J$81,SMALL(IF(ISNUMBER($J$2:$J$81),ROW($A$1:$A$80),""),ROW(A25))),"")</f>
        <v/>
      </c>
      <c r="M26" s="60"/>
      <c r="N26" s="13"/>
      <c r="O26" s="8"/>
      <c r="P26" s="8"/>
      <c r="Q26" s="8"/>
      <c r="R26" s="9"/>
      <c r="S26" s="9"/>
    </row>
    <row r="27" spans="1:25" x14ac:dyDescent="0.3">
      <c r="A27" s="78"/>
      <c r="B27" s="82"/>
      <c r="C27" s="10" t="s">
        <v>2</v>
      </c>
      <c r="D27" s="10">
        <v>55</v>
      </c>
      <c r="E27" s="10">
        <v>39</v>
      </c>
      <c r="F27" s="28">
        <f t="shared" si="10"/>
        <v>5875000</v>
      </c>
      <c r="G27" s="6">
        <v>5</v>
      </c>
      <c r="H27" s="5">
        <f t="array" ref="H27">IFERROR(INDEX($F$2:$F$181,SMALL(IF($G$2:$G$181=7,ROW($A$1:$A$163),""),ROW(A1))),"")</f>
        <v>2487500</v>
      </c>
      <c r="J27" s="36"/>
      <c r="K27" s="37" t="str">
        <f t="array" ref="K27">IFERROR(INDEX($I$2:$I$81,SMALL(IF(ISNUMBER($I$2:$I$81),ROW($A$1:$A$80),""),ROW(A26))),"")</f>
        <v/>
      </c>
      <c r="L27" s="37" t="str">
        <f t="array" ref="L27">IFERROR(INDEX($J$2:$J$81,SMALL(IF(ISNUMBER($J$2:$J$81),ROW($A$1:$A$80),""),ROW(A26))),"")</f>
        <v/>
      </c>
      <c r="M27" s="60"/>
      <c r="N27" s="13"/>
      <c r="O27" s="8"/>
      <c r="P27" s="8"/>
      <c r="Q27" s="8"/>
      <c r="R27" s="9"/>
      <c r="S27" s="9"/>
    </row>
    <row r="28" spans="1:25" ht="14.55" thickBot="1" x14ac:dyDescent="0.35">
      <c r="A28" s="79"/>
      <c r="B28" s="85"/>
      <c r="C28" s="31" t="s">
        <v>3</v>
      </c>
      <c r="D28" s="31" t="s">
        <v>56</v>
      </c>
      <c r="E28" s="31"/>
      <c r="F28" s="29" t="e">
        <f t="shared" si="11"/>
        <v>#DIV/0!</v>
      </c>
      <c r="G28" s="6"/>
      <c r="H28" s="5">
        <f t="array" ref="H28">IFERROR(INDEX($F$2:$F$181,SMALL(IF($G$2:$G$181=7,ROW($A$1:$A$163),""),ROW(A2))),"")</f>
        <v>3562500</v>
      </c>
      <c r="J28" s="36"/>
      <c r="K28" s="12"/>
      <c r="L28" s="37" t="str">
        <f t="array" ref="L28">IFERROR(INDEX($J$2:$J$81,SMALL(IF(ISNUMBER($J$2:$J$81),ROW($A$1:$A$80),""),ROW(A27))),"")</f>
        <v/>
      </c>
      <c r="M28" s="60"/>
      <c r="N28" s="13"/>
      <c r="O28" s="8">
        <f>N23/O23</f>
        <v>13.707006369426752</v>
      </c>
      <c r="P28" s="8"/>
      <c r="Q28" s="8">
        <f t="shared" ref="Q28:U28" si="15">P23/Q23</f>
        <v>5.0204918032786887</v>
      </c>
      <c r="R28" s="8"/>
      <c r="S28" s="8">
        <f t="shared" si="15"/>
        <v>7.9589934762348564</v>
      </c>
      <c r="T28" s="8"/>
      <c r="U28" s="8">
        <f t="shared" si="15"/>
        <v>10.072009291521487</v>
      </c>
      <c r="W28" s="5">
        <f>V23/W23</f>
        <v>2.2651515151515151</v>
      </c>
      <c r="Y28" s="5">
        <f>X23/Y23</f>
        <v>6.5682656826568264</v>
      </c>
    </row>
    <row r="29" spans="1:25" ht="14.55" thickTop="1" x14ac:dyDescent="0.3">
      <c r="A29" s="77" t="s">
        <v>60</v>
      </c>
      <c r="B29" s="81">
        <v>1</v>
      </c>
      <c r="C29" s="26" t="s">
        <v>4</v>
      </c>
      <c r="D29" s="53">
        <v>199</v>
      </c>
      <c r="E29" s="53"/>
      <c r="F29" s="27">
        <f t="shared" si="9"/>
        <v>2487500</v>
      </c>
      <c r="G29" s="6">
        <v>7</v>
      </c>
      <c r="H29" s="5">
        <f t="array" ref="H29">IFERROR(INDEX($F$2:$F$181,SMALL(IF($G$2:$G$181=7,ROW($A$1:$A$163),""),ROW(A3))),"")</f>
        <v>4625000</v>
      </c>
      <c r="I29" s="5">
        <f>AVERAGE(H27:H29)</f>
        <v>3558333.3333333335</v>
      </c>
      <c r="J29" s="35">
        <f>STDEV(H27:H29)</f>
        <v>1068756.0916005729</v>
      </c>
      <c r="K29" s="12"/>
      <c r="L29" s="37" t="str">
        <f t="array" ref="L29">IFERROR(INDEX($J$2:$J$81,SMALL(IF(ISNUMBER($J$2:$J$81),ROW($A$1:$A$80),""),ROW(A28))),"")</f>
        <v/>
      </c>
      <c r="M29" s="60"/>
      <c r="N29" s="13"/>
      <c r="O29" s="8"/>
      <c r="P29" s="8"/>
      <c r="Q29" s="8">
        <f>Q23/$O$23</f>
        <v>3.1082802547770703</v>
      </c>
      <c r="R29" s="8"/>
      <c r="S29" s="8">
        <f t="shared" ref="S29:U29" si="16">S23/$O$23</f>
        <v>1.3668789808917197</v>
      </c>
      <c r="T29" s="8"/>
      <c r="U29" s="8">
        <f t="shared" si="16"/>
        <v>1.5668789808917198</v>
      </c>
      <c r="V29" s="8"/>
      <c r="W29" s="8">
        <f t="shared" ref="W29:Y29" si="17">$N$23/W23</f>
        <v>2.7171717171717171</v>
      </c>
      <c r="X29" s="8"/>
      <c r="Y29" s="8">
        <f t="shared" si="17"/>
        <v>7.940959409594095</v>
      </c>
    </row>
    <row r="30" spans="1:25" x14ac:dyDescent="0.3">
      <c r="A30" s="78"/>
      <c r="B30" s="82"/>
      <c r="C30" s="10" t="s">
        <v>2</v>
      </c>
      <c r="D30" s="10">
        <v>12</v>
      </c>
      <c r="E30" s="10">
        <v>12</v>
      </c>
      <c r="F30" s="28">
        <f t="shared" si="10"/>
        <v>1500000</v>
      </c>
      <c r="G30" s="6"/>
      <c r="H30" s="5" t="s">
        <v>18</v>
      </c>
      <c r="J30" s="36"/>
      <c r="K30" s="12"/>
      <c r="L30" s="37" t="str">
        <f t="array" ref="L30">IFERROR(INDEX($J$2:$J$81,SMALL(IF(ISNUMBER($J$2:$J$81),ROW($A$1:$A$80),""),ROW(A29))),"")</f>
        <v/>
      </c>
      <c r="M30" s="37"/>
      <c r="N30" s="13"/>
      <c r="O30" s="8"/>
      <c r="P30" s="8"/>
      <c r="Q30" s="8"/>
      <c r="R30" s="9"/>
      <c r="S30" s="9"/>
    </row>
    <row r="31" spans="1:25" ht="14.55" thickBot="1" x14ac:dyDescent="0.35">
      <c r="A31" s="78"/>
      <c r="B31" s="83"/>
      <c r="C31" s="11" t="s">
        <v>3</v>
      </c>
      <c r="D31" s="11" t="s">
        <v>56</v>
      </c>
      <c r="E31" s="11"/>
      <c r="F31" s="29" t="e">
        <f t="shared" si="11"/>
        <v>#DIV/0!</v>
      </c>
      <c r="G31" s="6"/>
      <c r="H31" s="5">
        <f t="array" ref="H31">IFERROR(INDEX($F$2:$F$181,SMALL(IF($G$2:$G$181=8,ROW($A$1:$A$163),""),ROW(A1))),"")</f>
        <v>750000</v>
      </c>
      <c r="J31" s="36"/>
      <c r="K31" s="12"/>
      <c r="L31" s="37" t="str">
        <f t="array" ref="L31">IFERROR(INDEX($J$2:$J$81,SMALL(IF(ISNUMBER($J$2:$J$81),ROW($A$1:$A$80),""),ROW(A30))),"")</f>
        <v/>
      </c>
      <c r="M31" s="37"/>
      <c r="N31" s="13"/>
      <c r="O31" s="8"/>
      <c r="P31" s="8"/>
      <c r="Q31" s="8"/>
      <c r="R31" s="9"/>
      <c r="S31" s="9"/>
      <c r="T31" s="8"/>
      <c r="U31" s="8"/>
    </row>
    <row r="32" spans="1:25" ht="14.55" thickTop="1" x14ac:dyDescent="0.3">
      <c r="A32" s="78"/>
      <c r="B32" s="84">
        <v>2</v>
      </c>
      <c r="C32" s="7" t="s">
        <v>4</v>
      </c>
      <c r="D32" s="54" t="s">
        <v>57</v>
      </c>
      <c r="E32" s="54"/>
      <c r="F32" s="27" t="e">
        <f t="shared" si="9"/>
        <v>#DIV/0!</v>
      </c>
      <c r="G32" s="6"/>
      <c r="H32" s="5">
        <f t="array" ref="H32">IFERROR(INDEX($F$2:$F$181,SMALL(IF($G$2:$G$181=8,ROW($A$1:$A$163),""),ROW(A2))),"")</f>
        <v>308750</v>
      </c>
      <c r="J32" s="36"/>
      <c r="K32" s="12"/>
      <c r="L32" s="37" t="str">
        <f t="array" ref="L32">IFERROR(INDEX($J$2:$J$81,SMALL(IF(ISNUMBER($J$2:$J$81),ROW($A$1:$A$80),""),ROW(A31))),"")</f>
        <v/>
      </c>
      <c r="M32" s="37"/>
      <c r="N32" s="13"/>
      <c r="O32" s="8"/>
      <c r="P32" s="8"/>
      <c r="Q32" s="8"/>
      <c r="R32" s="9"/>
      <c r="S32" s="9"/>
      <c r="T32" s="13"/>
      <c r="U32" s="13"/>
    </row>
    <row r="33" spans="1:19" x14ac:dyDescent="0.3">
      <c r="A33" s="78"/>
      <c r="B33" s="82"/>
      <c r="C33" s="10" t="s">
        <v>2</v>
      </c>
      <c r="D33" s="10">
        <v>31</v>
      </c>
      <c r="E33" s="10">
        <v>26</v>
      </c>
      <c r="F33" s="28">
        <f t="shared" si="10"/>
        <v>3562500</v>
      </c>
      <c r="G33" s="6">
        <v>7</v>
      </c>
      <c r="H33" s="5">
        <f t="array" ref="H33">IFERROR(INDEX($F$2:$F$181,SMALL(IF($G$2:$G$181=8,ROW($A$1:$A$163),""),ROW(A3))),"")</f>
        <v>282500</v>
      </c>
      <c r="I33" s="5">
        <f>AVERAGE(H31:H33)</f>
        <v>447083.33333333331</v>
      </c>
      <c r="J33" s="35">
        <f>STDEV(H31:H33)</f>
        <v>262661.65657235414</v>
      </c>
      <c r="K33" s="12"/>
      <c r="L33" s="37" t="str">
        <f t="array" ref="L33">IFERROR(INDEX($J$2:$J$81,SMALL(IF(ISNUMBER($J$2:$J$81),ROW($A$1:$A$80),""),ROW(A32))),"")</f>
        <v/>
      </c>
      <c r="M33" s="60"/>
      <c r="N33" s="13"/>
      <c r="O33" s="8"/>
      <c r="P33" s="8"/>
      <c r="Q33" s="8"/>
      <c r="R33" s="9"/>
      <c r="S33" s="9"/>
    </row>
    <row r="34" spans="1:19" ht="14.55" thickBot="1" x14ac:dyDescent="0.35">
      <c r="A34" s="78"/>
      <c r="B34" s="83"/>
      <c r="C34" s="11" t="s">
        <v>3</v>
      </c>
      <c r="D34" s="11" t="s">
        <v>56</v>
      </c>
      <c r="E34" s="11"/>
      <c r="F34" s="29" t="e">
        <f t="shared" si="11"/>
        <v>#DIV/0!</v>
      </c>
      <c r="G34" s="6"/>
      <c r="H34" s="5" t="s">
        <v>19</v>
      </c>
      <c r="J34" s="36"/>
      <c r="K34" s="12"/>
      <c r="L34" s="37" t="str">
        <f t="array" ref="L34">IFERROR(INDEX($J$2:$J$81,SMALL(IF(ISNUMBER($J$2:$J$81),ROW($A$1:$A$80),""),ROW(A33))),"")</f>
        <v/>
      </c>
      <c r="M34" s="60"/>
      <c r="N34" s="13"/>
      <c r="O34" s="8"/>
      <c r="P34" s="8"/>
      <c r="Q34" s="8"/>
      <c r="R34" s="9"/>
      <c r="S34" s="9"/>
    </row>
    <row r="35" spans="1:19" ht="14.55" thickTop="1" x14ac:dyDescent="0.3">
      <c r="A35" s="78"/>
      <c r="B35" s="84">
        <v>3</v>
      </c>
      <c r="C35" s="7" t="s">
        <v>4</v>
      </c>
      <c r="D35" s="54">
        <v>370</v>
      </c>
      <c r="E35" s="54"/>
      <c r="F35" s="27">
        <f t="shared" si="9"/>
        <v>4625000</v>
      </c>
      <c r="G35" s="6">
        <v>7</v>
      </c>
      <c r="H35" s="5">
        <f t="array" ref="H35">IFERROR(INDEX($F$2:$F$181,SMALL(IF($G$2:$G$181=9,ROW($A$1:$A$163),""),ROW(A1))),"")</f>
        <v>6571428.5714285718</v>
      </c>
      <c r="J35" s="36"/>
      <c r="K35" s="12"/>
      <c r="L35" s="37" t="str">
        <f t="array" ref="L35">IFERROR(INDEX($J$2:$J$81,SMALL(IF(ISNUMBER($J$2:$J$81),ROW($A$1:$A$80),""),ROW(A34))),"")</f>
        <v/>
      </c>
      <c r="M35" s="60"/>
      <c r="N35" s="13"/>
      <c r="O35" s="8"/>
      <c r="P35" s="8"/>
      <c r="Q35" s="8"/>
      <c r="R35" s="9"/>
      <c r="S35" s="9"/>
    </row>
    <row r="36" spans="1:19" x14ac:dyDescent="0.3">
      <c r="A36" s="78"/>
      <c r="B36" s="82"/>
      <c r="C36" s="10" t="s">
        <v>2</v>
      </c>
      <c r="D36" s="10">
        <v>20</v>
      </c>
      <c r="E36" s="10">
        <v>22</v>
      </c>
      <c r="F36" s="28">
        <f t="shared" si="10"/>
        <v>2625000</v>
      </c>
      <c r="G36" s="6"/>
      <c r="H36" s="5">
        <f t="array" ref="H36">IFERROR(INDEX($F$2:$F$181,SMALL(IF($G$2:$G$181=9,ROW($A$1:$A$163),""),ROW(A2))),"")</f>
        <v>3342857.1428571427</v>
      </c>
      <c r="J36" s="36"/>
      <c r="K36" s="12"/>
      <c r="L36" s="12"/>
      <c r="M36" s="62"/>
      <c r="N36" s="13"/>
      <c r="O36" s="8"/>
      <c r="P36" s="8"/>
      <c r="Q36" s="8"/>
      <c r="R36" s="9"/>
      <c r="S36" s="9"/>
    </row>
    <row r="37" spans="1:19" ht="14.55" thickBot="1" x14ac:dyDescent="0.35">
      <c r="A37" s="79"/>
      <c r="B37" s="85"/>
      <c r="C37" s="31" t="s">
        <v>3</v>
      </c>
      <c r="D37" s="31" t="s">
        <v>56</v>
      </c>
      <c r="E37" s="31"/>
      <c r="F37" s="29" t="e">
        <f t="shared" si="11"/>
        <v>#DIV/0!</v>
      </c>
      <c r="G37" s="6"/>
      <c r="H37" s="5">
        <f t="array" ref="H37">IFERROR(INDEX($F$2:$F$181,SMALL(IF($G$2:$G$181=9,ROW($A$1:$A$163),""),ROW(A3))),"")</f>
        <v>5571428.5714285718</v>
      </c>
      <c r="I37" s="5">
        <f>AVERAGE(H35:H37)</f>
        <v>5161904.7619047621</v>
      </c>
      <c r="J37" s="35">
        <f>STDEV(H35:H37)</f>
        <v>1652785.7333218087</v>
      </c>
      <c r="K37" s="12"/>
      <c r="L37" s="12"/>
      <c r="M37" s="62"/>
      <c r="N37" s="13"/>
      <c r="O37" s="8"/>
      <c r="P37" s="8"/>
      <c r="Q37" s="8"/>
      <c r="R37" s="9"/>
      <c r="S37" s="9"/>
    </row>
    <row r="38" spans="1:19" ht="14.55" thickTop="1" x14ac:dyDescent="0.3">
      <c r="A38" s="80" t="s">
        <v>61</v>
      </c>
      <c r="B38" s="72">
        <v>1</v>
      </c>
      <c r="C38" s="7" t="s">
        <v>4</v>
      </c>
      <c r="D38" s="26" t="s">
        <v>57</v>
      </c>
      <c r="E38" s="26"/>
      <c r="F38" s="64" t="e">
        <f>(AVERAGEIF(D38:E38,"&gt;0",D38:E38))*10^3*100/7</f>
        <v>#DIV/0!</v>
      </c>
      <c r="G38" s="6"/>
      <c r="H38" s="5" t="s">
        <v>20</v>
      </c>
      <c r="J38" s="36"/>
      <c r="K38" s="12"/>
      <c r="L38" s="12"/>
      <c r="M38" s="62"/>
      <c r="N38" s="13"/>
      <c r="O38" s="8"/>
      <c r="P38" s="13"/>
      <c r="Q38" s="13"/>
      <c r="R38" s="9"/>
      <c r="S38" s="9"/>
    </row>
    <row r="39" spans="1:19" x14ac:dyDescent="0.3">
      <c r="A39" s="78"/>
      <c r="B39" s="73"/>
      <c r="C39" s="10" t="s">
        <v>2</v>
      </c>
      <c r="D39" s="10" t="s">
        <v>64</v>
      </c>
      <c r="E39" s="10">
        <v>46</v>
      </c>
      <c r="F39" s="65">
        <f>(AVERAGEIF(D39:E39,"&gt;0",D39:E39))*10^4*100/7</f>
        <v>6571428.5714285718</v>
      </c>
      <c r="G39" s="6">
        <v>9</v>
      </c>
      <c r="H39" s="5">
        <f t="array" ref="H39">IFERROR(INDEX($F$2:$F$181,SMALL(IF($G$2:$G$181=10,ROW($A$1:$A$163),""),ROW(A1))),"")</f>
        <v>537500</v>
      </c>
      <c r="J39" s="36"/>
      <c r="K39" s="12"/>
      <c r="L39" s="12"/>
      <c r="M39" s="62"/>
      <c r="N39" s="13"/>
      <c r="O39" s="8"/>
      <c r="P39" s="13"/>
      <c r="Q39" s="13"/>
      <c r="R39" s="9"/>
      <c r="S39" s="9"/>
    </row>
    <row r="40" spans="1:19" ht="14.55" thickBot="1" x14ac:dyDescent="0.35">
      <c r="A40" s="78"/>
      <c r="B40" s="74"/>
      <c r="C40" s="31" t="s">
        <v>3</v>
      </c>
      <c r="D40" s="11" t="s">
        <v>56</v>
      </c>
      <c r="E40" s="11"/>
      <c r="F40" s="66" t="e">
        <f>(AVERAGEIF(D40:E40,"&gt;0",D40:E40))*10^5*100/7</f>
        <v>#DIV/0!</v>
      </c>
      <c r="G40" s="6"/>
      <c r="H40" s="5">
        <f t="array" ref="H40">IFERROR(INDEX($F$2:$F$181,SMALL(IF($G$2:$G$181=10,ROW($A$1:$A$163),""),ROW(A2))),"")</f>
        <v>500000</v>
      </c>
      <c r="J40" s="36"/>
      <c r="K40" s="12"/>
      <c r="L40" s="12"/>
      <c r="M40" s="62"/>
      <c r="N40" s="13"/>
      <c r="O40" s="8"/>
      <c r="P40" s="13"/>
      <c r="Q40" s="13"/>
      <c r="R40" s="9"/>
      <c r="S40" s="9"/>
    </row>
    <row r="41" spans="1:19" ht="14.55" thickTop="1" x14ac:dyDescent="0.3">
      <c r="A41" s="78"/>
      <c r="B41" s="75">
        <v>2</v>
      </c>
      <c r="C41" s="7" t="s">
        <v>4</v>
      </c>
      <c r="D41" s="7">
        <v>234</v>
      </c>
      <c r="E41" s="7">
        <v>234</v>
      </c>
      <c r="F41" s="64">
        <f>(AVERAGEIF(D41:E41,"&gt;0",D41:E41))*10^3*100/7</f>
        <v>3342857.1428571427</v>
      </c>
      <c r="G41" s="6">
        <v>9</v>
      </c>
      <c r="H41" s="5">
        <f t="array" ref="H41">IFERROR(INDEX($F$2:$F$181,SMALL(IF($G$2:$G$181=10,ROW($A$1:$A$163),""),ROW(A3))),"")</f>
        <v>500000</v>
      </c>
      <c r="I41" s="5">
        <f>AVERAGE(H39:H41)</f>
        <v>512500</v>
      </c>
      <c r="J41" s="35">
        <f>STDEV(H39:H41)</f>
        <v>21650.635094610967</v>
      </c>
      <c r="K41" s="12"/>
      <c r="L41" s="12"/>
      <c r="M41" s="62"/>
      <c r="N41" s="13"/>
      <c r="O41" s="8"/>
      <c r="P41" s="13"/>
      <c r="Q41" s="13"/>
      <c r="R41" s="9"/>
      <c r="S41" s="9"/>
    </row>
    <row r="42" spans="1:19" x14ac:dyDescent="0.3">
      <c r="A42" s="78"/>
      <c r="B42" s="73"/>
      <c r="C42" s="10" t="s">
        <v>2</v>
      </c>
      <c r="D42" s="10">
        <v>13</v>
      </c>
      <c r="E42" s="10">
        <v>16</v>
      </c>
      <c r="F42" s="65">
        <f>(AVERAGEIF(D42:E42,"&gt;0",D42:E42))*10^4*100/7</f>
        <v>2071428.5714285714</v>
      </c>
      <c r="G42" s="6"/>
      <c r="H42" s="5" t="s">
        <v>21</v>
      </c>
      <c r="J42" s="36"/>
      <c r="K42" s="12"/>
      <c r="L42" s="12"/>
      <c r="M42" s="62"/>
      <c r="N42" s="13"/>
      <c r="O42" s="8"/>
      <c r="P42" s="13"/>
      <c r="Q42" s="13"/>
      <c r="R42" s="9"/>
      <c r="S42" s="9"/>
    </row>
    <row r="43" spans="1:19" ht="14.55" thickBot="1" x14ac:dyDescent="0.35">
      <c r="A43" s="78"/>
      <c r="B43" s="74"/>
      <c r="C43" s="31" t="s">
        <v>3</v>
      </c>
      <c r="D43" s="11" t="s">
        <v>56</v>
      </c>
      <c r="E43" s="11"/>
      <c r="F43" s="66" t="e">
        <f>(AVERAGEIF(D43:E43,"&gt;0",D43:E43))*10^5*100/7</f>
        <v>#DIV/0!</v>
      </c>
      <c r="G43" s="6"/>
      <c r="H43" s="5">
        <f t="array" ref="H43">IFERROR(INDEX($F$2:$F$181,SMALL(IF($G$2:$G$181=11,ROW($A$1:$A$163),""),ROW(A1))),"")</f>
        <v>3862500</v>
      </c>
      <c r="J43" s="36"/>
      <c r="K43" s="12"/>
      <c r="L43" s="12"/>
      <c r="M43" s="62"/>
      <c r="N43" s="13"/>
      <c r="O43" s="8"/>
      <c r="P43" s="13"/>
      <c r="Q43" s="13"/>
      <c r="R43" s="9"/>
      <c r="S43" s="9"/>
    </row>
    <row r="44" spans="1:19" ht="14.55" thickTop="1" x14ac:dyDescent="0.3">
      <c r="A44" s="78"/>
      <c r="B44" s="75">
        <v>3</v>
      </c>
      <c r="C44" s="7" t="s">
        <v>4</v>
      </c>
      <c r="D44" s="7" t="s">
        <v>63</v>
      </c>
      <c r="E44" s="7"/>
      <c r="F44" s="64" t="e">
        <f>(AVERAGEIF(D44:E44,"&gt;0",D44:E44))*10^3*100/7</f>
        <v>#DIV/0!</v>
      </c>
      <c r="G44" s="6"/>
      <c r="H44" s="5">
        <f t="array" ref="H44">IFERROR(INDEX($F$2:$F$181,SMALL(IF($G$2:$G$181=11,ROW($A$1:$A$163),""),ROW(A2))),"")</f>
        <v>4187500</v>
      </c>
      <c r="J44" s="36"/>
      <c r="K44" s="12"/>
      <c r="L44" s="12"/>
      <c r="M44" s="62"/>
      <c r="N44" s="13"/>
      <c r="O44" s="8"/>
      <c r="P44" s="13"/>
      <c r="Q44" s="13"/>
      <c r="R44" s="9"/>
      <c r="S44" s="9"/>
    </row>
    <row r="45" spans="1:19" x14ac:dyDescent="0.3">
      <c r="A45" s="78"/>
      <c r="B45" s="73"/>
      <c r="C45" s="10" t="s">
        <v>2</v>
      </c>
      <c r="D45" s="10">
        <v>43</v>
      </c>
      <c r="E45" s="10">
        <v>35</v>
      </c>
      <c r="F45" s="65">
        <f>(AVERAGEIF(D45:E45,"&gt;0",D45:E45))*10^4*100/7</f>
        <v>5571428.5714285718</v>
      </c>
      <c r="G45" s="6">
        <v>9</v>
      </c>
      <c r="H45" s="5">
        <f t="array" ref="H45">IFERROR(INDEX($F$2:$F$181,SMALL(IF($G$2:$G$181=11,ROW($A$1:$A$163),""),ROW(A3))),"")</f>
        <v>3075000</v>
      </c>
      <c r="I45" s="5">
        <f>AVERAGE(H43:H45)</f>
        <v>3708333.3333333335</v>
      </c>
      <c r="J45" s="35">
        <f>STDEV(H43:H45)</f>
        <v>572048.58476647944</v>
      </c>
      <c r="K45" s="12"/>
      <c r="L45" s="12"/>
      <c r="M45" s="62"/>
      <c r="N45" s="13"/>
      <c r="O45" s="8"/>
      <c r="P45" s="13"/>
      <c r="Q45" s="13"/>
      <c r="R45" s="9"/>
      <c r="S45" s="9"/>
    </row>
    <row r="46" spans="1:19" ht="14.55" thickBot="1" x14ac:dyDescent="0.35">
      <c r="A46" s="79"/>
      <c r="B46" s="76"/>
      <c r="C46" s="31" t="s">
        <v>3</v>
      </c>
      <c r="D46" s="31" t="s">
        <v>56</v>
      </c>
      <c r="E46" s="31"/>
      <c r="F46" s="66" t="e">
        <f>(AVERAGEIF(D46:E46,"&gt;0",D46:E46))*10^5*100/7</f>
        <v>#DIV/0!</v>
      </c>
      <c r="G46" s="6"/>
      <c r="H46" s="5" t="s">
        <v>22</v>
      </c>
      <c r="J46" s="36"/>
      <c r="K46" s="12"/>
      <c r="L46" s="12"/>
      <c r="M46" s="62"/>
      <c r="N46" s="13"/>
      <c r="O46" s="8"/>
      <c r="P46" s="13"/>
      <c r="Q46" s="13"/>
      <c r="R46" s="9"/>
      <c r="S46" s="9"/>
    </row>
    <row r="47" spans="1:19" ht="14.55" thickTop="1" x14ac:dyDescent="0.3">
      <c r="A47" s="80" t="s">
        <v>62</v>
      </c>
      <c r="B47" s="72">
        <v>1</v>
      </c>
      <c r="C47" s="7" t="s">
        <v>4</v>
      </c>
      <c r="D47" s="26">
        <v>309</v>
      </c>
      <c r="E47" s="26"/>
      <c r="F47" s="27">
        <f t="shared" si="9"/>
        <v>3862500</v>
      </c>
      <c r="G47" s="6">
        <v>11</v>
      </c>
      <c r="H47" s="5">
        <f t="array" ref="H47">IFERROR(INDEX($F$2:$F$181,SMALL(IF($G$2:$G$181=12,ROW($A$1:$A$163),""),ROW(A1))),"")</f>
        <v>145625</v>
      </c>
      <c r="J47" s="36"/>
      <c r="K47" s="12"/>
      <c r="L47" s="12"/>
      <c r="M47" s="62"/>
      <c r="N47" s="13"/>
      <c r="O47" s="8"/>
      <c r="P47" s="13"/>
      <c r="Q47" s="13"/>
      <c r="R47" s="9"/>
      <c r="S47" s="9"/>
    </row>
    <row r="48" spans="1:19" x14ac:dyDescent="0.3">
      <c r="A48" s="78"/>
      <c r="B48" s="73"/>
      <c r="C48" s="10" t="s">
        <v>2</v>
      </c>
      <c r="D48" s="10">
        <v>15</v>
      </c>
      <c r="E48" s="10">
        <v>13</v>
      </c>
      <c r="F48" s="28">
        <f t="shared" si="10"/>
        <v>1750000</v>
      </c>
      <c r="G48" s="6"/>
      <c r="H48" s="5">
        <f t="array" ref="H48">IFERROR(INDEX($F$2:$F$181,SMALL(IF($G$2:$G$181=12,ROW($A$1:$A$163),""),ROW(A2))),"")</f>
        <v>223125</v>
      </c>
      <c r="J48" s="36"/>
      <c r="K48" s="12"/>
      <c r="L48" s="12"/>
      <c r="M48" s="62"/>
      <c r="N48" s="13"/>
      <c r="O48" s="8"/>
      <c r="P48" s="13"/>
      <c r="Q48" s="13"/>
      <c r="R48" s="9"/>
      <c r="S48" s="9"/>
    </row>
    <row r="49" spans="1:21" ht="14.55" thickBot="1" x14ac:dyDescent="0.35">
      <c r="A49" s="78"/>
      <c r="B49" s="74"/>
      <c r="C49" s="31" t="s">
        <v>3</v>
      </c>
      <c r="D49" s="11" t="s">
        <v>56</v>
      </c>
      <c r="E49" s="11"/>
      <c r="F49" s="29" t="e">
        <f t="shared" si="11"/>
        <v>#DIV/0!</v>
      </c>
      <c r="G49" s="6"/>
      <c r="H49" s="5">
        <f t="array" ref="H49">IFERROR(INDEX($F$2:$F$181,SMALL(IF($G$2:$G$181=12,ROW($A$1:$A$163),""),ROW(A3))),"")</f>
        <v>1325000</v>
      </c>
      <c r="I49" s="5">
        <f>AVERAGE(H47:H49)</f>
        <v>564583.33333333337</v>
      </c>
      <c r="J49" s="35">
        <f>STDEV(H47:H49)</f>
        <v>659679.23471057764</v>
      </c>
      <c r="K49" s="12"/>
      <c r="L49" s="12"/>
      <c r="M49" s="62"/>
      <c r="N49" s="13"/>
      <c r="O49" s="8"/>
      <c r="P49" s="13"/>
      <c r="Q49" s="13"/>
      <c r="R49" s="9"/>
      <c r="S49" s="9"/>
    </row>
    <row r="50" spans="1:21" ht="14.55" thickTop="1" x14ac:dyDescent="0.3">
      <c r="A50" s="78"/>
      <c r="B50" s="75">
        <v>2</v>
      </c>
      <c r="C50" s="7" t="s">
        <v>4</v>
      </c>
      <c r="D50" s="7" t="s">
        <v>57</v>
      </c>
      <c r="E50" s="7"/>
      <c r="F50" s="27" t="e">
        <f t="shared" si="9"/>
        <v>#DIV/0!</v>
      </c>
      <c r="G50" s="6"/>
      <c r="H50" s="5" t="s">
        <v>23</v>
      </c>
      <c r="J50" s="36"/>
      <c r="K50" s="12"/>
      <c r="L50" s="12"/>
      <c r="M50" s="62"/>
      <c r="N50" s="13"/>
      <c r="O50" s="8"/>
      <c r="P50" s="13"/>
      <c r="Q50" s="13"/>
      <c r="R50" s="9"/>
      <c r="S50" s="9"/>
    </row>
    <row r="51" spans="1:21" x14ac:dyDescent="0.3">
      <c r="A51" s="78"/>
      <c r="B51" s="73"/>
      <c r="C51" s="10" t="s">
        <v>2</v>
      </c>
      <c r="D51" s="10">
        <v>42</v>
      </c>
      <c r="E51" s="10">
        <v>25</v>
      </c>
      <c r="F51" s="28">
        <f t="shared" si="10"/>
        <v>4187500</v>
      </c>
      <c r="G51" s="6">
        <v>11</v>
      </c>
      <c r="H51" s="5" t="str">
        <f t="array" ref="H51">IFERROR(INDEX($F$2:$F$181,SMALL(IF($G$2:$G$181=13,ROW($A$1:$A$163),""),ROW(A1))),"")</f>
        <v/>
      </c>
      <c r="J51" s="36"/>
      <c r="K51" s="12"/>
      <c r="L51" s="12"/>
      <c r="M51" s="62"/>
      <c r="N51" s="13"/>
      <c r="O51" s="8"/>
      <c r="P51" s="13"/>
      <c r="Q51" s="13"/>
      <c r="R51" s="9"/>
      <c r="S51" s="9"/>
    </row>
    <row r="52" spans="1:21" ht="14.55" thickBot="1" x14ac:dyDescent="0.35">
      <c r="A52" s="78"/>
      <c r="B52" s="74"/>
      <c r="C52" s="31" t="s">
        <v>3</v>
      </c>
      <c r="D52" s="11" t="s">
        <v>56</v>
      </c>
      <c r="E52" s="11"/>
      <c r="F52" s="29" t="e">
        <f t="shared" si="11"/>
        <v>#DIV/0!</v>
      </c>
      <c r="G52" s="6"/>
      <c r="H52" s="5" t="str">
        <f t="array" ref="H52">IFERROR(INDEX($F$2:$F$181,SMALL(IF($G$2:$G$181=13,ROW($A$1:$A$163),""),ROW(A2))),"")</f>
        <v/>
      </c>
      <c r="J52" s="36"/>
      <c r="K52" s="12"/>
      <c r="L52" s="12"/>
      <c r="M52" s="62"/>
      <c r="N52" s="13"/>
      <c r="O52" s="8"/>
      <c r="P52" s="13"/>
      <c r="Q52" s="13"/>
      <c r="R52" s="9"/>
      <c r="S52" s="9"/>
    </row>
    <row r="53" spans="1:21" ht="14.55" thickTop="1" x14ac:dyDescent="0.3">
      <c r="A53" s="78"/>
      <c r="B53" s="75">
        <v>3</v>
      </c>
      <c r="C53" s="7" t="s">
        <v>4</v>
      </c>
      <c r="D53" s="7">
        <v>246</v>
      </c>
      <c r="E53" s="7"/>
      <c r="F53" s="27">
        <f t="shared" si="9"/>
        <v>3075000</v>
      </c>
      <c r="G53" s="6">
        <v>11</v>
      </c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5" t="e">
        <f>STDEV(H51:H53)</f>
        <v>#DIV/0!</v>
      </c>
      <c r="K53" s="12"/>
      <c r="L53" s="12"/>
      <c r="M53" s="62"/>
      <c r="N53" s="13"/>
      <c r="O53" s="8"/>
      <c r="P53" s="13"/>
      <c r="Q53" s="13"/>
      <c r="R53" s="9"/>
      <c r="S53" s="9"/>
    </row>
    <row r="54" spans="1:21" x14ac:dyDescent="0.3">
      <c r="A54" s="78"/>
      <c r="B54" s="73"/>
      <c r="C54" s="10" t="s">
        <v>2</v>
      </c>
      <c r="D54" s="10">
        <v>10</v>
      </c>
      <c r="E54" s="10">
        <v>10</v>
      </c>
      <c r="F54" s="28">
        <f t="shared" si="10"/>
        <v>1250000</v>
      </c>
      <c r="G54" s="6"/>
      <c r="H54" s="5" t="s">
        <v>24</v>
      </c>
      <c r="J54" s="36"/>
      <c r="K54" s="12"/>
      <c r="L54" s="12"/>
      <c r="M54" s="62"/>
      <c r="N54" s="13"/>
      <c r="O54" s="8"/>
      <c r="P54" s="13"/>
      <c r="Q54" s="13"/>
      <c r="R54" s="9"/>
      <c r="S54" s="9"/>
    </row>
    <row r="55" spans="1:21" ht="14.55" thickBot="1" x14ac:dyDescent="0.35">
      <c r="A55" s="79"/>
      <c r="B55" s="76"/>
      <c r="C55" s="31" t="s">
        <v>3</v>
      </c>
      <c r="D55" s="31"/>
      <c r="E55" s="31"/>
      <c r="F55" s="29" t="e">
        <f t="shared" si="11"/>
        <v>#DIV/0!</v>
      </c>
      <c r="G55" s="6"/>
      <c r="H55" s="5" t="str">
        <f t="array" ref="H55">IFERROR(INDEX($F$2:$F$181,SMALL(IF($G$2:$G$181=14,ROW($A$1:$A$163),""),ROW(A1))),"")</f>
        <v/>
      </c>
      <c r="J55" s="36"/>
      <c r="K55" s="12"/>
      <c r="L55" s="12"/>
      <c r="M55" s="62"/>
      <c r="N55" s="13"/>
      <c r="O55" s="8"/>
      <c r="P55" s="13"/>
      <c r="Q55" s="13"/>
      <c r="R55" s="9"/>
      <c r="S55" s="9"/>
    </row>
    <row r="56" spans="1:21" ht="14.55" thickTop="1" x14ac:dyDescent="0.3">
      <c r="A56" s="77" t="s">
        <v>55</v>
      </c>
      <c r="B56" s="72">
        <v>1</v>
      </c>
      <c r="C56" s="26" t="s">
        <v>53</v>
      </c>
      <c r="D56" s="26">
        <v>132</v>
      </c>
      <c r="E56" s="26">
        <v>143</v>
      </c>
      <c r="F56" s="30">
        <f t="shared" ref="F56" si="18">(AVERAGEIF(D56:E56,"&gt;0",D56:E56))*10^2*100/8</f>
        <v>171875</v>
      </c>
      <c r="G56" s="6"/>
      <c r="H56" s="5" t="str">
        <f t="array" ref="H56">IFERROR(INDEX($F$2:$F$181,SMALL(IF($G$2:$G$181=14,ROW($A$1:$A$163),""),ROW(A2))),"")</f>
        <v/>
      </c>
      <c r="J56" s="36"/>
      <c r="K56" s="12"/>
      <c r="L56" s="12"/>
      <c r="M56" s="62"/>
      <c r="N56" s="13"/>
      <c r="O56" s="8"/>
      <c r="P56" s="13"/>
      <c r="Q56" s="13"/>
      <c r="R56" s="9"/>
      <c r="S56" s="9"/>
    </row>
    <row r="57" spans="1:21" x14ac:dyDescent="0.3">
      <c r="A57" s="78"/>
      <c r="B57" s="73"/>
      <c r="C57" s="10" t="s">
        <v>4</v>
      </c>
      <c r="D57" s="10">
        <v>14</v>
      </c>
      <c r="E57" s="10">
        <v>8</v>
      </c>
      <c r="F57" s="28">
        <f t="shared" ref="F57" si="19">(AVERAGEIF(D57:E57,"&gt;0",D57:E57))*10^3*100/8</f>
        <v>137500</v>
      </c>
      <c r="G57" s="6">
        <v>2</v>
      </c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5" t="e">
        <f>STDEV(H55:H57)</f>
        <v>#DIV/0!</v>
      </c>
      <c r="K57" s="12"/>
      <c r="L57" s="12"/>
      <c r="M57" s="62"/>
      <c r="N57" s="13"/>
      <c r="O57" s="8"/>
      <c r="P57" s="13"/>
      <c r="Q57" s="13"/>
      <c r="R57" s="9"/>
      <c r="S57" s="9"/>
    </row>
    <row r="58" spans="1:21" ht="14.55" thickBot="1" x14ac:dyDescent="0.35">
      <c r="A58" s="78"/>
      <c r="B58" s="74"/>
      <c r="C58" s="11" t="s">
        <v>2</v>
      </c>
      <c r="D58" s="11" t="s">
        <v>56</v>
      </c>
      <c r="E58" s="11"/>
      <c r="F58" s="32" t="e">
        <f t="shared" ref="F58" si="20">(AVERAGEIF(D58:E58,"&gt;0",D58:E58))*10^4*100/8</f>
        <v>#DIV/0!</v>
      </c>
      <c r="G58" s="6"/>
      <c r="H58" s="5" t="s">
        <v>25</v>
      </c>
      <c r="J58" s="36"/>
      <c r="K58" s="12"/>
      <c r="L58" s="12"/>
      <c r="M58" s="62"/>
      <c r="N58" s="13"/>
      <c r="O58" s="8"/>
      <c r="P58" s="13"/>
      <c r="Q58" s="13"/>
      <c r="R58" s="9"/>
      <c r="S58" s="9"/>
    </row>
    <row r="59" spans="1:21" ht="14.55" thickTop="1" x14ac:dyDescent="0.3">
      <c r="A59" s="78"/>
      <c r="B59" s="75">
        <v>2</v>
      </c>
      <c r="C59" s="26" t="s">
        <v>53</v>
      </c>
      <c r="D59" s="7" t="s">
        <v>57</v>
      </c>
      <c r="E59" s="7"/>
      <c r="F59" s="30" t="e">
        <f t="shared" ref="F59:F107" si="21">(AVERAGEIF(D59:E59,"&gt;0",D59:E59))*10^2*100/8</f>
        <v>#DIV/0!</v>
      </c>
      <c r="G59" s="6"/>
      <c r="H59" s="5" t="str">
        <f t="array" ref="H59">IFERROR(INDEX($F$2:$F$181,SMALL(IF($G$2:$G$181=15,ROW($A$1:$A$163),""),ROW(A1))),"")</f>
        <v/>
      </c>
      <c r="J59" s="36"/>
      <c r="K59" s="12"/>
      <c r="L59" s="12"/>
      <c r="M59" s="62"/>
      <c r="N59" s="13"/>
      <c r="O59" s="8"/>
      <c r="P59" s="13"/>
      <c r="Q59" s="13"/>
      <c r="R59" s="9"/>
      <c r="S59" s="9"/>
    </row>
    <row r="60" spans="1:21" ht="14.55" thickBot="1" x14ac:dyDescent="0.35">
      <c r="A60" s="78"/>
      <c r="B60" s="73"/>
      <c r="C60" s="10" t="s">
        <v>4</v>
      </c>
      <c r="D60" s="10">
        <v>34</v>
      </c>
      <c r="E60" s="10">
        <v>41</v>
      </c>
      <c r="F60" s="28">
        <f t="shared" ref="F60:F108" si="22">(AVERAGEIF(D60:E60,"&gt;0",D60:E60))*10^3*100/8</f>
        <v>468750</v>
      </c>
      <c r="G60" s="6">
        <v>2</v>
      </c>
      <c r="H60" s="5" t="str">
        <f t="array" ref="H60">IFERROR(INDEX($F$2:$F$181,SMALL(IF($G$2:$G$181=15,ROW($A$1:$A$163),""),ROW(A2))),"")</f>
        <v/>
      </c>
      <c r="J60" s="36"/>
      <c r="K60" s="12"/>
      <c r="L60" s="12"/>
      <c r="M60" s="62"/>
      <c r="N60" s="38"/>
      <c r="O60" s="8"/>
      <c r="P60" s="38"/>
      <c r="Q60" s="38"/>
      <c r="R60" s="39"/>
      <c r="S60" s="39"/>
      <c r="T60" s="40"/>
      <c r="U60" s="40"/>
    </row>
    <row r="61" spans="1:21" ht="14.55" thickBot="1" x14ac:dyDescent="0.35">
      <c r="A61" s="78"/>
      <c r="B61" s="74"/>
      <c r="C61" s="11" t="s">
        <v>2</v>
      </c>
      <c r="D61" s="11">
        <v>4</v>
      </c>
      <c r="E61" s="11"/>
      <c r="F61" s="32">
        <f t="shared" ref="F61:F109" si="23">(AVERAGEIF(D61:E61,"&gt;0",D61:E61))*10^4*100/8</f>
        <v>500000</v>
      </c>
      <c r="G61" s="6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5" t="e">
        <f>STDEV(H59:H61)</f>
        <v>#DIV/0!</v>
      </c>
      <c r="K61" s="12"/>
      <c r="L61" s="12"/>
      <c r="M61" s="62"/>
      <c r="N61" s="13"/>
      <c r="O61" s="8"/>
      <c r="P61" s="13"/>
      <c r="Q61" s="13"/>
      <c r="R61" s="9"/>
      <c r="S61" s="9"/>
    </row>
    <row r="62" spans="1:21" ht="14.55" thickTop="1" x14ac:dyDescent="0.3">
      <c r="A62" s="78"/>
      <c r="B62" s="75">
        <v>3</v>
      </c>
      <c r="C62" s="26" t="s">
        <v>53</v>
      </c>
      <c r="D62" s="7" t="s">
        <v>57</v>
      </c>
      <c r="E62" s="7"/>
      <c r="F62" s="30" t="e">
        <f t="shared" si="21"/>
        <v>#DIV/0!</v>
      </c>
      <c r="G62" s="6"/>
      <c r="H62" s="5" t="s">
        <v>26</v>
      </c>
      <c r="J62" s="36"/>
      <c r="K62" s="12"/>
      <c r="L62" s="12"/>
      <c r="M62" s="62"/>
      <c r="N62" s="13"/>
      <c r="O62" s="8"/>
      <c r="P62" s="13"/>
      <c r="Q62" s="13"/>
      <c r="R62" s="9"/>
      <c r="S62" s="9"/>
    </row>
    <row r="63" spans="1:21" x14ac:dyDescent="0.3">
      <c r="A63" s="78"/>
      <c r="B63" s="73"/>
      <c r="C63" s="10" t="s">
        <v>4</v>
      </c>
      <c r="D63" s="10">
        <v>63</v>
      </c>
      <c r="E63" s="10">
        <v>37</v>
      </c>
      <c r="F63" s="28">
        <f t="shared" si="22"/>
        <v>625000</v>
      </c>
      <c r="G63" s="6"/>
      <c r="H63" s="5" t="str">
        <f t="array" ref="H63">IFERROR(INDEX($F$2:$F$181,SMALL(IF($G$2:$G$181=16,ROW($A$1:$A$163),""),ROW(A1))),"")</f>
        <v/>
      </c>
      <c r="J63" s="36"/>
      <c r="K63" s="12"/>
      <c r="L63" s="12"/>
      <c r="M63" s="62"/>
      <c r="N63" s="13"/>
      <c r="O63" s="8"/>
      <c r="P63" s="13"/>
      <c r="Q63" s="13"/>
      <c r="R63" s="9"/>
      <c r="S63" s="9"/>
    </row>
    <row r="64" spans="1:21" ht="14.55" thickBot="1" x14ac:dyDescent="0.35">
      <c r="A64" s="79"/>
      <c r="B64" s="76"/>
      <c r="C64" s="11" t="s">
        <v>2</v>
      </c>
      <c r="D64" s="31">
        <v>3</v>
      </c>
      <c r="E64" s="31">
        <v>3</v>
      </c>
      <c r="F64" s="32">
        <f t="shared" si="23"/>
        <v>375000</v>
      </c>
      <c r="G64" s="6">
        <v>2</v>
      </c>
      <c r="H64" s="5" t="str">
        <f t="array" ref="H64">IFERROR(INDEX($F$2:$F$181,SMALL(IF($G$2:$G$181=16,ROW($A$1:$A$163),""),ROW(A2))),"")</f>
        <v/>
      </c>
      <c r="J64" s="36"/>
      <c r="K64" s="12"/>
      <c r="L64" s="12"/>
      <c r="M64" s="62"/>
      <c r="N64" s="13"/>
      <c r="O64" s="8"/>
      <c r="P64" s="13"/>
      <c r="Q64" s="13"/>
      <c r="R64" s="9"/>
      <c r="S64" s="9"/>
    </row>
    <row r="65" spans="1:19" ht="14.55" thickTop="1" x14ac:dyDescent="0.3">
      <c r="A65" s="77" t="s">
        <v>65</v>
      </c>
      <c r="B65" s="72">
        <v>1</v>
      </c>
      <c r="C65" s="26" t="s">
        <v>53</v>
      </c>
      <c r="D65" s="26" t="s">
        <v>57</v>
      </c>
      <c r="E65" s="26"/>
      <c r="F65" s="30" t="e">
        <f t="shared" si="21"/>
        <v>#DIV/0!</v>
      </c>
      <c r="G65" s="6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5" t="e">
        <f>STDEV(H63:H65)</f>
        <v>#DIV/0!</v>
      </c>
      <c r="K65" s="12"/>
      <c r="L65" s="12"/>
      <c r="M65" s="62"/>
      <c r="N65" s="13"/>
      <c r="O65" s="8"/>
      <c r="P65" s="13"/>
      <c r="Q65" s="13"/>
      <c r="R65" s="9"/>
      <c r="S65" s="9"/>
    </row>
    <row r="66" spans="1:19" x14ac:dyDescent="0.3">
      <c r="A66" s="78"/>
      <c r="B66" s="73"/>
      <c r="C66" s="10" t="s">
        <v>4</v>
      </c>
      <c r="D66" s="10">
        <v>172</v>
      </c>
      <c r="E66" s="10">
        <v>152</v>
      </c>
      <c r="F66" s="28">
        <f t="shared" si="22"/>
        <v>2025000</v>
      </c>
      <c r="G66" s="6">
        <v>4</v>
      </c>
      <c r="H66" s="5" t="s">
        <v>27</v>
      </c>
      <c r="J66" s="36"/>
      <c r="K66" s="12"/>
      <c r="L66" s="12"/>
      <c r="M66" s="62"/>
      <c r="N66" s="13"/>
      <c r="O66" s="8"/>
      <c r="P66" s="13"/>
      <c r="Q66" s="13"/>
      <c r="R66" s="9"/>
      <c r="S66" s="9"/>
    </row>
    <row r="67" spans="1:19" ht="14.55" thickBot="1" x14ac:dyDescent="0.35">
      <c r="A67" s="78"/>
      <c r="B67" s="74"/>
      <c r="C67" s="11" t="s">
        <v>2</v>
      </c>
      <c r="D67" s="11">
        <v>13</v>
      </c>
      <c r="E67" s="11">
        <v>13</v>
      </c>
      <c r="F67" s="32">
        <f t="shared" si="23"/>
        <v>1625000</v>
      </c>
      <c r="G67" s="6"/>
      <c r="H67" s="5" t="str">
        <f t="array" ref="H67">IFERROR(INDEX($F$2:$F$181,SMALL(IF($G$2:$G$181=17,ROW($A$1:$A$163),""),ROW(A1))),"")</f>
        <v/>
      </c>
      <c r="J67" s="36"/>
      <c r="K67" s="12"/>
      <c r="L67" s="12"/>
      <c r="M67" s="62"/>
      <c r="N67" s="13"/>
      <c r="O67" s="8"/>
      <c r="P67" s="13"/>
      <c r="Q67" s="13"/>
      <c r="R67" s="9"/>
      <c r="S67" s="9"/>
    </row>
    <row r="68" spans="1:19" ht="14.55" thickTop="1" x14ac:dyDescent="0.3">
      <c r="A68" s="78"/>
      <c r="B68" s="75">
        <v>2</v>
      </c>
      <c r="C68" s="26" t="s">
        <v>53</v>
      </c>
      <c r="D68" s="7" t="s">
        <v>57</v>
      </c>
      <c r="E68" s="7"/>
      <c r="F68" s="30" t="e">
        <f t="shared" si="21"/>
        <v>#DIV/0!</v>
      </c>
      <c r="G68" s="6"/>
      <c r="H68" s="5" t="str">
        <f t="array" ref="H68">IFERROR(INDEX($F$2:$F$181,SMALL(IF($G$2:$G$181=17,ROW($A$1:$A$163),""),ROW(A2))),"")</f>
        <v/>
      </c>
      <c r="J68" s="36"/>
      <c r="K68" s="12"/>
      <c r="L68" s="12"/>
      <c r="M68" s="62"/>
      <c r="N68" s="13"/>
      <c r="O68" s="8"/>
      <c r="P68" s="13"/>
      <c r="Q68" s="13"/>
      <c r="R68" s="9"/>
      <c r="S68" s="9"/>
    </row>
    <row r="69" spans="1:19" x14ac:dyDescent="0.3">
      <c r="A69" s="78"/>
      <c r="B69" s="73"/>
      <c r="C69" s="10" t="s">
        <v>4</v>
      </c>
      <c r="D69" s="10">
        <v>74</v>
      </c>
      <c r="E69" s="10">
        <v>74</v>
      </c>
      <c r="F69" s="28">
        <f t="shared" si="22"/>
        <v>925000</v>
      </c>
      <c r="G69" s="6">
        <v>4</v>
      </c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5" t="e">
        <f>STDEV(H67:H69)</f>
        <v>#DIV/0!</v>
      </c>
      <c r="K69" s="12"/>
      <c r="L69" s="12"/>
      <c r="M69" s="62"/>
      <c r="N69" s="13"/>
      <c r="O69" s="8"/>
      <c r="P69" s="13"/>
      <c r="Q69" s="13"/>
      <c r="R69" s="9"/>
      <c r="S69" s="9"/>
    </row>
    <row r="70" spans="1:19" ht="14.55" thickBot="1" x14ac:dyDescent="0.35">
      <c r="A70" s="78"/>
      <c r="B70" s="74"/>
      <c r="C70" s="11" t="s">
        <v>2</v>
      </c>
      <c r="D70" s="11">
        <v>6</v>
      </c>
      <c r="E70" s="11">
        <v>6</v>
      </c>
      <c r="F70" s="32">
        <f t="shared" si="23"/>
        <v>750000</v>
      </c>
      <c r="G70" s="6"/>
      <c r="H70" s="5" t="s">
        <v>28</v>
      </c>
      <c r="J70" s="36"/>
      <c r="K70" s="12"/>
      <c r="L70" s="12"/>
      <c r="M70" s="62"/>
      <c r="N70" s="13"/>
      <c r="O70" s="8"/>
      <c r="P70" s="13"/>
      <c r="Q70" s="13"/>
      <c r="R70" s="9"/>
      <c r="S70" s="9"/>
    </row>
    <row r="71" spans="1:19" ht="14.55" thickTop="1" x14ac:dyDescent="0.3">
      <c r="A71" s="78"/>
      <c r="B71" s="75">
        <v>3</v>
      </c>
      <c r="C71" s="26" t="s">
        <v>53</v>
      </c>
      <c r="D71" s="7" t="s">
        <v>57</v>
      </c>
      <c r="E71" s="7"/>
      <c r="F71" s="30" t="e">
        <f t="shared" si="21"/>
        <v>#DIV/0!</v>
      </c>
      <c r="G71" s="6"/>
      <c r="H71" s="5" t="str">
        <f t="array" ref="H71">IFERROR(INDEX($F$2:$F$181,SMALL(IF($G$2:$G$181=18,ROW($A$1:$A$180),""),ROW(A1))),"")</f>
        <v/>
      </c>
      <c r="J71" s="36"/>
      <c r="K71" s="12"/>
      <c r="L71" s="12"/>
      <c r="M71" s="62"/>
      <c r="N71" s="13"/>
      <c r="O71" s="8"/>
      <c r="P71" s="13"/>
      <c r="Q71" s="13"/>
      <c r="R71" s="9"/>
      <c r="S71" s="9"/>
    </row>
    <row r="72" spans="1:19" x14ac:dyDescent="0.3">
      <c r="A72" s="78"/>
      <c r="B72" s="73"/>
      <c r="C72" s="10" t="s">
        <v>4</v>
      </c>
      <c r="D72" s="10">
        <v>138</v>
      </c>
      <c r="E72" s="10">
        <v>128</v>
      </c>
      <c r="F72" s="28">
        <f t="shared" si="22"/>
        <v>1662500</v>
      </c>
      <c r="G72" s="6"/>
      <c r="H72" s="5" t="str">
        <f t="array" ref="H72">IFERROR(INDEX($F$2:$F$181,SMALL(IF($G$2:$G$181=18,ROW($A$1:$A$180),""),ROW(A2))),"")</f>
        <v/>
      </c>
      <c r="J72" s="36"/>
      <c r="K72" s="12"/>
      <c r="L72" s="12"/>
      <c r="M72" s="62"/>
      <c r="N72" s="13"/>
      <c r="O72" s="8"/>
      <c r="P72" s="13"/>
      <c r="Q72" s="13"/>
      <c r="R72" s="9"/>
      <c r="S72" s="9"/>
    </row>
    <row r="73" spans="1:19" ht="14.55" thickBot="1" x14ac:dyDescent="0.35">
      <c r="A73" s="79"/>
      <c r="B73" s="76"/>
      <c r="C73" s="11" t="s">
        <v>2</v>
      </c>
      <c r="D73" s="31">
        <v>16</v>
      </c>
      <c r="E73" s="31">
        <v>16</v>
      </c>
      <c r="F73" s="32">
        <f t="shared" si="23"/>
        <v>2000000</v>
      </c>
      <c r="G73" s="6">
        <v>4</v>
      </c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5" t="e">
        <f>STDEV(H71:H73)</f>
        <v>#DIV/0!</v>
      </c>
      <c r="K73" s="12"/>
      <c r="L73" s="12"/>
      <c r="M73" s="62"/>
      <c r="N73" s="13"/>
      <c r="O73" s="8"/>
      <c r="P73" s="13"/>
      <c r="Q73" s="13"/>
      <c r="R73" s="9"/>
      <c r="S73" s="9"/>
    </row>
    <row r="74" spans="1:19" ht="14.55" thickTop="1" x14ac:dyDescent="0.3">
      <c r="A74" s="77" t="s">
        <v>66</v>
      </c>
      <c r="B74" s="72">
        <v>1</v>
      </c>
      <c r="C74" s="26" t="s">
        <v>53</v>
      </c>
      <c r="D74" s="26" t="s">
        <v>57</v>
      </c>
      <c r="E74" s="26"/>
      <c r="F74" s="30" t="e">
        <f t="shared" si="21"/>
        <v>#DIV/0!</v>
      </c>
      <c r="G74" s="6"/>
      <c r="H74" s="5" t="s">
        <v>29</v>
      </c>
      <c r="J74" s="36"/>
      <c r="K74" s="12"/>
      <c r="L74" s="12"/>
      <c r="M74" s="62"/>
      <c r="N74" s="13"/>
      <c r="O74" s="8"/>
      <c r="P74" s="13"/>
      <c r="Q74" s="13"/>
      <c r="R74" s="9"/>
      <c r="S74" s="9"/>
    </row>
    <row r="75" spans="1:19" x14ac:dyDescent="0.3">
      <c r="A75" s="78"/>
      <c r="B75" s="73"/>
      <c r="C75" s="10" t="s">
        <v>4</v>
      </c>
      <c r="D75" s="10">
        <v>70</v>
      </c>
      <c r="E75" s="10">
        <v>74</v>
      </c>
      <c r="F75" s="28">
        <f t="shared" si="22"/>
        <v>900000</v>
      </c>
      <c r="G75" s="6">
        <v>6</v>
      </c>
      <c r="H75" s="5" t="str">
        <f t="array" ref="H75">IFERROR(INDEX($F$2:$F$181,SMALL(IF($G$2:$G$181=19,ROW($A$1:$A$180),""),ROW(A1))),"")</f>
        <v/>
      </c>
      <c r="J75" s="36"/>
      <c r="K75" s="12"/>
      <c r="L75" s="12"/>
      <c r="M75" s="62"/>
      <c r="N75" s="13"/>
      <c r="O75" s="8"/>
      <c r="P75" s="13"/>
      <c r="Q75" s="13"/>
      <c r="R75" s="9"/>
      <c r="S75" s="9"/>
    </row>
    <row r="76" spans="1:19" ht="14.55" thickBot="1" x14ac:dyDescent="0.35">
      <c r="A76" s="78"/>
      <c r="B76" s="74"/>
      <c r="C76" s="11" t="s">
        <v>2</v>
      </c>
      <c r="D76" s="11">
        <v>6</v>
      </c>
      <c r="E76" s="11">
        <v>7</v>
      </c>
      <c r="F76" s="32">
        <f t="shared" si="23"/>
        <v>812500</v>
      </c>
      <c r="G76" s="6"/>
      <c r="H76" s="5" t="str">
        <f t="array" ref="H76">IFERROR(INDEX($F$2:$F$181,SMALL(IF($G$2:$G$181=19,ROW($A$1:$A$180),""),ROW(A2))),"")</f>
        <v/>
      </c>
      <c r="J76" s="36"/>
      <c r="K76" s="12"/>
      <c r="L76" s="12"/>
      <c r="M76" s="62"/>
      <c r="N76" s="13"/>
      <c r="O76" s="8"/>
      <c r="P76" s="13"/>
      <c r="Q76" s="13"/>
      <c r="R76" s="9"/>
      <c r="S76" s="9"/>
    </row>
    <row r="77" spans="1:19" ht="14.55" thickTop="1" x14ac:dyDescent="0.3">
      <c r="A77" s="78"/>
      <c r="B77" s="75">
        <v>2</v>
      </c>
      <c r="C77" s="26" t="s">
        <v>53</v>
      </c>
      <c r="D77" s="7" t="s">
        <v>57</v>
      </c>
      <c r="E77" s="7"/>
      <c r="F77" s="30" t="e">
        <f t="shared" si="21"/>
        <v>#DIV/0!</v>
      </c>
      <c r="G77" s="6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5" t="e">
        <f>STDEV(H75:H77)</f>
        <v>#DIV/0!</v>
      </c>
      <c r="K77" s="12"/>
      <c r="L77" s="12"/>
      <c r="M77" s="62"/>
      <c r="N77" s="13"/>
      <c r="O77" s="8"/>
      <c r="P77" s="13"/>
      <c r="Q77" s="13"/>
      <c r="R77" s="9"/>
      <c r="S77" s="9"/>
    </row>
    <row r="78" spans="1:19" x14ac:dyDescent="0.3">
      <c r="A78" s="78"/>
      <c r="B78" s="73"/>
      <c r="C78" s="10" t="s">
        <v>4</v>
      </c>
      <c r="D78" s="10">
        <v>73</v>
      </c>
      <c r="E78" s="10">
        <v>77</v>
      </c>
      <c r="F78" s="28">
        <f t="shared" si="22"/>
        <v>937500</v>
      </c>
      <c r="G78" s="6">
        <v>6</v>
      </c>
      <c r="H78" s="5" t="s">
        <v>30</v>
      </c>
      <c r="J78" s="36"/>
      <c r="K78" s="12"/>
      <c r="L78" s="12"/>
      <c r="M78" s="62"/>
      <c r="N78" s="13"/>
      <c r="O78" s="8"/>
      <c r="P78" s="13"/>
      <c r="Q78" s="13"/>
      <c r="R78" s="9"/>
      <c r="S78" s="9"/>
    </row>
    <row r="79" spans="1:19" ht="14.55" thickBot="1" x14ac:dyDescent="0.35">
      <c r="A79" s="78"/>
      <c r="B79" s="74"/>
      <c r="C79" s="11" t="s">
        <v>2</v>
      </c>
      <c r="D79" s="11">
        <v>8</v>
      </c>
      <c r="E79" s="11">
        <v>8</v>
      </c>
      <c r="F79" s="32">
        <f t="shared" si="23"/>
        <v>1000000</v>
      </c>
      <c r="G79" s="6"/>
      <c r="H79" s="5" t="str">
        <f t="array" ref="H79">IFERROR(INDEX($F$2:$F$181,SMALL(IF($G$2:$G$181=20,ROW($A$1:$A$180),""),ROW(A1))),"")</f>
        <v/>
      </c>
      <c r="J79" s="36"/>
      <c r="K79" s="12"/>
      <c r="L79" s="12"/>
      <c r="M79" s="62"/>
      <c r="N79" s="13"/>
      <c r="O79" s="8"/>
      <c r="P79" s="13"/>
      <c r="Q79" s="13"/>
      <c r="R79" s="9"/>
      <c r="S79" s="9"/>
    </row>
    <row r="80" spans="1:19" ht="14.55" thickTop="1" x14ac:dyDescent="0.3">
      <c r="A80" s="78"/>
      <c r="B80" s="75">
        <v>3</v>
      </c>
      <c r="C80" s="26" t="s">
        <v>53</v>
      </c>
      <c r="D80" s="7" t="s">
        <v>57</v>
      </c>
      <c r="E80" s="7"/>
      <c r="F80" s="30" t="e">
        <f t="shared" si="21"/>
        <v>#DIV/0!</v>
      </c>
      <c r="G80" s="6"/>
      <c r="H80" s="5" t="str">
        <f t="array" ref="H80">IFERROR(INDEX($F$2:$F$181,SMALL(IF($G$2:$G$181=20,ROW($A$1:$A$180),""),ROW(A2))),"")</f>
        <v/>
      </c>
      <c r="J80" s="36"/>
      <c r="K80" s="12"/>
      <c r="L80" s="12"/>
      <c r="M80" s="62"/>
      <c r="N80" s="13"/>
      <c r="O80" s="8"/>
      <c r="P80" s="13"/>
      <c r="Q80" s="13"/>
      <c r="R80" s="9"/>
      <c r="S80" s="9"/>
    </row>
    <row r="81" spans="1:22" x14ac:dyDescent="0.3">
      <c r="A81" s="78"/>
      <c r="B81" s="73"/>
      <c r="C81" s="10" t="s">
        <v>4</v>
      </c>
      <c r="D81" s="10">
        <v>106</v>
      </c>
      <c r="E81" s="10">
        <v>88</v>
      </c>
      <c r="F81" s="28">
        <f t="shared" si="22"/>
        <v>1212500</v>
      </c>
      <c r="G81" s="6">
        <v>6</v>
      </c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5" t="e">
        <f>STDEV(H79:H81)</f>
        <v>#DIV/0!</v>
      </c>
      <c r="K81" s="12"/>
      <c r="L81" s="12"/>
      <c r="M81" s="62"/>
      <c r="N81" s="13"/>
      <c r="O81" s="8"/>
      <c r="P81" s="13"/>
      <c r="Q81" s="13"/>
      <c r="R81" s="9"/>
      <c r="S81" s="9"/>
    </row>
    <row r="82" spans="1:22" ht="14.55" thickBot="1" x14ac:dyDescent="0.35">
      <c r="A82" s="79"/>
      <c r="B82" s="76"/>
      <c r="C82" s="11" t="s">
        <v>2</v>
      </c>
      <c r="D82" s="31">
        <v>11</v>
      </c>
      <c r="E82" s="31">
        <v>10</v>
      </c>
      <c r="F82" s="32">
        <f t="shared" si="23"/>
        <v>1312500</v>
      </c>
      <c r="G82" s="6"/>
      <c r="J82" s="36"/>
      <c r="K82" s="12"/>
      <c r="L82" s="12"/>
      <c r="M82" s="62"/>
      <c r="N82" s="13"/>
      <c r="O82" s="8"/>
      <c r="P82" s="13"/>
      <c r="Q82" s="13"/>
      <c r="R82" s="9"/>
      <c r="S82" s="9"/>
    </row>
    <row r="83" spans="1:22" ht="14.55" thickTop="1" x14ac:dyDescent="0.3">
      <c r="A83" s="77" t="s">
        <v>67</v>
      </c>
      <c r="B83" s="72">
        <v>1</v>
      </c>
      <c r="C83" s="26" t="s">
        <v>53</v>
      </c>
      <c r="D83" s="26" t="s">
        <v>57</v>
      </c>
      <c r="E83" s="26"/>
      <c r="F83" s="30" t="e">
        <f t="shared" si="21"/>
        <v>#DIV/0!</v>
      </c>
      <c r="G83" s="6"/>
      <c r="J83" s="36"/>
      <c r="K83" s="12"/>
      <c r="L83" s="12"/>
      <c r="M83" s="62"/>
      <c r="N83" s="13"/>
      <c r="O83" s="8"/>
      <c r="P83" s="13"/>
      <c r="Q83" s="13"/>
      <c r="R83" s="9"/>
      <c r="S83" s="9"/>
      <c r="T83" s="44"/>
      <c r="U83" s="44"/>
      <c r="V83" s="14"/>
    </row>
    <row r="84" spans="1:22" x14ac:dyDescent="0.3">
      <c r="A84" s="78"/>
      <c r="B84" s="73"/>
      <c r="C84" s="10" t="s">
        <v>4</v>
      </c>
      <c r="D84" s="10">
        <v>55</v>
      </c>
      <c r="E84" s="10">
        <v>79</v>
      </c>
      <c r="F84" s="28">
        <f t="shared" si="22"/>
        <v>837500</v>
      </c>
      <c r="G84" s="6"/>
      <c r="J84" s="36"/>
      <c r="K84" s="12"/>
      <c r="L84" s="12"/>
      <c r="M84" s="62"/>
      <c r="N84" s="13"/>
      <c r="O84" s="8"/>
      <c r="P84" s="13"/>
      <c r="Q84" s="13"/>
      <c r="R84" s="9"/>
      <c r="S84" s="9"/>
    </row>
    <row r="85" spans="1:22" ht="14.55" thickBot="1" x14ac:dyDescent="0.35">
      <c r="A85" s="78"/>
      <c r="B85" s="74"/>
      <c r="C85" s="11" t="s">
        <v>2</v>
      </c>
      <c r="D85" s="11">
        <v>6</v>
      </c>
      <c r="E85" s="11">
        <v>6</v>
      </c>
      <c r="F85" s="32">
        <f t="shared" si="23"/>
        <v>750000</v>
      </c>
      <c r="G85" s="6">
        <v>8</v>
      </c>
      <c r="J85" s="36"/>
      <c r="K85" s="12"/>
      <c r="L85" s="12"/>
      <c r="M85" s="62"/>
      <c r="N85" s="13"/>
      <c r="O85" s="8"/>
      <c r="P85" s="13"/>
      <c r="Q85" s="13"/>
      <c r="R85" s="9"/>
      <c r="S85" s="9"/>
    </row>
    <row r="86" spans="1:22" ht="14.55" thickTop="1" x14ac:dyDescent="0.3">
      <c r="A86" s="78"/>
      <c r="B86" s="75">
        <v>2</v>
      </c>
      <c r="C86" s="26" t="s">
        <v>53</v>
      </c>
      <c r="D86" s="7">
        <v>247</v>
      </c>
      <c r="E86" s="7"/>
      <c r="F86" s="30">
        <f t="shared" si="21"/>
        <v>308750</v>
      </c>
      <c r="G86" s="6">
        <v>8</v>
      </c>
      <c r="J86" s="36"/>
      <c r="K86" s="12"/>
      <c r="L86" s="12"/>
      <c r="M86" s="62"/>
      <c r="N86" s="13"/>
      <c r="O86" s="8"/>
      <c r="P86" s="13"/>
      <c r="Q86" s="13"/>
      <c r="R86" s="9"/>
      <c r="S86" s="9"/>
    </row>
    <row r="87" spans="1:22" x14ac:dyDescent="0.3">
      <c r="A87" s="78"/>
      <c r="B87" s="73"/>
      <c r="C87" s="10" t="s">
        <v>4</v>
      </c>
      <c r="D87" s="10">
        <v>21</v>
      </c>
      <c r="E87" s="10">
        <v>16</v>
      </c>
      <c r="F87" s="28">
        <f t="shared" si="22"/>
        <v>231250</v>
      </c>
      <c r="G87" s="6"/>
      <c r="J87" s="36"/>
      <c r="K87" s="12"/>
      <c r="L87" s="12"/>
      <c r="M87" s="62"/>
      <c r="N87" s="13"/>
      <c r="O87" s="8"/>
      <c r="P87" s="13"/>
      <c r="Q87" s="13"/>
      <c r="R87" s="9"/>
      <c r="S87" s="9"/>
    </row>
    <row r="88" spans="1:22" ht="14.55" thickBot="1" x14ac:dyDescent="0.35">
      <c r="A88" s="78"/>
      <c r="B88" s="74"/>
      <c r="C88" s="11" t="s">
        <v>2</v>
      </c>
      <c r="D88" s="11" t="s">
        <v>56</v>
      </c>
      <c r="E88" s="11"/>
      <c r="F88" s="32" t="e">
        <f t="shared" si="23"/>
        <v>#DIV/0!</v>
      </c>
      <c r="G88" s="6"/>
      <c r="J88" s="36"/>
      <c r="K88" s="12"/>
      <c r="L88" s="12"/>
      <c r="M88" s="62"/>
      <c r="N88" s="13"/>
      <c r="O88" s="8"/>
      <c r="P88" s="13"/>
      <c r="Q88" s="13"/>
      <c r="R88" s="9"/>
      <c r="S88" s="9"/>
    </row>
    <row r="89" spans="1:22" ht="14.55" thickTop="1" x14ac:dyDescent="0.3">
      <c r="A89" s="78"/>
      <c r="B89" s="75">
        <v>3</v>
      </c>
      <c r="C89" s="26" t="s">
        <v>53</v>
      </c>
      <c r="D89" s="7">
        <v>226</v>
      </c>
      <c r="E89" s="7"/>
      <c r="F89" s="30">
        <f t="shared" si="21"/>
        <v>282500</v>
      </c>
      <c r="G89" s="6">
        <v>8</v>
      </c>
      <c r="J89" s="36"/>
      <c r="K89" s="12"/>
      <c r="L89" s="12"/>
      <c r="M89" s="62"/>
      <c r="N89" s="13"/>
      <c r="O89" s="8"/>
      <c r="P89" s="13"/>
      <c r="Q89" s="13"/>
      <c r="R89" s="9"/>
      <c r="S89" s="9"/>
    </row>
    <row r="90" spans="1:22" x14ac:dyDescent="0.3">
      <c r="A90" s="78"/>
      <c r="B90" s="73"/>
      <c r="C90" s="10" t="s">
        <v>4</v>
      </c>
      <c r="D90" s="10">
        <v>24</v>
      </c>
      <c r="E90" s="10">
        <v>15</v>
      </c>
      <c r="F90" s="28">
        <f t="shared" si="22"/>
        <v>243750</v>
      </c>
      <c r="G90" s="6"/>
      <c r="J90" s="36"/>
      <c r="K90" s="12"/>
      <c r="L90" s="12"/>
      <c r="M90" s="62"/>
      <c r="N90" s="13"/>
      <c r="O90" s="8"/>
      <c r="P90" s="13"/>
      <c r="Q90" s="13"/>
      <c r="R90" s="9"/>
      <c r="S90" s="9"/>
    </row>
    <row r="91" spans="1:22" ht="14.55" thickBot="1" x14ac:dyDescent="0.35">
      <c r="A91" s="79"/>
      <c r="B91" s="76"/>
      <c r="C91" s="11" t="s">
        <v>2</v>
      </c>
      <c r="D91" s="31" t="s">
        <v>56</v>
      </c>
      <c r="E91" s="31"/>
      <c r="F91" s="32" t="e">
        <f t="shared" si="23"/>
        <v>#DIV/0!</v>
      </c>
      <c r="G91" s="6"/>
      <c r="J91" s="36"/>
      <c r="K91" s="12"/>
      <c r="L91" s="12"/>
      <c r="M91" s="62"/>
      <c r="N91" s="13"/>
      <c r="O91" s="8"/>
      <c r="P91" s="13"/>
      <c r="Q91" s="13"/>
      <c r="R91" s="9"/>
      <c r="S91" s="9"/>
    </row>
    <row r="92" spans="1:22" ht="14.55" thickTop="1" x14ac:dyDescent="0.3">
      <c r="A92" s="80" t="s">
        <v>68</v>
      </c>
      <c r="B92" s="72">
        <v>1</v>
      </c>
      <c r="C92" s="26" t="s">
        <v>53</v>
      </c>
      <c r="D92" s="26" t="s">
        <v>57</v>
      </c>
      <c r="E92" s="26"/>
      <c r="F92" s="30" t="e">
        <f t="shared" si="21"/>
        <v>#DIV/0!</v>
      </c>
      <c r="G92" s="6"/>
      <c r="J92" s="36"/>
      <c r="K92" s="12"/>
      <c r="L92" s="12"/>
      <c r="M92" s="62"/>
      <c r="N92" s="13"/>
      <c r="O92" s="8"/>
      <c r="P92" s="13"/>
      <c r="Q92" s="13"/>
      <c r="R92" s="9"/>
      <c r="S92" s="9"/>
    </row>
    <row r="93" spans="1:22" ht="14.55" thickBot="1" x14ac:dyDescent="0.35">
      <c r="A93" s="78"/>
      <c r="B93" s="73"/>
      <c r="C93" s="10" t="s">
        <v>4</v>
      </c>
      <c r="D93" s="10">
        <v>47</v>
      </c>
      <c r="E93" s="10">
        <v>39</v>
      </c>
      <c r="F93" s="28">
        <f t="shared" si="22"/>
        <v>537500</v>
      </c>
      <c r="G93" s="6">
        <v>10</v>
      </c>
      <c r="J93" s="36"/>
      <c r="K93" s="12"/>
      <c r="L93" s="12"/>
      <c r="M93" s="62"/>
      <c r="N93" s="13"/>
      <c r="O93" s="8"/>
      <c r="P93" s="13"/>
      <c r="Q93" s="13"/>
      <c r="R93" s="9"/>
      <c r="S93" s="9"/>
      <c r="T93" s="40"/>
      <c r="U93" s="40"/>
      <c r="V93" s="15"/>
    </row>
    <row r="94" spans="1:22" ht="14.55" thickBot="1" x14ac:dyDescent="0.35">
      <c r="A94" s="78"/>
      <c r="B94" s="74"/>
      <c r="C94" s="11" t="s">
        <v>2</v>
      </c>
      <c r="D94" s="11">
        <v>4</v>
      </c>
      <c r="E94" s="11"/>
      <c r="F94" s="32">
        <f t="shared" si="23"/>
        <v>500000</v>
      </c>
      <c r="G94" s="6"/>
      <c r="J94" s="36"/>
      <c r="K94" s="12"/>
      <c r="L94" s="12"/>
      <c r="M94" s="62"/>
      <c r="N94" s="13"/>
      <c r="O94" s="8"/>
      <c r="P94" s="13"/>
      <c r="Q94" s="13"/>
      <c r="R94" s="9"/>
      <c r="S94" s="9"/>
    </row>
    <row r="95" spans="1:22" ht="14.55" thickTop="1" x14ac:dyDescent="0.3">
      <c r="A95" s="78"/>
      <c r="B95" s="75">
        <v>2</v>
      </c>
      <c r="C95" s="26" t="s">
        <v>53</v>
      </c>
      <c r="D95" s="7" t="s">
        <v>57</v>
      </c>
      <c r="E95" s="7"/>
      <c r="F95" s="30" t="e">
        <f t="shared" si="21"/>
        <v>#DIV/0!</v>
      </c>
      <c r="G95" s="6"/>
      <c r="J95" s="36"/>
      <c r="K95" s="12"/>
      <c r="L95" s="12"/>
      <c r="M95" s="62"/>
      <c r="N95" s="13"/>
      <c r="O95" s="8"/>
      <c r="P95" s="13"/>
      <c r="Q95" s="13"/>
      <c r="R95" s="9"/>
      <c r="S95" s="9"/>
    </row>
    <row r="96" spans="1:22" x14ac:dyDescent="0.3">
      <c r="A96" s="78"/>
      <c r="B96" s="73"/>
      <c r="C96" s="10" t="s">
        <v>4</v>
      </c>
      <c r="D96" s="10">
        <v>37</v>
      </c>
      <c r="E96" s="10">
        <v>32</v>
      </c>
      <c r="F96" s="28">
        <f t="shared" si="22"/>
        <v>431250</v>
      </c>
      <c r="G96" s="6"/>
      <c r="J96" s="36"/>
      <c r="K96" s="12"/>
      <c r="L96" s="12"/>
      <c r="M96" s="62"/>
      <c r="N96" s="13"/>
      <c r="O96" s="8"/>
      <c r="P96" s="13"/>
      <c r="Q96" s="13"/>
      <c r="R96" s="9"/>
      <c r="S96" s="9"/>
    </row>
    <row r="97" spans="1:19" ht="14.55" thickBot="1" x14ac:dyDescent="0.35">
      <c r="A97" s="78"/>
      <c r="B97" s="74"/>
      <c r="C97" s="11" t="s">
        <v>2</v>
      </c>
      <c r="D97" s="11">
        <v>4</v>
      </c>
      <c r="E97" s="11">
        <v>4</v>
      </c>
      <c r="F97" s="32">
        <f t="shared" si="23"/>
        <v>500000</v>
      </c>
      <c r="G97" s="6">
        <v>10</v>
      </c>
      <c r="J97" s="36"/>
      <c r="K97" s="12"/>
      <c r="L97" s="12"/>
      <c r="M97" s="62"/>
      <c r="N97" s="13"/>
      <c r="O97" s="8"/>
      <c r="P97" s="13"/>
      <c r="Q97" s="13"/>
      <c r="R97" s="9"/>
      <c r="S97" s="9"/>
    </row>
    <row r="98" spans="1:19" ht="14.55" thickTop="1" x14ac:dyDescent="0.3">
      <c r="A98" s="78"/>
      <c r="B98" s="75">
        <v>3</v>
      </c>
      <c r="C98" s="26" t="s">
        <v>53</v>
      </c>
      <c r="D98" s="7" t="s">
        <v>57</v>
      </c>
      <c r="E98" s="7"/>
      <c r="F98" s="30" t="e">
        <f t="shared" si="21"/>
        <v>#DIV/0!</v>
      </c>
      <c r="G98" s="6"/>
      <c r="J98" s="36"/>
      <c r="K98" s="12"/>
      <c r="L98" s="12"/>
      <c r="M98" s="62"/>
      <c r="N98" s="13"/>
      <c r="O98" s="8"/>
      <c r="P98" s="13"/>
      <c r="Q98" s="13"/>
      <c r="R98" s="9"/>
      <c r="S98" s="9"/>
    </row>
    <row r="99" spans="1:19" x14ac:dyDescent="0.3">
      <c r="A99" s="78"/>
      <c r="B99" s="73"/>
      <c r="C99" s="10" t="s">
        <v>4</v>
      </c>
      <c r="D99" s="10">
        <v>38</v>
      </c>
      <c r="E99" s="10">
        <v>41</v>
      </c>
      <c r="F99" s="28">
        <f t="shared" si="22"/>
        <v>493750</v>
      </c>
      <c r="G99" s="6"/>
      <c r="J99" s="36"/>
      <c r="K99" s="12"/>
      <c r="L99" s="12"/>
      <c r="M99" s="62"/>
      <c r="N99" s="13"/>
      <c r="O99" s="8"/>
      <c r="P99" s="13"/>
      <c r="Q99" s="13"/>
      <c r="R99" s="9"/>
      <c r="S99" s="9"/>
    </row>
    <row r="100" spans="1:19" ht="14.55" thickBot="1" x14ac:dyDescent="0.35">
      <c r="A100" s="79"/>
      <c r="B100" s="76"/>
      <c r="C100" s="11" t="s">
        <v>2</v>
      </c>
      <c r="D100" s="31">
        <v>4</v>
      </c>
      <c r="E100" s="31">
        <v>4</v>
      </c>
      <c r="F100" s="32">
        <f t="shared" si="23"/>
        <v>500000</v>
      </c>
      <c r="G100" s="6">
        <v>10</v>
      </c>
      <c r="J100" s="36"/>
      <c r="K100" s="12"/>
      <c r="L100" s="12"/>
      <c r="M100" s="62"/>
      <c r="N100" s="13"/>
      <c r="O100" s="8"/>
      <c r="P100" s="13"/>
      <c r="Q100" s="13"/>
      <c r="R100" s="9"/>
      <c r="S100" s="9"/>
    </row>
    <row r="101" spans="1:19" ht="14.55" thickTop="1" x14ac:dyDescent="0.3">
      <c r="A101" s="80" t="s">
        <v>69</v>
      </c>
      <c r="B101" s="72">
        <v>1</v>
      </c>
      <c r="C101" s="26" t="s">
        <v>53</v>
      </c>
      <c r="D101" s="26">
        <v>130</v>
      </c>
      <c r="E101" s="26">
        <v>103</v>
      </c>
      <c r="F101" s="30">
        <f t="shared" si="21"/>
        <v>145625</v>
      </c>
      <c r="G101" s="6">
        <v>12</v>
      </c>
      <c r="J101" s="36"/>
      <c r="K101" s="12"/>
      <c r="L101" s="12"/>
      <c r="M101" s="62"/>
      <c r="N101" s="13"/>
      <c r="O101" s="8"/>
      <c r="P101" s="13"/>
      <c r="Q101" s="13"/>
      <c r="R101" s="9"/>
      <c r="S101" s="9"/>
    </row>
    <row r="102" spans="1:19" x14ac:dyDescent="0.3">
      <c r="A102" s="78"/>
      <c r="B102" s="73"/>
      <c r="C102" s="10" t="s">
        <v>4</v>
      </c>
      <c r="D102" s="10">
        <v>10</v>
      </c>
      <c r="E102" s="10">
        <v>15</v>
      </c>
      <c r="F102" s="28">
        <f t="shared" si="22"/>
        <v>156250</v>
      </c>
      <c r="G102" s="6"/>
      <c r="J102" s="36"/>
      <c r="K102" s="12"/>
      <c r="L102" s="12"/>
      <c r="M102" s="62"/>
      <c r="N102" s="13"/>
      <c r="O102" s="8"/>
      <c r="P102" s="13"/>
      <c r="Q102" s="13"/>
      <c r="R102" s="9"/>
      <c r="S102" s="9"/>
    </row>
    <row r="103" spans="1:19" ht="14.55" thickBot="1" x14ac:dyDescent="0.35">
      <c r="A103" s="78"/>
      <c r="B103" s="74"/>
      <c r="C103" s="11" t="s">
        <v>2</v>
      </c>
      <c r="D103" s="11" t="s">
        <v>56</v>
      </c>
      <c r="E103" s="11"/>
      <c r="F103" s="32" t="e">
        <f t="shared" si="23"/>
        <v>#DIV/0!</v>
      </c>
      <c r="G103" s="6"/>
      <c r="J103" s="36"/>
      <c r="K103" s="12"/>
      <c r="L103" s="12"/>
      <c r="M103" s="62"/>
      <c r="N103" s="13"/>
      <c r="O103" s="8"/>
      <c r="P103" s="13"/>
      <c r="Q103" s="13"/>
      <c r="R103" s="9"/>
      <c r="S103" s="9"/>
    </row>
    <row r="104" spans="1:19" ht="14.55" thickTop="1" x14ac:dyDescent="0.3">
      <c r="A104" s="78"/>
      <c r="B104" s="75">
        <v>2</v>
      </c>
      <c r="C104" s="26" t="s">
        <v>53</v>
      </c>
      <c r="D104" s="7">
        <v>177</v>
      </c>
      <c r="E104" s="7">
        <v>180</v>
      </c>
      <c r="F104" s="30">
        <f t="shared" si="21"/>
        <v>223125</v>
      </c>
      <c r="G104" s="6">
        <v>12</v>
      </c>
      <c r="J104" s="36"/>
      <c r="K104" s="12"/>
      <c r="L104" s="12"/>
      <c r="M104" s="62"/>
      <c r="N104" s="13"/>
      <c r="O104" s="8"/>
      <c r="P104" s="13"/>
      <c r="Q104" s="13"/>
      <c r="R104" s="9"/>
      <c r="S104" s="9"/>
    </row>
    <row r="105" spans="1:19" x14ac:dyDescent="0.3">
      <c r="A105" s="78"/>
      <c r="B105" s="73"/>
      <c r="C105" s="10" t="s">
        <v>4</v>
      </c>
      <c r="D105" s="10">
        <v>20</v>
      </c>
      <c r="E105" s="10">
        <v>22</v>
      </c>
      <c r="F105" s="28">
        <f t="shared" si="22"/>
        <v>262500</v>
      </c>
      <c r="G105" s="6"/>
      <c r="J105" s="36"/>
      <c r="K105" s="12"/>
      <c r="L105" s="12"/>
      <c r="M105" s="62"/>
      <c r="N105" s="13"/>
      <c r="O105" s="8"/>
      <c r="P105" s="13"/>
      <c r="Q105" s="13"/>
      <c r="R105" s="9"/>
      <c r="S105" s="9"/>
    </row>
    <row r="106" spans="1:19" ht="14.55" thickBot="1" x14ac:dyDescent="0.35">
      <c r="A106" s="78"/>
      <c r="B106" s="74"/>
      <c r="C106" s="11" t="s">
        <v>2</v>
      </c>
      <c r="D106" s="11" t="s">
        <v>56</v>
      </c>
      <c r="E106" s="11"/>
      <c r="F106" s="32" t="e">
        <f t="shared" si="23"/>
        <v>#DIV/0!</v>
      </c>
      <c r="G106" s="6"/>
      <c r="J106" s="36"/>
      <c r="K106" s="12"/>
      <c r="L106" s="12"/>
      <c r="M106" s="62"/>
      <c r="N106" s="13"/>
      <c r="O106" s="8"/>
      <c r="P106" s="13"/>
      <c r="Q106" s="13"/>
      <c r="R106" s="9"/>
      <c r="S106" s="9"/>
    </row>
    <row r="107" spans="1:19" ht="14.55" thickTop="1" x14ac:dyDescent="0.3">
      <c r="A107" s="78"/>
      <c r="B107" s="75">
        <v>3</v>
      </c>
      <c r="C107" s="26" t="s">
        <v>53</v>
      </c>
      <c r="D107" s="7" t="s">
        <v>57</v>
      </c>
      <c r="E107" s="7"/>
      <c r="F107" s="30" t="e">
        <f t="shared" si="21"/>
        <v>#DIV/0!</v>
      </c>
      <c r="G107" s="6"/>
      <c r="J107" s="36"/>
      <c r="K107" s="12"/>
      <c r="L107" s="12"/>
      <c r="M107" s="62"/>
      <c r="N107" s="13"/>
      <c r="O107" s="8"/>
      <c r="P107" s="13"/>
      <c r="Q107" s="13"/>
      <c r="R107" s="9"/>
      <c r="S107" s="9"/>
    </row>
    <row r="108" spans="1:19" x14ac:dyDescent="0.3">
      <c r="A108" s="78"/>
      <c r="B108" s="73"/>
      <c r="C108" s="10" t="s">
        <v>4</v>
      </c>
      <c r="D108" s="10">
        <v>109</v>
      </c>
      <c r="E108" s="10">
        <v>103</v>
      </c>
      <c r="F108" s="28">
        <f t="shared" si="22"/>
        <v>1325000</v>
      </c>
      <c r="G108" s="6">
        <v>12</v>
      </c>
      <c r="J108" s="36"/>
      <c r="K108" s="12"/>
      <c r="L108" s="12"/>
      <c r="M108" s="62"/>
      <c r="N108" s="13"/>
      <c r="O108" s="8"/>
      <c r="P108" s="13"/>
      <c r="Q108" s="13"/>
      <c r="R108" s="9"/>
      <c r="S108" s="9"/>
    </row>
    <row r="109" spans="1:19" ht="14.55" thickBot="1" x14ac:dyDescent="0.35">
      <c r="A109" s="79"/>
      <c r="B109" s="76"/>
      <c r="C109" s="11" t="s">
        <v>2</v>
      </c>
      <c r="D109" s="31">
        <v>10</v>
      </c>
      <c r="E109" s="31"/>
      <c r="F109" s="32">
        <f t="shared" si="23"/>
        <v>1250000</v>
      </c>
      <c r="G109" s="6"/>
      <c r="J109" s="36"/>
      <c r="K109" s="12"/>
      <c r="L109" s="12"/>
      <c r="M109" s="62"/>
      <c r="N109" s="13"/>
      <c r="O109" s="8"/>
      <c r="P109" s="13"/>
      <c r="Q109" s="13"/>
      <c r="R109" s="9"/>
      <c r="S109" s="9"/>
    </row>
    <row r="110" spans="1:19" ht="14.55" thickTop="1" x14ac:dyDescent="0.3">
      <c r="A110" s="45"/>
      <c r="B110" s="72">
        <v>1</v>
      </c>
      <c r="C110" s="26"/>
      <c r="D110" s="26"/>
      <c r="E110" s="26"/>
      <c r="F110" s="27"/>
      <c r="G110" s="6"/>
      <c r="J110" s="36"/>
      <c r="K110" s="12"/>
      <c r="L110" s="12"/>
      <c r="M110" s="62"/>
      <c r="N110" s="13"/>
      <c r="O110" s="8"/>
      <c r="P110" s="13"/>
      <c r="Q110" s="13"/>
      <c r="R110" s="9"/>
      <c r="S110" s="9"/>
    </row>
    <row r="111" spans="1:19" x14ac:dyDescent="0.3">
      <c r="A111" s="46"/>
      <c r="B111" s="73"/>
      <c r="C111" s="10"/>
      <c r="D111" s="10"/>
      <c r="E111" s="10"/>
      <c r="F111" s="28"/>
      <c r="G111" s="6"/>
      <c r="J111" s="36"/>
      <c r="K111" s="12"/>
      <c r="L111" s="12"/>
      <c r="M111" s="62"/>
      <c r="N111" s="13"/>
      <c r="O111" s="8"/>
      <c r="P111" s="13"/>
      <c r="Q111" s="13"/>
      <c r="R111" s="9"/>
      <c r="S111" s="9"/>
    </row>
    <row r="112" spans="1:19" ht="14.55" thickBot="1" x14ac:dyDescent="0.35">
      <c r="A112" s="46"/>
      <c r="B112" s="74"/>
      <c r="C112" s="11"/>
      <c r="D112" s="11"/>
      <c r="E112" s="11"/>
      <c r="F112" s="29"/>
      <c r="G112" s="6"/>
      <c r="J112" s="36"/>
      <c r="K112" s="12"/>
      <c r="L112" s="12"/>
      <c r="M112" s="62"/>
      <c r="N112" s="13"/>
      <c r="O112" s="8"/>
      <c r="P112" s="13"/>
      <c r="Q112" s="13"/>
      <c r="R112" s="9"/>
      <c r="S112" s="9"/>
    </row>
    <row r="113" spans="1:19" x14ac:dyDescent="0.3">
      <c r="A113" s="46"/>
      <c r="B113" s="75">
        <v>2</v>
      </c>
      <c r="C113" s="7"/>
      <c r="D113" s="7"/>
      <c r="E113" s="7"/>
      <c r="F113" s="30"/>
      <c r="G113" s="6"/>
      <c r="J113" s="36"/>
      <c r="K113" s="12"/>
      <c r="L113" s="12"/>
      <c r="M113" s="62"/>
      <c r="N113" s="13"/>
      <c r="O113" s="8"/>
      <c r="P113" s="13"/>
      <c r="Q113" s="13"/>
      <c r="R113" s="9"/>
      <c r="S113" s="9"/>
    </row>
    <row r="114" spans="1:19" x14ac:dyDescent="0.3">
      <c r="A114" s="46"/>
      <c r="B114" s="73"/>
      <c r="C114" s="10"/>
      <c r="D114" s="10"/>
      <c r="E114" s="10"/>
      <c r="F114" s="28"/>
      <c r="G114" s="6"/>
      <c r="J114" s="36"/>
      <c r="K114" s="12"/>
      <c r="L114" s="12"/>
      <c r="M114" s="62"/>
      <c r="N114" s="13"/>
      <c r="O114" s="8"/>
      <c r="P114" s="13"/>
      <c r="Q114" s="13"/>
      <c r="R114" s="9"/>
      <c r="S114" s="9"/>
    </row>
    <row r="115" spans="1:19" ht="14.55" thickBot="1" x14ac:dyDescent="0.35">
      <c r="A115" s="46"/>
      <c r="B115" s="74"/>
      <c r="C115" s="11"/>
      <c r="D115" s="11"/>
      <c r="E115" s="11"/>
      <c r="F115" s="29"/>
      <c r="G115" s="6"/>
      <c r="J115" s="36"/>
      <c r="K115" s="12"/>
      <c r="L115" s="12"/>
      <c r="M115" s="62"/>
      <c r="N115" s="13"/>
      <c r="O115" s="8"/>
      <c r="P115" s="13"/>
      <c r="Q115" s="13"/>
      <c r="R115" s="9"/>
      <c r="S115" s="9"/>
    </row>
    <row r="116" spans="1:19" x14ac:dyDescent="0.3">
      <c r="A116" s="46"/>
      <c r="B116" s="75">
        <v>3</v>
      </c>
      <c r="C116" s="7"/>
      <c r="D116" s="7"/>
      <c r="E116" s="7"/>
      <c r="F116" s="30"/>
      <c r="G116" s="6"/>
      <c r="J116" s="36"/>
      <c r="K116" s="12"/>
      <c r="L116" s="12"/>
      <c r="M116" s="62"/>
      <c r="N116" s="13"/>
      <c r="O116" s="8"/>
      <c r="P116" s="13"/>
      <c r="Q116" s="13"/>
      <c r="R116" s="9"/>
      <c r="S116" s="9"/>
    </row>
    <row r="117" spans="1:19" x14ac:dyDescent="0.3">
      <c r="A117" s="46"/>
      <c r="B117" s="73"/>
      <c r="C117" s="10"/>
      <c r="D117" s="10"/>
      <c r="E117" s="10"/>
      <c r="F117" s="28"/>
      <c r="G117" s="6"/>
      <c r="J117" s="36"/>
      <c r="K117" s="12"/>
      <c r="L117" s="12"/>
      <c r="M117" s="62"/>
      <c r="N117" s="13"/>
      <c r="O117" s="8"/>
      <c r="P117" s="13"/>
      <c r="Q117" s="13"/>
      <c r="R117" s="9"/>
      <c r="S117" s="9"/>
    </row>
    <row r="118" spans="1:19" ht="14.55" thickBot="1" x14ac:dyDescent="0.35">
      <c r="A118" s="47"/>
      <c r="B118" s="76"/>
      <c r="C118" s="31"/>
      <c r="D118" s="31"/>
      <c r="E118" s="31"/>
      <c r="F118" s="32"/>
      <c r="G118" s="6"/>
      <c r="J118" s="36"/>
      <c r="K118" s="12"/>
      <c r="L118" s="12"/>
      <c r="M118" s="62"/>
      <c r="N118" s="13"/>
      <c r="O118" s="8"/>
      <c r="P118" s="13"/>
      <c r="Q118" s="13"/>
      <c r="R118" s="9"/>
      <c r="S118" s="9"/>
    </row>
    <row r="119" spans="1:19" ht="14.55" thickTop="1" x14ac:dyDescent="0.3">
      <c r="A119" s="45"/>
      <c r="B119" s="48"/>
      <c r="C119" s="26"/>
      <c r="D119" s="26"/>
      <c r="E119" s="26"/>
      <c r="F119" s="27"/>
      <c r="G119" s="6"/>
      <c r="J119" s="36"/>
      <c r="K119" s="12"/>
      <c r="L119" s="12"/>
      <c r="M119" s="62"/>
      <c r="N119" s="13"/>
      <c r="O119" s="8"/>
      <c r="P119" s="13"/>
      <c r="Q119" s="13"/>
      <c r="R119" s="9"/>
      <c r="S119" s="9"/>
    </row>
    <row r="120" spans="1:19" x14ac:dyDescent="0.3">
      <c r="A120" s="46"/>
      <c r="B120" s="49"/>
      <c r="C120" s="10"/>
      <c r="D120" s="10"/>
      <c r="E120" s="10"/>
      <c r="F120" s="28"/>
      <c r="G120" s="6"/>
      <c r="J120" s="36"/>
      <c r="K120" s="12"/>
      <c r="L120" s="12"/>
      <c r="M120" s="62"/>
      <c r="N120" s="13"/>
      <c r="O120" s="8"/>
      <c r="P120" s="13"/>
      <c r="Q120" s="13"/>
      <c r="R120" s="9"/>
      <c r="S120" s="9"/>
    </row>
    <row r="121" spans="1:19" ht="14.55" thickBot="1" x14ac:dyDescent="0.35">
      <c r="A121" s="46"/>
      <c r="B121" s="50"/>
      <c r="C121" s="11"/>
      <c r="D121" s="11"/>
      <c r="E121" s="11"/>
      <c r="F121" s="29"/>
      <c r="G121" s="6"/>
      <c r="J121" s="36"/>
      <c r="K121" s="12"/>
      <c r="L121" s="12"/>
      <c r="M121" s="62"/>
      <c r="N121" s="13"/>
      <c r="O121" s="8"/>
      <c r="P121" s="13"/>
      <c r="Q121" s="13"/>
      <c r="R121" s="9"/>
      <c r="S121" s="9"/>
    </row>
    <row r="122" spans="1:19" x14ac:dyDescent="0.3">
      <c r="A122" s="46"/>
      <c r="B122" s="51"/>
      <c r="C122" s="7"/>
      <c r="D122" s="7"/>
      <c r="E122" s="7"/>
      <c r="F122" s="30"/>
      <c r="G122" s="6"/>
      <c r="J122" s="36"/>
      <c r="K122" s="12"/>
      <c r="L122" s="12"/>
      <c r="M122" s="62"/>
      <c r="N122" s="13"/>
      <c r="O122" s="8"/>
      <c r="P122" s="13"/>
      <c r="Q122" s="13"/>
      <c r="R122" s="9"/>
      <c r="S122" s="9"/>
    </row>
    <row r="123" spans="1:19" x14ac:dyDescent="0.3">
      <c r="A123" s="46"/>
      <c r="B123" s="49"/>
      <c r="C123" s="10"/>
      <c r="D123" s="10"/>
      <c r="E123" s="10"/>
      <c r="F123" s="28"/>
      <c r="G123" s="6"/>
      <c r="J123" s="36"/>
      <c r="K123" s="12"/>
      <c r="L123" s="12"/>
      <c r="M123" s="62"/>
      <c r="N123" s="13"/>
      <c r="O123" s="8"/>
      <c r="P123" s="13"/>
      <c r="Q123" s="13"/>
      <c r="R123" s="9"/>
      <c r="S123" s="9"/>
    </row>
    <row r="124" spans="1:19" ht="14.55" thickBot="1" x14ac:dyDescent="0.35">
      <c r="A124" s="46"/>
      <c r="B124" s="50"/>
      <c r="C124" s="11"/>
      <c r="D124" s="11"/>
      <c r="E124" s="11"/>
      <c r="F124" s="29"/>
      <c r="G124" s="6"/>
      <c r="J124" s="36"/>
      <c r="K124" s="12"/>
      <c r="L124" s="12"/>
      <c r="M124" s="62"/>
      <c r="N124" s="13"/>
      <c r="O124" s="8"/>
      <c r="P124" s="13"/>
      <c r="Q124" s="13"/>
      <c r="R124" s="9"/>
      <c r="S124" s="9"/>
    </row>
    <row r="125" spans="1:19" x14ac:dyDescent="0.3">
      <c r="A125" s="46"/>
      <c r="B125" s="51"/>
      <c r="C125" s="7"/>
      <c r="D125" s="7"/>
      <c r="E125" s="7"/>
      <c r="F125" s="30"/>
      <c r="G125" s="6"/>
      <c r="J125" s="36"/>
      <c r="K125" s="12"/>
      <c r="L125" s="12"/>
      <c r="M125" s="62"/>
      <c r="N125" s="13"/>
      <c r="O125" s="8"/>
      <c r="P125" s="13"/>
      <c r="Q125" s="13"/>
      <c r="R125" s="9"/>
      <c r="S125" s="9"/>
    </row>
    <row r="126" spans="1:19" x14ac:dyDescent="0.3">
      <c r="A126" s="46"/>
      <c r="B126" s="49"/>
      <c r="C126" s="10"/>
      <c r="D126" s="10"/>
      <c r="E126" s="10"/>
      <c r="F126" s="28"/>
      <c r="G126" s="6"/>
      <c r="J126" s="36"/>
      <c r="K126" s="12"/>
      <c r="L126" s="12"/>
      <c r="M126" s="62"/>
      <c r="N126" s="13"/>
      <c r="O126" s="8"/>
      <c r="P126" s="13"/>
      <c r="Q126" s="13"/>
      <c r="R126" s="9"/>
      <c r="S126" s="9"/>
    </row>
    <row r="127" spans="1:19" ht="14.55" thickBot="1" x14ac:dyDescent="0.35">
      <c r="A127" s="47"/>
      <c r="B127" s="52"/>
      <c r="C127" s="31"/>
      <c r="D127" s="31"/>
      <c r="E127" s="31"/>
      <c r="F127" s="32"/>
      <c r="G127" s="6"/>
      <c r="J127" s="36"/>
      <c r="K127" s="12"/>
      <c r="L127" s="12"/>
      <c r="M127" s="62"/>
      <c r="N127" s="13"/>
      <c r="O127" s="8"/>
      <c r="P127" s="13"/>
      <c r="Q127" s="13"/>
      <c r="R127" s="9"/>
      <c r="S127" s="9"/>
    </row>
    <row r="128" spans="1:19" ht="14.55" thickTop="1" x14ac:dyDescent="0.3">
      <c r="A128" s="45"/>
      <c r="B128" s="48"/>
      <c r="C128" s="26"/>
      <c r="D128" s="26"/>
      <c r="E128" s="26"/>
      <c r="F128" s="27"/>
      <c r="G128" s="6"/>
      <c r="J128" s="36"/>
      <c r="K128" s="12"/>
      <c r="L128" s="12"/>
      <c r="M128" s="62"/>
      <c r="N128" s="13"/>
      <c r="O128" s="8"/>
      <c r="P128" s="13"/>
      <c r="Q128" s="13"/>
      <c r="R128" s="9"/>
      <c r="S128" s="9"/>
    </row>
    <row r="129" spans="1:19" x14ac:dyDescent="0.3">
      <c r="A129" s="46"/>
      <c r="B129" s="49"/>
      <c r="C129" s="10"/>
      <c r="D129" s="10"/>
      <c r="E129" s="10"/>
      <c r="F129" s="28"/>
      <c r="G129" s="6"/>
      <c r="J129" s="36"/>
      <c r="K129" s="12"/>
      <c r="L129" s="12"/>
      <c r="M129" s="62"/>
      <c r="N129" s="13"/>
      <c r="O129" s="8"/>
      <c r="P129" s="13"/>
      <c r="Q129" s="13"/>
      <c r="R129" s="9"/>
      <c r="S129" s="9"/>
    </row>
    <row r="130" spans="1:19" ht="14.55" thickBot="1" x14ac:dyDescent="0.35">
      <c r="A130" s="46"/>
      <c r="B130" s="50"/>
      <c r="C130" s="11"/>
      <c r="D130" s="11"/>
      <c r="E130" s="11"/>
      <c r="F130" s="29"/>
      <c r="G130" s="6"/>
      <c r="J130" s="36"/>
      <c r="K130" s="12"/>
      <c r="L130" s="12"/>
      <c r="M130" s="62"/>
      <c r="N130" s="13"/>
      <c r="O130" s="8"/>
      <c r="P130" s="13"/>
      <c r="Q130" s="13"/>
      <c r="R130" s="9"/>
      <c r="S130" s="9"/>
    </row>
    <row r="131" spans="1:19" x14ac:dyDescent="0.3">
      <c r="A131" s="46"/>
      <c r="B131" s="51"/>
      <c r="C131" s="7"/>
      <c r="D131" s="16"/>
      <c r="E131" s="16"/>
      <c r="F131" s="30"/>
      <c r="G131" s="6"/>
      <c r="J131" s="36"/>
      <c r="K131" s="12"/>
      <c r="L131" s="12"/>
      <c r="M131" s="62"/>
      <c r="N131" s="13"/>
      <c r="O131" s="8"/>
      <c r="P131" s="13"/>
      <c r="Q131" s="13"/>
      <c r="R131" s="9"/>
      <c r="S131" s="9"/>
    </row>
    <row r="132" spans="1:19" x14ac:dyDescent="0.3">
      <c r="A132" s="46"/>
      <c r="B132" s="49"/>
      <c r="C132" s="10"/>
      <c r="D132" s="10"/>
      <c r="E132" s="10"/>
      <c r="F132" s="28"/>
      <c r="G132" s="6"/>
      <c r="J132" s="36"/>
      <c r="K132" s="12"/>
      <c r="L132" s="12"/>
      <c r="M132" s="62"/>
      <c r="N132" s="13"/>
      <c r="O132" s="8"/>
      <c r="P132" s="13"/>
      <c r="Q132" s="13"/>
      <c r="R132" s="9"/>
      <c r="S132" s="9"/>
    </row>
    <row r="133" spans="1:19" ht="14.55" thickBot="1" x14ac:dyDescent="0.35">
      <c r="A133" s="46"/>
      <c r="B133" s="50"/>
      <c r="C133" s="11"/>
      <c r="D133" s="11"/>
      <c r="E133" s="11"/>
      <c r="F133" s="29"/>
      <c r="G133" s="6"/>
      <c r="J133" s="36"/>
      <c r="K133" s="12"/>
      <c r="L133" s="12"/>
      <c r="M133" s="62"/>
      <c r="N133" s="13"/>
      <c r="O133" s="8"/>
      <c r="P133" s="13"/>
      <c r="Q133" s="13"/>
      <c r="R133" s="9"/>
      <c r="S133" s="9"/>
    </row>
    <row r="134" spans="1:19" x14ac:dyDescent="0.3">
      <c r="A134" s="46"/>
      <c r="B134" s="51"/>
      <c r="C134" s="7"/>
      <c r="D134" s="7"/>
      <c r="E134" s="7"/>
      <c r="F134" s="30"/>
      <c r="G134" s="6"/>
      <c r="J134" s="36"/>
      <c r="K134" s="12"/>
      <c r="L134" s="12"/>
      <c r="M134" s="62"/>
      <c r="N134" s="13"/>
      <c r="O134" s="8"/>
      <c r="P134" s="13"/>
      <c r="Q134" s="13"/>
      <c r="R134" s="9"/>
      <c r="S134" s="9"/>
    </row>
    <row r="135" spans="1:19" x14ac:dyDescent="0.3">
      <c r="A135" s="46"/>
      <c r="B135" s="49"/>
      <c r="C135" s="10"/>
      <c r="D135" s="10"/>
      <c r="E135" s="10"/>
      <c r="F135" s="28"/>
      <c r="G135" s="6"/>
      <c r="J135" s="36"/>
      <c r="K135" s="12"/>
      <c r="L135" s="12"/>
      <c r="M135" s="62"/>
      <c r="N135" s="13"/>
      <c r="O135" s="8"/>
      <c r="P135" s="13"/>
      <c r="Q135" s="13"/>
      <c r="R135" s="9"/>
      <c r="S135" s="9"/>
    </row>
    <row r="136" spans="1:19" ht="14.55" thickBot="1" x14ac:dyDescent="0.35">
      <c r="A136" s="47"/>
      <c r="B136" s="52"/>
      <c r="C136" s="31"/>
      <c r="D136" s="31"/>
      <c r="E136" s="31"/>
      <c r="F136" s="32"/>
      <c r="G136" s="6"/>
      <c r="J136" s="36"/>
      <c r="K136" s="12"/>
      <c r="L136" s="12"/>
      <c r="M136" s="62"/>
      <c r="N136" s="13"/>
      <c r="O136" s="8"/>
      <c r="P136" s="13"/>
      <c r="Q136" s="13"/>
      <c r="R136" s="9"/>
      <c r="S136" s="9"/>
    </row>
    <row r="137" spans="1:19" ht="14.55" thickTop="1" x14ac:dyDescent="0.3">
      <c r="A137" s="45"/>
      <c r="B137" s="48"/>
      <c r="C137" s="26"/>
      <c r="D137" s="26"/>
      <c r="E137" s="26"/>
      <c r="F137" s="27"/>
      <c r="G137" s="6"/>
      <c r="J137" s="36"/>
      <c r="K137" s="12"/>
      <c r="L137" s="12"/>
      <c r="M137" s="62"/>
      <c r="N137" s="13"/>
      <c r="O137" s="8"/>
      <c r="P137" s="13"/>
      <c r="Q137" s="13"/>
      <c r="R137" s="9"/>
      <c r="S137" s="9"/>
    </row>
    <row r="138" spans="1:19" x14ac:dyDescent="0.3">
      <c r="A138" s="46"/>
      <c r="B138" s="49"/>
      <c r="C138" s="10"/>
      <c r="D138" s="10"/>
      <c r="E138" s="10"/>
      <c r="F138" s="28"/>
      <c r="G138" s="6"/>
      <c r="J138" s="36"/>
      <c r="K138" s="12"/>
      <c r="L138" s="12"/>
      <c r="M138" s="62"/>
      <c r="N138" s="13"/>
      <c r="O138" s="8"/>
      <c r="P138" s="13"/>
      <c r="Q138" s="13"/>
      <c r="R138" s="9"/>
      <c r="S138" s="9"/>
    </row>
    <row r="139" spans="1:19" ht="14.55" thickBot="1" x14ac:dyDescent="0.35">
      <c r="A139" s="46"/>
      <c r="B139" s="50"/>
      <c r="C139" s="11"/>
      <c r="D139" s="11"/>
      <c r="E139" s="11"/>
      <c r="F139" s="29"/>
      <c r="G139" s="6"/>
      <c r="J139" s="36"/>
      <c r="K139" s="12"/>
      <c r="L139" s="12"/>
      <c r="M139" s="62"/>
      <c r="N139" s="13"/>
      <c r="O139" s="8"/>
      <c r="P139" s="13"/>
      <c r="Q139" s="13"/>
      <c r="R139" s="9"/>
      <c r="S139" s="9"/>
    </row>
    <row r="140" spans="1:19" x14ac:dyDescent="0.3">
      <c r="A140" s="46"/>
      <c r="B140" s="51"/>
      <c r="C140" s="7"/>
      <c r="D140" s="7"/>
      <c r="E140" s="7"/>
      <c r="F140" s="30"/>
      <c r="G140" s="6"/>
      <c r="J140" s="36"/>
      <c r="K140" s="12"/>
      <c r="L140" s="12"/>
      <c r="M140" s="62"/>
      <c r="N140" s="13"/>
      <c r="O140" s="8"/>
      <c r="P140" s="13"/>
      <c r="Q140" s="13"/>
      <c r="R140" s="9"/>
      <c r="S140" s="9"/>
    </row>
    <row r="141" spans="1:19" x14ac:dyDescent="0.3">
      <c r="A141" s="46"/>
      <c r="B141" s="49"/>
      <c r="C141" s="10"/>
      <c r="D141" s="10"/>
      <c r="E141" s="10"/>
      <c r="F141" s="28"/>
      <c r="G141" s="6"/>
      <c r="J141" s="36"/>
      <c r="K141" s="12"/>
      <c r="L141" s="12"/>
      <c r="M141" s="62"/>
      <c r="N141" s="13"/>
      <c r="O141" s="8"/>
      <c r="P141" s="13"/>
      <c r="Q141" s="13"/>
      <c r="R141" s="9"/>
      <c r="S141" s="9"/>
    </row>
    <row r="142" spans="1:19" ht="14.55" thickBot="1" x14ac:dyDescent="0.35">
      <c r="A142" s="46"/>
      <c r="B142" s="50"/>
      <c r="C142" s="11"/>
      <c r="D142" s="11"/>
      <c r="E142" s="11"/>
      <c r="F142" s="29"/>
      <c r="G142" s="6"/>
      <c r="J142" s="36"/>
      <c r="K142" s="12"/>
      <c r="L142" s="12"/>
      <c r="M142" s="62"/>
      <c r="N142" s="13"/>
      <c r="O142" s="8"/>
      <c r="P142" s="13"/>
      <c r="Q142" s="13"/>
      <c r="R142" s="9"/>
      <c r="S142" s="9"/>
    </row>
    <row r="143" spans="1:19" x14ac:dyDescent="0.3">
      <c r="A143" s="46"/>
      <c r="B143" s="51"/>
      <c r="C143" s="7"/>
      <c r="D143" s="7"/>
      <c r="E143" s="7"/>
      <c r="F143" s="30"/>
      <c r="G143" s="6"/>
      <c r="J143" s="36"/>
      <c r="K143" s="12"/>
      <c r="L143" s="12"/>
      <c r="M143" s="62"/>
      <c r="N143" s="13"/>
      <c r="O143" s="8"/>
      <c r="P143" s="13"/>
      <c r="Q143" s="13"/>
      <c r="R143" s="9"/>
      <c r="S143" s="9"/>
    </row>
    <row r="144" spans="1:19" x14ac:dyDescent="0.3">
      <c r="A144" s="46"/>
      <c r="B144" s="49"/>
      <c r="C144" s="10"/>
      <c r="D144" s="10"/>
      <c r="E144" s="10"/>
      <c r="F144" s="28"/>
      <c r="G144" s="6"/>
      <c r="J144" s="36"/>
      <c r="K144" s="12"/>
      <c r="L144" s="12"/>
      <c r="M144" s="62"/>
      <c r="N144" s="13"/>
      <c r="O144" s="8"/>
      <c r="P144" s="13"/>
      <c r="Q144" s="13"/>
      <c r="R144" s="9"/>
      <c r="S144" s="9"/>
    </row>
    <row r="145" spans="1:19" ht="14.55" thickBot="1" x14ac:dyDescent="0.35">
      <c r="A145" s="47"/>
      <c r="B145" s="52"/>
      <c r="C145" s="31"/>
      <c r="D145" s="31"/>
      <c r="E145" s="31"/>
      <c r="F145" s="32"/>
      <c r="G145" s="6"/>
      <c r="J145" s="36"/>
      <c r="K145" s="12"/>
      <c r="L145" s="12"/>
      <c r="M145" s="62"/>
      <c r="N145" s="13"/>
      <c r="O145" s="8"/>
      <c r="P145" s="13"/>
      <c r="Q145" s="13"/>
      <c r="R145" s="9"/>
      <c r="S145" s="9"/>
    </row>
    <row r="146" spans="1:19" ht="14.55" thickTop="1" x14ac:dyDescent="0.3">
      <c r="A146" s="45"/>
      <c r="B146" s="48"/>
      <c r="C146" s="26"/>
      <c r="D146" s="26"/>
      <c r="E146" s="26"/>
      <c r="F146" s="27"/>
      <c r="G146" s="6"/>
      <c r="J146" s="36"/>
      <c r="K146" s="12"/>
      <c r="L146" s="12"/>
      <c r="M146" s="62"/>
      <c r="N146" s="13"/>
      <c r="O146" s="8"/>
      <c r="P146" s="13"/>
      <c r="Q146" s="13"/>
      <c r="R146" s="9"/>
      <c r="S146" s="9"/>
    </row>
    <row r="147" spans="1:19" x14ac:dyDescent="0.3">
      <c r="A147" s="46"/>
      <c r="B147" s="49"/>
      <c r="C147" s="10"/>
      <c r="D147" s="10"/>
      <c r="E147" s="10"/>
      <c r="F147" s="28"/>
      <c r="G147" s="6"/>
      <c r="J147" s="36"/>
      <c r="K147" s="12"/>
      <c r="L147" s="12"/>
      <c r="M147" s="62"/>
      <c r="N147" s="13"/>
      <c r="O147" s="8"/>
      <c r="P147" s="13"/>
      <c r="Q147" s="13"/>
      <c r="R147" s="9"/>
      <c r="S147" s="9"/>
    </row>
    <row r="148" spans="1:19" ht="14.55" thickBot="1" x14ac:dyDescent="0.35">
      <c r="A148" s="46"/>
      <c r="B148" s="50"/>
      <c r="C148" s="11"/>
      <c r="D148" s="11"/>
      <c r="E148" s="11"/>
      <c r="F148" s="29"/>
      <c r="G148" s="6"/>
      <c r="J148" s="36"/>
      <c r="K148" s="12"/>
      <c r="L148" s="12"/>
      <c r="M148" s="62"/>
      <c r="N148" s="13"/>
      <c r="O148" s="8"/>
      <c r="P148" s="13"/>
      <c r="Q148" s="13"/>
      <c r="R148" s="9"/>
      <c r="S148" s="9"/>
    </row>
    <row r="149" spans="1:19" x14ac:dyDescent="0.3">
      <c r="A149" s="46"/>
      <c r="B149" s="51"/>
      <c r="C149" s="7"/>
      <c r="D149" s="7"/>
      <c r="E149" s="7"/>
      <c r="F149" s="30"/>
      <c r="G149" s="6"/>
      <c r="J149" s="36"/>
      <c r="K149" s="12"/>
      <c r="L149" s="12"/>
      <c r="M149" s="62"/>
      <c r="N149" s="13"/>
      <c r="O149" s="8"/>
      <c r="P149" s="13"/>
      <c r="Q149" s="13"/>
      <c r="R149" s="9"/>
      <c r="S149" s="9"/>
    </row>
    <row r="150" spans="1:19" x14ac:dyDescent="0.3">
      <c r="A150" s="46"/>
      <c r="B150" s="49"/>
      <c r="C150" s="10"/>
      <c r="D150" s="10"/>
      <c r="E150" s="10"/>
      <c r="F150" s="28"/>
      <c r="G150" s="6"/>
      <c r="J150" s="36"/>
      <c r="K150" s="12"/>
      <c r="L150" s="12"/>
      <c r="M150" s="62"/>
      <c r="N150" s="13"/>
      <c r="O150" s="8"/>
      <c r="P150" s="13"/>
      <c r="Q150" s="13"/>
      <c r="R150" s="9"/>
      <c r="S150" s="9"/>
    </row>
    <row r="151" spans="1:19" ht="14.55" thickBot="1" x14ac:dyDescent="0.35">
      <c r="A151" s="46"/>
      <c r="B151" s="50"/>
      <c r="C151" s="11"/>
      <c r="D151" s="11"/>
      <c r="E151" s="11"/>
      <c r="F151" s="29"/>
      <c r="G151" s="6"/>
      <c r="J151" s="36"/>
      <c r="K151" s="12"/>
      <c r="L151" s="12"/>
      <c r="M151" s="62"/>
      <c r="N151" s="13"/>
      <c r="O151" s="8"/>
      <c r="P151" s="13"/>
      <c r="Q151" s="13"/>
      <c r="R151" s="9"/>
      <c r="S151" s="9"/>
    </row>
    <row r="152" spans="1:19" x14ac:dyDescent="0.3">
      <c r="A152" s="46"/>
      <c r="B152" s="51"/>
      <c r="C152" s="7"/>
      <c r="D152" s="7"/>
      <c r="E152" s="7"/>
      <c r="F152" s="30"/>
      <c r="G152" s="6"/>
      <c r="J152" s="36"/>
      <c r="K152" s="12"/>
      <c r="L152" s="12"/>
      <c r="M152" s="62"/>
      <c r="N152" s="13"/>
      <c r="O152" s="8"/>
      <c r="P152" s="13"/>
      <c r="Q152" s="13"/>
      <c r="R152" s="9"/>
      <c r="S152" s="9"/>
    </row>
    <row r="153" spans="1:19" x14ac:dyDescent="0.3">
      <c r="A153" s="46"/>
      <c r="B153" s="49"/>
      <c r="C153" s="10"/>
      <c r="D153" s="10"/>
      <c r="E153" s="10"/>
      <c r="F153" s="28"/>
      <c r="G153" s="6"/>
      <c r="J153" s="36"/>
      <c r="K153" s="12"/>
      <c r="L153" s="12"/>
      <c r="M153" s="62"/>
      <c r="N153" s="13"/>
      <c r="O153" s="8"/>
      <c r="P153" s="13"/>
      <c r="Q153" s="13"/>
      <c r="R153" s="9"/>
      <c r="S153" s="9"/>
    </row>
    <row r="154" spans="1:19" ht="14.55" thickBot="1" x14ac:dyDescent="0.35">
      <c r="A154" s="47"/>
      <c r="B154" s="52"/>
      <c r="C154" s="31"/>
      <c r="D154" s="31"/>
      <c r="E154" s="31"/>
      <c r="F154" s="32"/>
      <c r="G154" s="6"/>
      <c r="J154" s="36"/>
      <c r="K154" s="12"/>
      <c r="L154" s="12"/>
      <c r="M154" s="62"/>
      <c r="N154" s="13"/>
      <c r="O154" s="8"/>
      <c r="P154" s="13"/>
      <c r="Q154" s="13"/>
      <c r="R154" s="9"/>
      <c r="S154" s="9"/>
    </row>
    <row r="155" spans="1:19" ht="14.55" thickTop="1" x14ac:dyDescent="0.3">
      <c r="A155" s="45"/>
      <c r="B155" s="48"/>
      <c r="C155" s="26"/>
      <c r="D155" s="33"/>
      <c r="E155" s="33"/>
      <c r="F155" s="27"/>
      <c r="G155" s="6"/>
      <c r="J155" s="36"/>
      <c r="K155" s="12"/>
      <c r="L155" s="12"/>
      <c r="M155" s="62"/>
      <c r="N155" s="13"/>
      <c r="O155" s="8"/>
      <c r="P155" s="13"/>
      <c r="Q155" s="13"/>
      <c r="R155" s="9"/>
      <c r="S155" s="9"/>
    </row>
    <row r="156" spans="1:19" x14ac:dyDescent="0.3">
      <c r="A156" s="46"/>
      <c r="B156" s="49"/>
      <c r="C156" s="10"/>
      <c r="D156" s="10"/>
      <c r="E156" s="10"/>
      <c r="F156" s="28"/>
      <c r="G156" s="6"/>
      <c r="J156" s="36"/>
      <c r="K156" s="12"/>
      <c r="L156" s="12"/>
      <c r="M156" s="62"/>
      <c r="N156" s="13"/>
      <c r="O156" s="8"/>
      <c r="P156" s="13"/>
      <c r="Q156" s="13"/>
      <c r="R156" s="9"/>
      <c r="S156" s="9"/>
    </row>
    <row r="157" spans="1:19" ht="14.55" thickBot="1" x14ac:dyDescent="0.35">
      <c r="A157" s="46"/>
      <c r="B157" s="50"/>
      <c r="C157" s="11"/>
      <c r="D157" s="11"/>
      <c r="E157" s="11"/>
      <c r="F157" s="29"/>
      <c r="G157" s="6"/>
      <c r="J157" s="36"/>
      <c r="K157" s="12"/>
      <c r="L157" s="12"/>
      <c r="M157" s="62"/>
      <c r="N157" s="13"/>
      <c r="O157" s="8"/>
      <c r="P157" s="13"/>
      <c r="Q157" s="13"/>
      <c r="R157" s="9"/>
      <c r="S157" s="9"/>
    </row>
    <row r="158" spans="1:19" x14ac:dyDescent="0.3">
      <c r="A158" s="46"/>
      <c r="B158" s="51"/>
      <c r="C158" s="7"/>
      <c r="D158" s="16"/>
      <c r="E158" s="16"/>
      <c r="F158" s="30"/>
      <c r="G158" s="6"/>
      <c r="J158" s="36"/>
      <c r="K158" s="12"/>
      <c r="L158" s="12"/>
      <c r="M158" s="62"/>
      <c r="N158" s="13"/>
      <c r="O158" s="8"/>
      <c r="P158" s="13"/>
      <c r="Q158" s="13"/>
      <c r="R158" s="9"/>
      <c r="S158" s="9"/>
    </row>
    <row r="159" spans="1:19" x14ac:dyDescent="0.3">
      <c r="A159" s="46"/>
      <c r="B159" s="49"/>
      <c r="C159" s="10"/>
      <c r="D159" s="10"/>
      <c r="E159" s="10"/>
      <c r="F159" s="28"/>
      <c r="G159" s="6"/>
      <c r="J159" s="36"/>
      <c r="K159" s="12"/>
      <c r="L159" s="12"/>
      <c r="M159" s="62"/>
      <c r="N159" s="13"/>
      <c r="O159" s="8"/>
      <c r="P159" s="13"/>
      <c r="Q159" s="13"/>
      <c r="R159" s="9"/>
      <c r="S159" s="9"/>
    </row>
    <row r="160" spans="1:19" ht="14.55" thickBot="1" x14ac:dyDescent="0.35">
      <c r="A160" s="46"/>
      <c r="B160" s="50"/>
      <c r="C160" s="11"/>
      <c r="D160" s="11"/>
      <c r="E160" s="11"/>
      <c r="F160" s="29"/>
      <c r="G160" s="6"/>
      <c r="J160" s="36"/>
      <c r="K160" s="12"/>
      <c r="L160" s="12"/>
      <c r="M160" s="62"/>
      <c r="N160" s="13"/>
      <c r="O160" s="8"/>
      <c r="P160" s="13"/>
      <c r="Q160" s="13"/>
      <c r="R160" s="9"/>
      <c r="S160" s="9"/>
    </row>
    <row r="161" spans="1:19" x14ac:dyDescent="0.3">
      <c r="A161" s="46"/>
      <c r="B161" s="51"/>
      <c r="C161" s="7"/>
      <c r="D161" s="7"/>
      <c r="E161" s="7"/>
      <c r="F161" s="30"/>
      <c r="G161" s="6"/>
      <c r="J161" s="36"/>
      <c r="K161" s="12"/>
      <c r="L161" s="12"/>
      <c r="M161" s="62"/>
      <c r="N161" s="13"/>
      <c r="O161" s="8"/>
      <c r="P161" s="13"/>
      <c r="Q161" s="13"/>
      <c r="R161" s="9"/>
      <c r="S161" s="9"/>
    </row>
    <row r="162" spans="1:19" x14ac:dyDescent="0.3">
      <c r="A162" s="46"/>
      <c r="B162" s="49"/>
      <c r="C162" s="10"/>
      <c r="D162" s="10"/>
      <c r="E162" s="10"/>
      <c r="F162" s="28"/>
      <c r="G162" s="6"/>
      <c r="J162" s="36"/>
      <c r="K162" s="12"/>
      <c r="L162" s="12"/>
      <c r="M162" s="62"/>
      <c r="N162" s="13"/>
      <c r="O162" s="8"/>
      <c r="P162" s="13"/>
      <c r="Q162" s="13"/>
      <c r="R162" s="9"/>
      <c r="S162" s="9"/>
    </row>
    <row r="163" spans="1:19" ht="14.55" thickBot="1" x14ac:dyDescent="0.35">
      <c r="A163" s="47"/>
      <c r="B163" s="52"/>
      <c r="C163" s="31"/>
      <c r="D163" s="31"/>
      <c r="E163" s="31"/>
      <c r="F163" s="32"/>
      <c r="G163" s="6"/>
      <c r="J163" s="36"/>
      <c r="K163" s="12"/>
      <c r="L163" s="12"/>
      <c r="M163" s="62"/>
      <c r="N163" s="13"/>
      <c r="O163" s="8"/>
      <c r="P163" s="13"/>
      <c r="Q163" s="13"/>
      <c r="R163" s="9"/>
      <c r="S163" s="9"/>
    </row>
    <row r="164" spans="1:19" ht="14.55" thickTop="1" x14ac:dyDescent="0.3">
      <c r="A164" s="45"/>
      <c r="B164" s="48"/>
      <c r="C164" s="26"/>
      <c r="D164" s="26"/>
      <c r="E164" s="26"/>
      <c r="F164" s="27"/>
      <c r="G164" s="6"/>
      <c r="J164" s="36"/>
      <c r="K164" s="12"/>
      <c r="L164" s="12"/>
      <c r="M164" s="62"/>
      <c r="N164" s="13"/>
      <c r="O164" s="8"/>
      <c r="P164" s="17"/>
      <c r="Q164" s="17"/>
      <c r="R164" s="9"/>
      <c r="S164" s="9"/>
    </row>
    <row r="165" spans="1:19" x14ac:dyDescent="0.3">
      <c r="A165" s="46"/>
      <c r="B165" s="49"/>
      <c r="C165" s="10"/>
      <c r="D165" s="10"/>
      <c r="E165" s="10"/>
      <c r="F165" s="28"/>
      <c r="G165" s="6"/>
      <c r="J165" s="36"/>
      <c r="K165" s="12"/>
      <c r="L165" s="12"/>
      <c r="M165" s="62"/>
      <c r="N165" s="13"/>
      <c r="O165" s="8"/>
      <c r="P165" s="17"/>
      <c r="Q165" s="17"/>
      <c r="R165" s="9"/>
      <c r="S165" s="9"/>
    </row>
    <row r="166" spans="1:19" ht="14.55" thickBot="1" x14ac:dyDescent="0.35">
      <c r="A166" s="46"/>
      <c r="B166" s="50"/>
      <c r="C166" s="11"/>
      <c r="D166" s="11"/>
      <c r="E166" s="11"/>
      <c r="F166" s="29"/>
      <c r="G166" s="6"/>
      <c r="J166" s="36"/>
      <c r="K166" s="12"/>
      <c r="L166" s="12"/>
      <c r="M166" s="62"/>
      <c r="N166" s="13"/>
      <c r="O166" s="8"/>
      <c r="P166" s="17"/>
      <c r="Q166" s="17"/>
      <c r="R166" s="9"/>
      <c r="S166" s="9"/>
    </row>
    <row r="167" spans="1:19" x14ac:dyDescent="0.3">
      <c r="A167" s="46"/>
      <c r="B167" s="51"/>
      <c r="C167" s="7"/>
      <c r="D167" s="7"/>
      <c r="E167" s="7"/>
      <c r="F167" s="30"/>
      <c r="G167" s="6"/>
      <c r="J167" s="36"/>
      <c r="K167" s="12"/>
      <c r="L167" s="12"/>
      <c r="M167" s="62"/>
      <c r="N167" s="13"/>
      <c r="O167" s="8"/>
      <c r="P167" s="17"/>
      <c r="Q167" s="17"/>
      <c r="R167" s="9"/>
      <c r="S167" s="9"/>
    </row>
    <row r="168" spans="1:19" x14ac:dyDescent="0.3">
      <c r="A168" s="46"/>
      <c r="B168" s="49"/>
      <c r="C168" s="10"/>
      <c r="D168" s="10"/>
      <c r="E168" s="10"/>
      <c r="F168" s="28"/>
      <c r="G168" s="6"/>
      <c r="J168" s="36"/>
      <c r="K168" s="12"/>
      <c r="L168" s="12"/>
      <c r="M168" s="62"/>
      <c r="N168" s="13"/>
      <c r="O168" s="8"/>
      <c r="P168" s="17"/>
      <c r="Q168" s="17"/>
      <c r="R168" s="9"/>
      <c r="S168" s="9"/>
    </row>
    <row r="169" spans="1:19" ht="14.55" thickBot="1" x14ac:dyDescent="0.35">
      <c r="A169" s="46"/>
      <c r="B169" s="50"/>
      <c r="C169" s="11"/>
      <c r="D169" s="11"/>
      <c r="E169" s="11"/>
      <c r="F169" s="29"/>
      <c r="G169" s="6"/>
      <c r="J169" s="36"/>
      <c r="K169" s="12"/>
      <c r="L169" s="12"/>
      <c r="M169" s="62"/>
      <c r="N169" s="13"/>
      <c r="O169" s="8"/>
      <c r="P169" s="17"/>
      <c r="Q169" s="17"/>
      <c r="R169" s="9"/>
      <c r="S169" s="9"/>
    </row>
    <row r="170" spans="1:19" x14ac:dyDescent="0.3">
      <c r="A170" s="46"/>
      <c r="B170" s="51"/>
      <c r="C170" s="7"/>
      <c r="D170" s="7"/>
      <c r="E170" s="7"/>
      <c r="F170" s="30"/>
      <c r="G170" s="6"/>
      <c r="J170" s="36"/>
      <c r="K170" s="12"/>
      <c r="L170" s="12"/>
      <c r="M170" s="62"/>
      <c r="N170" s="13"/>
      <c r="O170" s="8"/>
      <c r="P170" s="17"/>
      <c r="Q170" s="17"/>
      <c r="R170" s="9"/>
      <c r="S170" s="9"/>
    </row>
    <row r="171" spans="1:19" x14ac:dyDescent="0.3">
      <c r="A171" s="46"/>
      <c r="B171" s="49"/>
      <c r="C171" s="10"/>
      <c r="D171" s="10"/>
      <c r="E171" s="10"/>
      <c r="F171" s="28"/>
      <c r="G171" s="6"/>
      <c r="J171" s="36"/>
      <c r="K171" s="12"/>
      <c r="L171" s="12"/>
      <c r="M171" s="62"/>
      <c r="N171" s="13"/>
      <c r="O171" s="8"/>
      <c r="P171" s="17"/>
      <c r="Q171" s="17"/>
      <c r="R171" s="9"/>
      <c r="S171" s="9"/>
    </row>
    <row r="172" spans="1:19" ht="14.55" thickBot="1" x14ac:dyDescent="0.35">
      <c r="A172" s="47"/>
      <c r="B172" s="52"/>
      <c r="C172" s="31"/>
      <c r="D172" s="31"/>
      <c r="E172" s="31"/>
      <c r="F172" s="32"/>
      <c r="G172" s="6"/>
      <c r="J172" s="36"/>
      <c r="K172" s="12"/>
      <c r="L172" s="12"/>
      <c r="M172" s="62"/>
      <c r="N172" s="13"/>
      <c r="O172" s="8"/>
      <c r="P172" s="17"/>
      <c r="Q172" s="17"/>
      <c r="R172" s="9"/>
      <c r="S172" s="9"/>
    </row>
    <row r="173" spans="1:19" ht="14.55" thickTop="1" x14ac:dyDescent="0.3">
      <c r="A173" s="45"/>
      <c r="B173" s="48"/>
      <c r="C173" s="26"/>
      <c r="D173" s="26"/>
      <c r="E173" s="26"/>
      <c r="F173" s="27"/>
      <c r="G173" s="6"/>
      <c r="J173" s="17"/>
      <c r="K173" s="18"/>
      <c r="L173" s="18"/>
      <c r="M173" s="63"/>
      <c r="O173" s="8"/>
      <c r="P173" s="17"/>
      <c r="Q173" s="17"/>
      <c r="R173" s="9"/>
      <c r="S173" s="9"/>
    </row>
    <row r="174" spans="1:19" x14ac:dyDescent="0.3">
      <c r="A174" s="46"/>
      <c r="B174" s="49"/>
      <c r="C174" s="10"/>
      <c r="D174" s="10"/>
      <c r="E174" s="10"/>
      <c r="F174" s="28"/>
      <c r="G174" s="6"/>
      <c r="J174" s="17"/>
      <c r="K174" s="18"/>
      <c r="L174" s="18"/>
      <c r="M174" s="63"/>
      <c r="O174" s="8"/>
      <c r="P174" s="17"/>
      <c r="Q174" s="17"/>
      <c r="R174" s="9"/>
      <c r="S174" s="9"/>
    </row>
    <row r="175" spans="1:19" ht="14.55" thickBot="1" x14ac:dyDescent="0.35">
      <c r="A175" s="46"/>
      <c r="B175" s="50"/>
      <c r="C175" s="11"/>
      <c r="D175" s="11"/>
      <c r="E175" s="11"/>
      <c r="F175" s="29"/>
      <c r="G175" s="6"/>
      <c r="J175" s="17"/>
      <c r="K175" s="18"/>
      <c r="L175" s="18"/>
      <c r="M175" s="63"/>
      <c r="O175" s="8"/>
      <c r="P175" s="17"/>
      <c r="Q175" s="17"/>
      <c r="R175" s="9"/>
      <c r="S175" s="9"/>
    </row>
    <row r="176" spans="1:19" x14ac:dyDescent="0.3">
      <c r="A176" s="46"/>
      <c r="B176" s="51"/>
      <c r="C176" s="7"/>
      <c r="D176" s="7"/>
      <c r="E176" s="7"/>
      <c r="F176" s="30"/>
      <c r="G176" s="6"/>
      <c r="J176" s="17"/>
      <c r="K176" s="18"/>
      <c r="L176" s="18"/>
      <c r="M176" s="63"/>
      <c r="O176" s="8"/>
      <c r="P176" s="17"/>
      <c r="Q176" s="17"/>
    </row>
    <row r="177" spans="1:17" x14ac:dyDescent="0.3">
      <c r="A177" s="46"/>
      <c r="B177" s="49"/>
      <c r="C177" s="10"/>
      <c r="D177" s="10"/>
      <c r="E177" s="10"/>
      <c r="F177" s="28"/>
      <c r="G177" s="6"/>
      <c r="J177" s="17"/>
      <c r="K177" s="18"/>
      <c r="L177" s="18"/>
      <c r="M177" s="63"/>
      <c r="O177" s="8"/>
      <c r="P177" s="17"/>
      <c r="Q177" s="17"/>
    </row>
    <row r="178" spans="1:17" ht="14.55" thickBot="1" x14ac:dyDescent="0.35">
      <c r="A178" s="46"/>
      <c r="B178" s="50"/>
      <c r="C178" s="11"/>
      <c r="D178" s="11"/>
      <c r="E178" s="11"/>
      <c r="F178" s="29"/>
      <c r="G178" s="6"/>
      <c r="J178" s="17"/>
      <c r="K178" s="18"/>
      <c r="L178" s="18"/>
      <c r="M178" s="63"/>
      <c r="O178" s="8"/>
      <c r="P178" s="17"/>
      <c r="Q178" s="17"/>
    </row>
    <row r="179" spans="1:17" x14ac:dyDescent="0.3">
      <c r="A179" s="46"/>
      <c r="B179" s="51"/>
      <c r="C179" s="7"/>
      <c r="D179" s="7"/>
      <c r="E179" s="7"/>
      <c r="F179" s="30"/>
      <c r="G179" s="6"/>
      <c r="J179" s="17"/>
      <c r="K179" s="18"/>
      <c r="L179" s="18"/>
      <c r="M179" s="63"/>
      <c r="O179" s="8"/>
      <c r="P179" s="17"/>
      <c r="Q179" s="17"/>
    </row>
    <row r="180" spans="1:17" x14ac:dyDescent="0.3">
      <c r="A180" s="46"/>
      <c r="B180" s="49"/>
      <c r="C180" s="10"/>
      <c r="D180" s="10"/>
      <c r="E180" s="10"/>
      <c r="F180" s="28"/>
      <c r="G180" s="6"/>
      <c r="J180" s="17"/>
      <c r="K180" s="18"/>
      <c r="L180" s="18"/>
      <c r="M180" s="63"/>
      <c r="O180" s="8"/>
      <c r="P180" s="17"/>
      <c r="Q180" s="17"/>
    </row>
    <row r="181" spans="1:17" ht="14.55" thickBot="1" x14ac:dyDescent="0.35">
      <c r="A181" s="47"/>
      <c r="B181" s="52"/>
      <c r="C181" s="31"/>
      <c r="D181" s="31"/>
      <c r="E181" s="31"/>
      <c r="F181" s="32"/>
      <c r="G181" s="6"/>
      <c r="J181" s="17"/>
      <c r="K181" s="18"/>
      <c r="L181" s="18"/>
      <c r="M181" s="63"/>
      <c r="O181" s="8"/>
      <c r="P181" s="17"/>
      <c r="Q181" s="17"/>
    </row>
    <row r="182" spans="1:17" ht="14.55" thickTop="1" x14ac:dyDescent="0.3">
      <c r="G182" s="24"/>
      <c r="O182" s="8"/>
    </row>
  </sheetData>
  <mergeCells count="57">
    <mergeCell ref="N1:O1"/>
    <mergeCell ref="X1:Y1"/>
    <mergeCell ref="V1:W1"/>
    <mergeCell ref="T1:U1"/>
    <mergeCell ref="R1:S1"/>
    <mergeCell ref="P1:Q1"/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B101:B103"/>
    <mergeCell ref="B104:B106"/>
    <mergeCell ref="B107:B109"/>
    <mergeCell ref="A56:A64"/>
    <mergeCell ref="B56:B58"/>
    <mergeCell ref="B59:B61"/>
    <mergeCell ref="B62:B64"/>
    <mergeCell ref="A65:A73"/>
    <mergeCell ref="B65:B67"/>
    <mergeCell ref="B68:B70"/>
    <mergeCell ref="B71:B73"/>
    <mergeCell ref="B110:B112"/>
    <mergeCell ref="B113:B115"/>
    <mergeCell ref="B116:B118"/>
    <mergeCell ref="A74:A82"/>
    <mergeCell ref="A83:A91"/>
    <mergeCell ref="A92:A100"/>
    <mergeCell ref="A101:A109"/>
    <mergeCell ref="B74:B76"/>
    <mergeCell ref="B77:B79"/>
    <mergeCell ref="B80:B82"/>
    <mergeCell ref="B83:B85"/>
    <mergeCell ref="B86:B88"/>
    <mergeCell ref="B89:B91"/>
    <mergeCell ref="B92:B94"/>
    <mergeCell ref="B95:B97"/>
    <mergeCell ref="B98:B10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B25E-C8C5-4101-806A-C8BD1C8F4F9A}">
  <dimension ref="A1:Y182"/>
  <sheetViews>
    <sheetView topLeftCell="C50" zoomScale="72" zoomScaleNormal="115" workbookViewId="0">
      <selection activeCell="I53" sqref="I53"/>
    </sheetView>
  </sheetViews>
  <sheetFormatPr defaultColWidth="9.19921875" defaultRowHeight="14" x14ac:dyDescent="0.3"/>
  <cols>
    <col min="1" max="1" width="10.69921875" style="19" customWidth="1"/>
    <col min="2" max="2" width="10.69921875" style="20" customWidth="1"/>
    <col min="3" max="3" width="12.69921875" style="21" bestFit="1" customWidth="1"/>
    <col min="4" max="4" width="20.296875" style="21" customWidth="1"/>
    <col min="5" max="5" width="21" style="21" customWidth="1"/>
    <col min="6" max="6" width="11.5" style="5" customWidth="1"/>
    <col min="7" max="7" width="11.5" style="25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6" customWidth="1"/>
    <col min="14" max="15" width="12.69921875" style="17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6" customWidth="1"/>
    <col min="23" max="16384" width="9.19921875" style="6"/>
  </cols>
  <sheetData>
    <row r="1" spans="1:25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3" t="s">
        <v>10</v>
      </c>
      <c r="H1" s="22" t="s">
        <v>31</v>
      </c>
      <c r="I1" s="22" t="s">
        <v>32</v>
      </c>
      <c r="J1" s="22" t="s">
        <v>9</v>
      </c>
      <c r="K1" s="22" t="s">
        <v>33</v>
      </c>
      <c r="L1" s="22" t="s">
        <v>34</v>
      </c>
      <c r="M1" s="58"/>
      <c r="N1" s="86" t="s">
        <v>97</v>
      </c>
      <c r="O1" s="86"/>
      <c r="P1" s="86" t="s">
        <v>72</v>
      </c>
      <c r="Q1" s="86"/>
      <c r="R1" s="86" t="s">
        <v>73</v>
      </c>
      <c r="S1" s="86"/>
      <c r="T1" s="87" t="s">
        <v>74</v>
      </c>
      <c r="U1" s="87"/>
      <c r="V1" s="87" t="s">
        <v>71</v>
      </c>
      <c r="W1" s="87"/>
      <c r="X1" s="87" t="s">
        <v>75</v>
      </c>
      <c r="Y1" s="87"/>
    </row>
    <row r="2" spans="1:25" ht="15.75" customHeight="1" thickTop="1" x14ac:dyDescent="0.3">
      <c r="A2" s="77" t="s">
        <v>54</v>
      </c>
      <c r="B2" s="81">
        <v>1</v>
      </c>
      <c r="C2" s="26" t="s">
        <v>4</v>
      </c>
      <c r="D2" s="53">
        <v>193</v>
      </c>
      <c r="E2" s="53">
        <v>194</v>
      </c>
      <c r="F2" s="64">
        <f>(AVERAGEIF(D2:E2,"&gt;0",D2:E2))*10^3*100/8/(0.8)</f>
        <v>3023437.5</v>
      </c>
      <c r="G2" s="6">
        <v>1</v>
      </c>
      <c r="H2" s="5" t="s">
        <v>11</v>
      </c>
      <c r="J2" s="34"/>
      <c r="K2" s="37">
        <f t="array" ref="K2">IFERROR(INDEX($I$2:$I$81,SMALL(IF(ISNUMBER($I$2:$I$81),ROW($A$1:$A$80),""),ROW(A1))),"")</f>
        <v>3164062.5</v>
      </c>
      <c r="L2" s="37">
        <f t="array" ref="L2">IFERROR(INDEX($J$2:$J$81,SMALL(IF(ISNUMBER($J$2:$J$81),ROW($A$1:$A$80),""),ROW(A1))),"")</f>
        <v>236836.03736287684</v>
      </c>
      <c r="M2" s="59" t="s">
        <v>51</v>
      </c>
      <c r="N2" s="55">
        <v>1</v>
      </c>
      <c r="O2" s="55">
        <v>2</v>
      </c>
      <c r="P2" s="6">
        <v>5</v>
      </c>
      <c r="Q2" s="6">
        <v>6</v>
      </c>
      <c r="R2" s="56">
        <v>7</v>
      </c>
      <c r="S2" s="57">
        <v>8</v>
      </c>
      <c r="T2">
        <v>9</v>
      </c>
      <c r="U2">
        <v>10</v>
      </c>
      <c r="V2">
        <v>3</v>
      </c>
      <c r="W2">
        <v>4</v>
      </c>
      <c r="X2">
        <v>11</v>
      </c>
      <c r="Y2">
        <v>12</v>
      </c>
    </row>
    <row r="3" spans="1:25" x14ac:dyDescent="0.3">
      <c r="A3" s="78"/>
      <c r="B3" s="82"/>
      <c r="C3" s="10" t="s">
        <v>2</v>
      </c>
      <c r="D3" s="10">
        <v>18</v>
      </c>
      <c r="E3" s="10">
        <v>20</v>
      </c>
      <c r="F3" s="65">
        <f>(AVERAGEIF(D3:E3,"&gt;0",D3:E3))*10^4*100/8/(0.8^2)</f>
        <v>3710937.4999999991</v>
      </c>
      <c r="G3" s="6"/>
      <c r="H3" s="5">
        <f t="array" ref="H3">IFERROR(INDEX($F$2:$F$181,SMALL(IF($G$2:$G$181=1,ROW($A$1:$A$163),""),ROW(A1))),"")</f>
        <v>3023437.5</v>
      </c>
      <c r="J3" s="35"/>
      <c r="K3" s="37">
        <f t="array" ref="K3">IFERROR(INDEX($I$2:$I$81,SMALL(IF(ISNUMBER($I$2:$I$81),ROW($A$1:$A$80),""),ROW(A2))),"")</f>
        <v>137291.66666666666</v>
      </c>
      <c r="L3" s="37">
        <f t="array" ref="L3">IFERROR(INDEX($J$2:$J$81,SMALL(IF(ISNUMBER($J$2:$J$81),ROW($A$1:$A$80),""),ROW(A2))),"")</f>
        <v>13204.126564575687</v>
      </c>
      <c r="M3" s="59" t="s">
        <v>52</v>
      </c>
      <c r="N3" s="55">
        <v>1</v>
      </c>
      <c r="O3" s="55">
        <v>2</v>
      </c>
      <c r="P3" s="6">
        <v>5</v>
      </c>
      <c r="Q3" s="6">
        <v>6</v>
      </c>
      <c r="R3" s="56">
        <v>7</v>
      </c>
      <c r="S3" s="57">
        <v>8</v>
      </c>
      <c r="T3">
        <v>9</v>
      </c>
      <c r="U3">
        <v>10</v>
      </c>
      <c r="V3">
        <v>3</v>
      </c>
      <c r="W3">
        <v>4</v>
      </c>
      <c r="X3">
        <v>11</v>
      </c>
      <c r="Y3">
        <v>12</v>
      </c>
    </row>
    <row r="4" spans="1:25" ht="14.55" thickBot="1" x14ac:dyDescent="0.35">
      <c r="A4" s="78"/>
      <c r="B4" s="83"/>
      <c r="C4" s="11" t="s">
        <v>3</v>
      </c>
      <c r="D4" s="11" t="s">
        <v>56</v>
      </c>
      <c r="E4" s="11"/>
      <c r="F4" s="66" t="e">
        <f>(AVERAGEIF(D4:E4,"&gt;0",D4:E4))*10^5*100/8/(0.8^3)</f>
        <v>#DIV/0!</v>
      </c>
      <c r="G4" s="6"/>
      <c r="H4" s="5">
        <f t="array" ref="H4">IFERROR(INDEX($F$2:$F$181,SMALL(IF($G$2:$G$181=1,ROW($A$1:$A$163),""),ROW(A2))),"")</f>
        <v>3031250</v>
      </c>
      <c r="J4" s="35"/>
      <c r="K4" s="37">
        <f t="array" ref="K4">IFERROR(INDEX($I$2:$I$81,SMALL(IF(ISNUMBER($I$2:$I$81),ROW($A$1:$A$80),""),ROW(A3))),"")</f>
        <v>4010416.6666666665</v>
      </c>
      <c r="L4" s="37">
        <f t="array" ref="L4">IFERROR(INDEX($J$2:$J$81,SMALL(IF(ISNUMBER($J$2:$J$81),ROW($A$1:$A$80),""),ROW(A3))),"")</f>
        <v>2229073.8760866751</v>
      </c>
      <c r="M4" s="60"/>
      <c r="N4" s="8">
        <f t="array" ref="N4">IFERROR(INDEX($F$2:$F$181,SMALL(_xlfn.IFS($G$2:$G$181&lt;$N$2,"",$G$2:$G$181&gt;$N$3,"",ISNUMBER($G$2:$G$181),ROW($A$1:$A$180)),ROW(A1))),"")</f>
        <v>3023437.5</v>
      </c>
      <c r="O4" s="8">
        <f t="array" ref="O4">IFERROR(INDEX($F$2:$F$181,SMALL(_xlfn.IFS($G$2:$G$181&lt;$O$2,"",$G$2:$G$181&gt;$O$3,"",ISNUMBER($G$2:$G$181),ROW($A$1:$A$180)),ROW(A1))),"")</f>
        <v>135625</v>
      </c>
      <c r="P4" s="8">
        <f t="array" ref="P4">IFERROR(INDEX($F$2:$F$181,SMALL(_xlfn.IFS($G$2:$G$181&lt;$P$2,"",$G$2:$G$181&gt;$P$3,"",ISNUMBER($G$2:$G$181),ROW($A$1:$A$180)),ROW(A1))),"")</f>
        <v>3710937.4999999991</v>
      </c>
      <c r="Q4" s="8">
        <f t="array" ref="Q4">IFERROR(INDEX($F$2:$F$181,SMALL(_xlfn.IFS($G$2:$G$181&lt;$Q$2,"",$G$2:$G$181&gt;$Q$3,"",ISNUMBER($G$2:$G$181),ROW($A$1:$A$180)),ROW(A1))),"")</f>
        <v>213750</v>
      </c>
      <c r="R4" s="8">
        <f t="array" ref="R4">IFERROR(INDEX($F$2:$F$181,SMALL(_xlfn.IFS($G$2:$G$181&lt;$R$2,"",$G$2:$G$181&gt;$R$3,"",ISNUMBER($G$2:$G$181),ROW($A$1:$A$180)),ROW(A1))),"")</f>
        <v>1734375</v>
      </c>
      <c r="S4" s="9">
        <f t="array" ref="S4">IFERROR(INDEX($F$2:$F$181,SMALL(_xlfn.IFS($G$2:$G$181&lt;$S$2,"",$G$2:$G$181&gt;$S$3,"",ISNUMBER($G$2:$G$181),ROW($A$1:$A$180)),ROW(A1))),"")</f>
        <v>26250</v>
      </c>
      <c r="T4" s="5">
        <f t="array" ref="T4">IFERROR(INDEX($F$2:$F$181,SMALL(_xlfn.IFS($G$2:$G$181&lt;$T$2,"",$G$2:$G$181&gt;$T$3,"",ISNUMBER($G$2:$G$181),ROW($A$1:$A$180)),ROW(A1))),"")</f>
        <v>5281250</v>
      </c>
      <c r="U4" s="5" cm="1">
        <f t="array" ref="U4">IFERROR(INDEX($F$2:$F$181,SMALL(_xlfn.IFS($G$2:$G$181&lt;U$2,"",$G$2:$G$181&gt;U$3,"",ISNUMBER($G$2:$G$181),ROW($A$1:$A$180)),ROW(A1))),"")</f>
        <v>793750</v>
      </c>
      <c r="V4" s="5" cm="1">
        <f t="array" ref="V4">IFERROR(INDEX($F$2:$F$181,SMALL(_xlfn.IFS($G$2:$G$181&lt;V$2,"",$G$2:$G$181&gt;V$3,"",ISNUMBER($G$2:$G$181),ROW($A$1:$A$180)),ROW(B1))),"")</f>
        <v>3515624.9999999995</v>
      </c>
      <c r="W4" s="5" cm="1">
        <f t="array" ref="W4">IFERROR(INDEX($F$2:$F$181,SMALL(_xlfn.IFS($G$2:$G$181&lt;W$2,"",$G$2:$G$181&gt;W$3,"",ISNUMBER($G$2:$G$181),ROW($A$1:$A$180)),ROW(C1))),"")</f>
        <v>112500</v>
      </c>
      <c r="X4" s="5" cm="1">
        <f t="array" ref="X4">IFERROR(INDEX($F$2:$F$181,SMALL(_xlfn.IFS($G$2:$G$181&lt;X$2,"",$G$2:$G$181&gt;X$3,"",ISNUMBER($G$2:$G$181),ROW($A$1:$A$180)),ROW(D1))),"")</f>
        <v>1256250</v>
      </c>
      <c r="Y4" s="5" cm="1">
        <f t="array" ref="Y4">IFERROR(INDEX($F$2:$F$181,SMALL(_xlfn.IFS($G$2:$G$181&lt;Y$2,"",$G$2:$G$181&gt;Y$3,"",ISNUMBER($G$2:$G$181),ROW($A$1:$A$180)),ROW(E1))),"")</f>
        <v>176250</v>
      </c>
    </row>
    <row r="5" spans="1:25" ht="14.55" thickTop="1" x14ac:dyDescent="0.3">
      <c r="A5" s="78"/>
      <c r="B5" s="84">
        <v>2</v>
      </c>
      <c r="C5" s="7" t="s">
        <v>4</v>
      </c>
      <c r="D5" s="54">
        <v>194</v>
      </c>
      <c r="E5" s="54"/>
      <c r="F5" s="64">
        <f t="shared" ref="F5" si="0">(AVERAGEIF(D5:E5,"&gt;0",D5:E5))*10^3*100/8/(0.8)</f>
        <v>3031250</v>
      </c>
      <c r="G5" s="6">
        <v>1</v>
      </c>
      <c r="H5" s="5">
        <f t="array" ref="H5">IFERROR(INDEX($F$2:$F$181,SMALL(IF($G$2:$G$181=1,ROW($A$1:$A$163),""),ROW(A3))),"")</f>
        <v>3437500</v>
      </c>
      <c r="I5" s="5">
        <f>AVERAGE(H3:H5)</f>
        <v>3164062.5</v>
      </c>
      <c r="J5" s="35">
        <f>STDEV(H3:H5)</f>
        <v>236836.03736287684</v>
      </c>
      <c r="K5" s="37">
        <f t="array" ref="K5">IFERROR(INDEX($I$2:$I$81,SMALL(IF(ISNUMBER($I$2:$I$81),ROW($A$1:$A$80),""),ROW(A4))),"")</f>
        <v>95000</v>
      </c>
      <c r="L5" s="37">
        <f t="array" ref="L5">IFERROR(INDEX($J$2:$J$81,SMALL(IF(ISNUMBER($J$2:$J$81),ROW($A$1:$A$80),""),ROW(A4))),"")</f>
        <v>15206.906325745549</v>
      </c>
      <c r="M5" s="60"/>
      <c r="N5" s="8">
        <f t="array" ref="N5">IFERROR(INDEX($F$2:$F$181,SMALL(_xlfn.IFS($G$2:$G$181&lt;$N$2,"",$G$2:$G$181&gt;$N$3,"",ISNUMBER($G$2:$G$181),ROW($A$1:$A$180)),ROW(A2))),"")</f>
        <v>3031250</v>
      </c>
      <c r="O5" s="8">
        <f t="array" ref="O5">IFERROR(INDEX($F$2:$F$181,SMALL(_xlfn.IFS($G$2:$G$181&lt;$O$2,"",$G$2:$G$181&gt;$O$3,"",ISNUMBER($G$2:$G$181),ROW($A$1:$A$180)),ROW(A2))),"")</f>
        <v>151250</v>
      </c>
      <c r="P5" s="8">
        <f t="array" ref="P5">IFERROR(INDEX($F$2:$F$181,SMALL(_xlfn.IFS($G$2:$G$181&lt;$P$2,"",$G$2:$G$181&gt;$P$3,"",ISNUMBER($G$2:$G$181),ROW($A$1:$A$180)),ROW(A2))),"")</f>
        <v>2636718.7499999995</v>
      </c>
      <c r="Q5" s="8">
        <f t="array" ref="Q5">IFERROR(INDEX($F$2:$F$181,SMALL(_xlfn.IFS($G$2:$G$181&lt;$Q$2,"",$G$2:$G$181&gt;$Q$3,"",ISNUMBER($G$2:$G$181),ROW($A$1:$A$180)),ROW(A2))),"")</f>
        <v>350000</v>
      </c>
      <c r="R5" s="8">
        <f t="array" ref="R5">IFERROR(INDEX($F$2:$F$181,SMALL(_xlfn.IFS($G$2:$G$181&lt;$R$2,"",$G$2:$G$181&gt;$R$3,"",ISNUMBER($G$2:$G$181),ROW($A$1:$A$180)),ROW(A2))),"")</f>
        <v>2000000</v>
      </c>
      <c r="S5" s="9">
        <f t="array" ref="S5">IFERROR(INDEX($F$2:$F$181,SMALL(_xlfn.IFS($G$2:$G$181&lt;$S$2,"",$G$2:$G$181&gt;$S$3,"",ISNUMBER($G$2:$G$181),ROW($A$1:$A$180)),ROW(A2))),"")</f>
        <v>40000</v>
      </c>
      <c r="T5" s="5">
        <f t="array" ref="T5">IFERROR(INDEX($F$2:$F$181,SMALL(_xlfn.IFS($G$2:$G$181&lt;$T$2,"",$G$2:$G$181&gt;$T$3,"",ISNUMBER($G$2:$G$181),ROW($A$1:$A$180)),ROW(A2))),"")</f>
        <v>7324218.7499999981</v>
      </c>
      <c r="U5" s="5">
        <f t="array" ref="U5">IFERROR(INDEX($F$2:$F$181,SMALL(_xlfn.IFS($G$2:$G$181&lt;$U$2,"",$G$2:$G$181&gt;$U$3,"",ISNUMBER($G$2:$G$181),ROW($A$1:$A$180)),ROW(A2))),"")</f>
        <v>1281250</v>
      </c>
      <c r="V5" s="5" cm="1">
        <f t="array" ref="V5">IFERROR(INDEX($F$2:$F$181,SMALL(_xlfn.IFS($G$2:$G$181&lt;V$2,"",$G$2:$G$181&gt;V$3,"",ISNUMBER($G$2:$G$181),ROW($A$1:$A$180)),ROW(B2))),"")</f>
        <v>2070312.5</v>
      </c>
      <c r="W5" s="5" cm="1">
        <f t="array" ref="W5">IFERROR(INDEX($F$2:$F$181,SMALL(_xlfn.IFS($G$2:$G$181&lt;W$2,"",$G$2:$G$181&gt;W$3,"",ISNUMBER($G$2:$G$181),ROW($A$1:$A$180)),ROW(C2))),"")</f>
        <v>85000</v>
      </c>
      <c r="X5" s="5" cm="1">
        <f t="array" ref="X5">IFERROR(INDEX($F$2:$F$181,SMALL(_xlfn.IFS($G$2:$G$181&lt;X$2,"",$G$2:$G$181&gt;X$3,"",ISNUMBER($G$2:$G$181),ROW($A$1:$A$180)),ROW(D2))),"")</f>
        <v>1056250</v>
      </c>
      <c r="Y5" s="5" cm="1">
        <f t="array" ref="Y5">IFERROR(INDEX($F$2:$F$181,SMALL(_xlfn.IFS($G$2:$G$181&lt;Y$2,"",$G$2:$G$181&gt;Y$3,"",ISNUMBER($G$2:$G$181),ROW($A$1:$A$180)),ROW(E2))),"")</f>
        <v>215000</v>
      </c>
    </row>
    <row r="6" spans="1:25" x14ac:dyDescent="0.3">
      <c r="A6" s="78"/>
      <c r="B6" s="82"/>
      <c r="C6" s="10" t="s">
        <v>2</v>
      </c>
      <c r="D6" s="10">
        <v>19</v>
      </c>
      <c r="E6" s="10">
        <v>14</v>
      </c>
      <c r="F6" s="65">
        <f t="shared" ref="F6" si="1">(AVERAGEIF(D6:E6,"&gt;0",D6:E6))*10^4*100/8/(0.8^2)</f>
        <v>3222656.2499999995</v>
      </c>
      <c r="G6" s="6"/>
      <c r="H6" s="5" t="s">
        <v>12</v>
      </c>
      <c r="J6" s="35"/>
      <c r="K6" s="37">
        <f t="array" ref="K6">IFERROR(INDEX($I$2:$I$81,SMALL(IF(ISNUMBER($I$2:$I$81),ROW($A$1:$A$80),""),ROW(A5))),"")</f>
        <v>3558593.7499999995</v>
      </c>
      <c r="L6" s="37">
        <f t="array" ref="L6">IFERROR(INDEX($J$2:$J$81,SMALL(IF(ISNUMBER($J$2:$J$81),ROW($A$1:$A$80),""),ROW(A5))),"")</f>
        <v>855932.38007322315</v>
      </c>
      <c r="M6" s="60"/>
      <c r="N6" s="8">
        <f t="array" ref="N6">IFERROR(INDEX($F$2:$F$181,SMALL(_xlfn.IFS($G$2:$G$181&lt;$N$2,"",$G$2:$G$181&gt;$N$3,"",ISNUMBER($G$2:$G$181),ROW($A$1:$A$180)),ROW(A3))),"")</f>
        <v>3437500</v>
      </c>
      <c r="O6" s="8">
        <f t="array" ref="O6">IFERROR(INDEX($F$2:$F$181,SMALL(_xlfn.IFS($G$2:$G$181&lt;$O$2,"",$G$2:$G$181&gt;$O$3,"",ISNUMBER($G$2:$G$181),ROW($A$1:$A$180)),ROW(A3))),"")</f>
        <v>125000</v>
      </c>
      <c r="P6" s="8">
        <f t="array" ref="P6">IFERROR(INDEX($F$2:$F$181,SMALL(_xlfn.IFS($G$2:$G$181&lt;$P$2,"",$G$2:$G$181&gt;$P$3,"",ISNUMBER($G$2:$G$181),ROW($A$1:$A$180)),ROW(A3))),"")</f>
        <v>4328125</v>
      </c>
      <c r="Q6" s="8">
        <f t="array" ref="Q6">IFERROR(INDEX($F$2:$F$181,SMALL(_xlfn.IFS($G$2:$G$181&lt;$Q$2,"",$G$2:$G$181&gt;$Q$3,"",ISNUMBER($G$2:$G$181),ROW($A$1:$A$180)),ROW(A3))),"")</f>
        <v>706250</v>
      </c>
      <c r="R6" s="8">
        <f t="array" ref="R6">IFERROR(INDEX($F$2:$F$181,SMALL(_xlfn.IFS($G$2:$G$181&lt;$R$2,"",$G$2:$G$181&gt;$R$3,"",ISNUMBER($G$2:$G$181),ROW($A$1:$A$180)),ROW(A3))),"")</f>
        <v>1671875</v>
      </c>
      <c r="S6" s="9">
        <f t="array" ref="S6">IFERROR(INDEX($F$2:$F$181,SMALL(_xlfn.IFS($G$2:$G$181&lt;$S$2,"",$G$2:$G$181&gt;$S$3,"",ISNUMBER($G$2:$G$181),ROW($A$1:$A$180)),ROW(A3))),"")</f>
        <v>87500</v>
      </c>
      <c r="T6" s="5">
        <f t="array" ref="T6">IFERROR(INDEX($F$2:$F$181,SMALL(_xlfn.IFS($G$2:$G$181&lt;$T$2,"",$G$2:$G$181&gt;$T$3,"",ISNUMBER($G$2:$G$181),ROW($A$1:$A$180)),ROW(A3))),"")</f>
        <v>4390625</v>
      </c>
      <c r="U6" s="5">
        <f t="array" ref="U6">IFERROR(INDEX($F$2:$F$181,SMALL(_xlfn.IFS($G$2:$G$181&lt;$U$2,"",$G$2:$G$181&gt;$U$3,"",ISNUMBER($G$2:$G$181),ROW($A$1:$A$180)),ROW(A3))),"")</f>
        <v>700000</v>
      </c>
      <c r="V6" s="5" cm="1">
        <f t="array" ref="V6">IFERROR(INDEX($F$2:$F$181,SMALL(_xlfn.IFS($G$2:$G$181&lt;V$2,"",$G$2:$G$181&gt;V$3,"",ISNUMBER($G$2:$G$181),ROW($A$1:$A$180)),ROW(B3))),"")</f>
        <v>6445312.4999999991</v>
      </c>
      <c r="W6" s="5" cm="1">
        <f t="array" ref="W6">IFERROR(INDEX($F$2:$F$181,SMALL(_xlfn.IFS($G$2:$G$181&lt;W$2,"",$G$2:$G$181&gt;W$3,"",ISNUMBER($G$2:$G$181),ROW($A$1:$A$180)),ROW(C3))),"")</f>
        <v>87500</v>
      </c>
      <c r="X6" s="5" cm="1">
        <f t="array" ref="X6">IFERROR(INDEX($F$2:$F$181,SMALL(_xlfn.IFS($G$2:$G$181&lt;X$2,"",$G$2:$G$181&gt;X$3,"",ISNUMBER($G$2:$G$181),ROW($A$1:$A$180)),ROW(D3))),"")</f>
        <v>1087500</v>
      </c>
      <c r="Y6" s="5" cm="1">
        <f t="array" ref="Y6">IFERROR(INDEX($F$2:$F$181,SMALL(_xlfn.IFS($G$2:$G$181&lt;Y$2,"",$G$2:$G$181&gt;Y$3,"",ISNUMBER($G$2:$G$181),ROW($A$1:$A$180)),ROW(E3))),"")</f>
        <v>255000</v>
      </c>
    </row>
    <row r="7" spans="1:25" ht="14.55" thickBot="1" x14ac:dyDescent="0.35">
      <c r="A7" s="78"/>
      <c r="B7" s="83"/>
      <c r="C7" s="11" t="s">
        <v>3</v>
      </c>
      <c r="D7" s="11" t="s">
        <v>56</v>
      </c>
      <c r="E7" s="11"/>
      <c r="F7" s="66" t="e">
        <f t="shared" ref="F7" si="2">(AVERAGEIF(D7:E7,"&gt;0",D7:E7))*10^5*100/8/(0.8^3)</f>
        <v>#DIV/0!</v>
      </c>
      <c r="G7" s="6"/>
      <c r="H7" s="5">
        <f t="array" ref="H7">IFERROR(INDEX($F$2:$F$181,SMALL(IF($G$2:$G$181=2,ROW($A$1:$A$163),""),ROW(A1))),"")</f>
        <v>135625</v>
      </c>
      <c r="J7" s="35"/>
      <c r="K7" s="37">
        <f t="array" ref="K7">IFERROR(INDEX($I$2:$I$81,SMALL(IF(ISNUMBER($I$2:$I$81),ROW($A$1:$A$80),""),ROW(A6))),"")</f>
        <v>423333.33333333331</v>
      </c>
      <c r="L7" s="37">
        <f t="array" ref="L7">IFERROR(INDEX($J$2:$J$81,SMALL(IF(ISNUMBER($J$2:$J$81),ROW($A$1:$A$80),""),ROW(A6))),"")</f>
        <v>254307.6794619725</v>
      </c>
      <c r="M7" s="60"/>
      <c r="N7" s="8" t="str">
        <f t="array" ref="N7">IFERROR(INDEX($F$2:$F$181,SMALL(_xlfn.IFS($G$2:$G$181&lt;$N$2,"",$G$2:$G$181&gt;$N$3,"",ISNUMBER($G$2:$G$181),ROW($A$1:$A$180)),ROW(A4))),"")</f>
        <v/>
      </c>
      <c r="O7" s="8" t="str">
        <f t="array" ref="O7">IFERROR(INDEX($F$2:$F$181,SMALL(_xlfn.IFS($G$2:$G$181&lt;$O$2,"",$G$2:$G$181&gt;$O$3,"",ISNUMBER($G$2:$G$181),ROW($A$1:$A$180)),ROW(A4))),"")</f>
        <v/>
      </c>
      <c r="P7" s="8" t="str">
        <f t="array" ref="P7">IFERROR(INDEX($F$2:$F$181,SMALL(_xlfn.IFS($G$2:$G$181&lt;$P$2,"",$G$2:$G$181&gt;$P$3,"",ISNUMBER($G$2:$G$181),ROW($A$1:$A$180)),ROW(A4))),"")</f>
        <v/>
      </c>
      <c r="Q7" s="8" t="str">
        <f t="array" ref="Q7">IFERROR(INDEX($F$2:$F$181,SMALL(_xlfn.IFS($G$2:$G$181&lt;$Q$2,"",$G$2:$G$181&gt;$Q$3,"",ISNUMBER($G$2:$G$181),ROW($A$1:$A$180)),ROW(A4))),"")</f>
        <v/>
      </c>
      <c r="R7" s="8" t="str">
        <f t="array" ref="R7">IFERROR(INDEX($F$2:$F$181,SMALL(_xlfn.IFS($G$2:$G$181&lt;$R$2,"",$G$2:$G$181&gt;$R$3,"",ISNUMBER($G$2:$G$181),ROW($A$1:$A$180)),ROW(A4))),"")</f>
        <v/>
      </c>
      <c r="S7" s="9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  <c r="V7" s="5" t="str" cm="1">
        <f t="array" ref="V7">IFERROR(INDEX($F$2:$F$181,SMALL(_xlfn.IFS($G$2:$G$181&lt;V$2,"",$G$2:$G$181&gt;V$3,"",ISNUMBER($G$2:$G$181),ROW($A$1:$A$180)),ROW(B4))),"")</f>
        <v/>
      </c>
      <c r="W7" s="5" t="str" cm="1">
        <f t="array" ref="W7">IFERROR(INDEX($F$2:$F$181,SMALL(_xlfn.IFS($G$2:$G$181&lt;W$2,"",$G$2:$G$181&gt;W$3,"",ISNUMBER($G$2:$G$181),ROW($A$1:$A$180)),ROW(C4))),"")</f>
        <v/>
      </c>
      <c r="X7" s="5" t="str" cm="1">
        <f t="array" ref="X7">IFERROR(INDEX($F$2:$F$181,SMALL(_xlfn.IFS($G$2:$G$181&lt;X$2,"",$G$2:$G$181&gt;X$3,"",ISNUMBER($G$2:$G$181),ROW($A$1:$A$180)),ROW(D4))),"")</f>
        <v/>
      </c>
      <c r="Y7" s="5" t="str" cm="1">
        <f t="array" ref="Y7">IFERROR(INDEX($F$2:$F$181,SMALL(_xlfn.IFS($G$2:$G$181&lt;Y$2,"",$G$2:$G$181&gt;Y$3,"",ISNUMBER($G$2:$G$181),ROW($A$1:$A$180)),ROW(E4))),"")</f>
        <v/>
      </c>
    </row>
    <row r="8" spans="1:25" ht="14.55" thickTop="1" x14ac:dyDescent="0.3">
      <c r="A8" s="78"/>
      <c r="B8" s="84">
        <v>3</v>
      </c>
      <c r="C8" s="7" t="s">
        <v>4</v>
      </c>
      <c r="D8" s="54">
        <v>220</v>
      </c>
      <c r="E8" s="54"/>
      <c r="F8" s="64">
        <f t="shared" ref="F8" si="3">(AVERAGEIF(D8:E8,"&gt;0",D8:E8))*10^3*100/8/(0.8)</f>
        <v>3437500</v>
      </c>
      <c r="G8" s="6">
        <v>1</v>
      </c>
      <c r="H8" s="5">
        <f t="array" ref="H8">IFERROR(INDEX($F$2:$F$181,SMALL(IF($G$2:$G$181=2,ROW($A$1:$A$163),""),ROW(A2))),"")</f>
        <v>151250</v>
      </c>
      <c r="J8" s="35"/>
      <c r="K8" s="37">
        <f t="array" ref="K8">IFERROR(INDEX($I$2:$I$81,SMALL(IF(ISNUMBER($I$2:$I$81),ROW($A$1:$A$80),""),ROW(A7))),"")</f>
        <v>1802083.3333333333</v>
      </c>
      <c r="L8" s="37">
        <f t="array" ref="L8">IFERROR(INDEX($J$2:$J$81,SMALL(IF(ISNUMBER($J$2:$J$81),ROW($A$1:$A$80),""),ROW(A7))),"")</f>
        <v>174226.34045497637</v>
      </c>
      <c r="M8" s="60"/>
      <c r="N8" s="8" t="str">
        <f t="array" ref="N8">IFERROR(INDEX($F$2:$F$181,SMALL(_xlfn.IFS($G$2:$G$181&lt;$N$2,"",$G$2:$G$181&gt;$N$3,"",ISNUMBER($G$2:$G$181),ROW($A$1:$A$180)),ROW(A5))),"")</f>
        <v/>
      </c>
      <c r="O8" s="8" t="str">
        <f t="array" ref="O8">IFERROR(INDEX($F$2:$F$181,SMALL(_xlfn.IFS($G$2:$G$181&lt;$O$2,"",$G$2:$G$181&gt;$O$3,"",ISNUMBER($G$2:$G$181),ROW($A$1:$A$180)),ROW(A5))),"")</f>
        <v/>
      </c>
      <c r="P8" s="8" t="str">
        <f t="array" ref="P8">IFERROR(INDEX($F$2:$F$181,SMALL(_xlfn.IFS($G$2:$G$181&lt;$P$2,"",$G$2:$G$181&gt;$P$3,"",ISNUMBER($G$2:$G$181),ROW($A$1:$A$180)),ROW(A5))),"")</f>
        <v/>
      </c>
      <c r="Q8" s="8" t="str">
        <f t="array" ref="Q8">IFERROR(INDEX($F$2:$F$181,SMALL(_xlfn.IFS($G$2:$G$181&lt;$Q$2,"",$G$2:$G$181&gt;$Q$3,"",ISNUMBER($G$2:$G$181),ROW($A$1:$A$180)),ROW(A5))),"")</f>
        <v/>
      </c>
      <c r="R8" s="8" t="str">
        <f t="array" ref="R8">IFERROR(INDEX($F$2:$F$181,SMALL(_xlfn.IFS($G$2:$G$181&lt;$R$2,"",$G$2:$G$181&gt;$R$3,"",ISNUMBER($G$2:$G$181),ROW($A$1:$A$180)),ROW(A5))),"")</f>
        <v/>
      </c>
      <c r="S8" s="9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  <c r="V8" s="5" t="str" cm="1">
        <f t="array" ref="V8">IFERROR(INDEX($F$2:$F$181,SMALL(_xlfn.IFS($G$2:$G$181&lt;V$2,"",$G$2:$G$181&gt;V$3,"",ISNUMBER($G$2:$G$181),ROW($A$1:$A$180)),ROW(B5))),"")</f>
        <v/>
      </c>
      <c r="W8" s="5" t="str" cm="1">
        <f t="array" ref="W8">IFERROR(INDEX($F$2:$F$181,SMALL(_xlfn.IFS($G$2:$G$181&lt;W$2,"",$G$2:$G$181&gt;W$3,"",ISNUMBER($G$2:$G$181),ROW($A$1:$A$180)),ROW(C5))),"")</f>
        <v/>
      </c>
      <c r="X8" s="5" t="str" cm="1">
        <f t="array" ref="X8">IFERROR(INDEX($F$2:$F$181,SMALL(_xlfn.IFS($G$2:$G$181&lt;X$2,"",$G$2:$G$181&gt;X$3,"",ISNUMBER($G$2:$G$181),ROW($A$1:$A$180)),ROW(D5))),"")</f>
        <v/>
      </c>
      <c r="Y8" s="5" t="str" cm="1">
        <f t="array" ref="Y8">IFERROR(INDEX($F$2:$F$181,SMALL(_xlfn.IFS($G$2:$G$181&lt;Y$2,"",$G$2:$G$181&gt;Y$3,"",ISNUMBER($G$2:$G$181),ROW($A$1:$A$180)),ROW(E5))),"")</f>
        <v/>
      </c>
    </row>
    <row r="9" spans="1:25" x14ac:dyDescent="0.3">
      <c r="A9" s="78"/>
      <c r="B9" s="82"/>
      <c r="C9" s="10" t="s">
        <v>2</v>
      </c>
      <c r="D9" s="10">
        <v>18</v>
      </c>
      <c r="E9" s="10">
        <v>17</v>
      </c>
      <c r="F9" s="65">
        <f t="shared" ref="F9" si="4">(AVERAGEIF(D9:E9,"&gt;0",D9:E9))*10^4*100/8/(0.8^2)</f>
        <v>3417968.7499999995</v>
      </c>
      <c r="G9" s="6"/>
      <c r="H9" s="5">
        <f t="array" ref="H9">IFERROR(INDEX($F$2:$F$181,SMALL(IF($G$2:$G$181=2,ROW($A$1:$A$163),""),ROW(A3))),"")</f>
        <v>125000</v>
      </c>
      <c r="I9" s="5">
        <f>AVERAGE(H7:H9)</f>
        <v>137291.66666666666</v>
      </c>
      <c r="J9" s="35">
        <f>STDEV(H7:H9)</f>
        <v>13204.126564575687</v>
      </c>
      <c r="K9" s="37">
        <f t="array" ref="K9">IFERROR(INDEX($I$2:$I$81,SMALL(IF(ISNUMBER($I$2:$I$81),ROW($A$1:$A$80),""),ROW(A8))),"")</f>
        <v>51250</v>
      </c>
      <c r="L9" s="37">
        <f t="array" ref="L9">IFERROR(INDEX($J$2:$J$81,SMALL(IF(ISNUMBER($J$2:$J$81),ROW($A$1:$A$80),""),ROW(A8))),"")</f>
        <v>32137.400330456101</v>
      </c>
      <c r="M9" s="60"/>
      <c r="N9" s="8" t="str">
        <f t="array" ref="N9">IFERROR(INDEX($F$2:$F$181,SMALL(_xlfn.IFS($G$2:$G$181&lt;$N$2,"",$G$2:$G$181&gt;$N$3,"",ISNUMBER($G$2:$G$181),ROW($A$1:$A$180)),ROW(A6))),"")</f>
        <v/>
      </c>
      <c r="O9" s="8" t="str">
        <f t="array" ref="O9">IFERROR(INDEX($F$2:$F$181,SMALL(_xlfn.IFS($G$2:$G$181&lt;$O$2,"",$G$2:$G$181&gt;$O$3,"",ISNUMBER($G$2:$G$181),ROW($A$1:$A$180)),ROW(A6))),"")</f>
        <v/>
      </c>
      <c r="P9" s="8" t="str">
        <f t="array" ref="P9">IFERROR(INDEX($F$2:$F$181,SMALL(_xlfn.IFS($G$2:$G$181&lt;$P$2,"",$G$2:$G$181&gt;$P$3,"",ISNUMBER($G$2:$G$181),ROW($A$1:$A$180)),ROW(A6))),"")</f>
        <v/>
      </c>
      <c r="Q9" s="8" t="str">
        <f t="array" ref="Q9">IFERROR(INDEX($F$2:$F$181,SMALL(_xlfn.IFS($G$2:$G$181&lt;$Q$2,"",$G$2:$G$181&gt;$Q$3,"",ISNUMBER($G$2:$G$181),ROW($A$1:$A$180)),ROW(A6))),"")</f>
        <v/>
      </c>
      <c r="R9" s="8" t="str">
        <f t="array" ref="R9">IFERROR(INDEX($F$2:$F$181,SMALL(_xlfn.IFS($G$2:$G$181&lt;$R$2,"",$G$2:$G$181&gt;$R$3,"",ISNUMBER($G$2:$G$181),ROW($A$1:$A$180)),ROW(A6))),"")</f>
        <v/>
      </c>
      <c r="S9" s="9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  <c r="V9" s="5" t="str" cm="1">
        <f t="array" ref="V9">IFERROR(INDEX($F$2:$F$181,SMALL(_xlfn.IFS($G$2:$G$181&lt;V$2,"",$G$2:$G$181&gt;V$3,"",ISNUMBER($G$2:$G$181),ROW($A$1:$A$180)),ROW(B6))),"")</f>
        <v/>
      </c>
      <c r="W9" s="5" t="str" cm="1">
        <f t="array" ref="W9">IFERROR(INDEX($F$2:$F$181,SMALL(_xlfn.IFS($G$2:$G$181&lt;W$2,"",$G$2:$G$181&gt;W$3,"",ISNUMBER($G$2:$G$181),ROW($A$1:$A$180)),ROW(C6))),"")</f>
        <v/>
      </c>
      <c r="X9" s="5" t="str" cm="1">
        <f t="array" ref="X9">IFERROR(INDEX($F$2:$F$181,SMALL(_xlfn.IFS($G$2:$G$181&lt;X$2,"",$G$2:$G$181&gt;X$3,"",ISNUMBER($G$2:$G$181),ROW($A$1:$A$180)),ROW(D6))),"")</f>
        <v/>
      </c>
      <c r="Y9" s="5" t="str" cm="1">
        <f t="array" ref="Y9">IFERROR(INDEX($F$2:$F$181,SMALL(_xlfn.IFS($G$2:$G$181&lt;Y$2,"",$G$2:$G$181&gt;Y$3,"",ISNUMBER($G$2:$G$181),ROW($A$1:$A$180)),ROW(E6))),"")</f>
        <v/>
      </c>
    </row>
    <row r="10" spans="1:25" ht="14.55" thickBot="1" x14ac:dyDescent="0.35">
      <c r="A10" s="79"/>
      <c r="B10" s="85"/>
      <c r="C10" s="31" t="s">
        <v>3</v>
      </c>
      <c r="D10" s="31" t="s">
        <v>56</v>
      </c>
      <c r="E10" s="31"/>
      <c r="F10" s="66" t="e">
        <f t="shared" ref="F10" si="5">(AVERAGEIF(D10:E10,"&gt;0",D10:E10))*10^5*100/8/(0.8^3)</f>
        <v>#DIV/0!</v>
      </c>
      <c r="G10" s="6"/>
      <c r="H10" s="5" t="s">
        <v>13</v>
      </c>
      <c r="J10" s="35"/>
      <c r="K10" s="37">
        <f t="array" ref="K10">IFERROR(INDEX($I$2:$I$81,SMALL(IF(ISNUMBER($I$2:$I$81),ROW($A$1:$A$80),""),ROW(A9))),"")</f>
        <v>5665364.583333333</v>
      </c>
      <c r="L10" s="37">
        <f t="array" ref="L10">IFERROR(INDEX($J$2:$J$81,SMALL(IF(ISNUMBER($J$2:$J$81),ROW($A$1:$A$80),""),ROW(A9))),"")</f>
        <v>1504044.9070279642</v>
      </c>
      <c r="M10" s="60"/>
      <c r="N10" s="8" t="str">
        <f t="array" ref="N10">IFERROR(INDEX($F$2:$F$181,SMALL(_xlfn.IFS($G$2:$G$181&lt;$N$2,"",$G$2:$G$181&gt;$N$3,"",ISNUMBER($G$2:$G$181),ROW($A$1:$A$180)),ROW(A7))),"")</f>
        <v/>
      </c>
      <c r="O10" s="8" t="str">
        <f t="array" ref="O10">IFERROR(INDEX($F$2:$F$181,SMALL(_xlfn.IFS($G$2:$G$181&lt;$O$2,"",$G$2:$G$181&gt;$O$3,"",ISNUMBER($G$2:$G$181),ROW($A$1:$A$180)),ROW(A7))),"")</f>
        <v/>
      </c>
      <c r="P10" s="8" t="str">
        <f t="array" ref="P10">IFERROR(INDEX($F$2:$F$181,SMALL(_xlfn.IFS($G$2:$G$181&lt;$P$2,"",$G$2:$G$181&gt;$P$3,"",ISNUMBER($G$2:$G$181),ROW($A$1:$A$180)),ROW(A7))),"")</f>
        <v/>
      </c>
      <c r="Q10" s="8" t="str">
        <f t="array" ref="Q10">IFERROR(INDEX($F$2:$F$181,SMALL(_xlfn.IFS($G$2:$G$181&lt;$Q$2,"",$G$2:$G$181&gt;$Q$3,"",ISNUMBER($G$2:$G$181),ROW($A$1:$A$180)),ROW(A7))),"")</f>
        <v/>
      </c>
      <c r="R10" s="8" t="str">
        <f t="array" ref="R10">IFERROR(INDEX($F$2:$F$181,SMALL(_xlfn.IFS($G$2:$G$181&lt;$R$2,"",$G$2:$G$181&gt;$R$3,"",ISNUMBER($G$2:$G$181),ROW($A$1:$A$180)),ROW(A7))),"")</f>
        <v/>
      </c>
      <c r="S10" s="9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  <c r="V10" s="5" t="str" cm="1">
        <f t="array" ref="V10">IFERROR(INDEX($F$2:$F$181,SMALL(_xlfn.IFS($G$2:$G$181&lt;V$2,"",$G$2:$G$181&gt;V$3,"",ISNUMBER($G$2:$G$181),ROW($A$1:$A$180)),ROW(B7))),"")</f>
        <v/>
      </c>
      <c r="W10" s="5" t="str" cm="1">
        <f t="array" ref="W10">IFERROR(INDEX($F$2:$F$181,SMALL(_xlfn.IFS($G$2:$G$181&lt;W$2,"",$G$2:$G$181&gt;W$3,"",ISNUMBER($G$2:$G$181),ROW($A$1:$A$180)),ROW(C7))),"")</f>
        <v/>
      </c>
      <c r="X10" s="5" t="str" cm="1">
        <f t="array" ref="X10">IFERROR(INDEX($F$2:$F$181,SMALL(_xlfn.IFS($G$2:$G$181&lt;X$2,"",$G$2:$G$181&gt;X$3,"",ISNUMBER($G$2:$G$181),ROW($A$1:$A$180)),ROW(D7))),"")</f>
        <v/>
      </c>
      <c r="Y10" s="5" t="str" cm="1">
        <f t="array" ref="Y10">IFERROR(INDEX($F$2:$F$181,SMALL(_xlfn.IFS($G$2:$G$181&lt;Y$2,"",$G$2:$G$181&gt;Y$3,"",ISNUMBER($G$2:$G$181),ROW($A$1:$A$180)),ROW(E7))),"")</f>
        <v/>
      </c>
    </row>
    <row r="11" spans="1:25" ht="16.55" customHeight="1" thickTop="1" x14ac:dyDescent="0.3">
      <c r="A11" s="77" t="s">
        <v>58</v>
      </c>
      <c r="B11" s="81">
        <v>1</v>
      </c>
      <c r="C11" s="26" t="s">
        <v>4</v>
      </c>
      <c r="D11" s="26" t="s">
        <v>57</v>
      </c>
      <c r="E11" s="26"/>
      <c r="F11" s="64" t="e">
        <f t="shared" ref="F11:F44" si="6">(AVERAGEIF(D11:E11,"&gt;0",D11:E11))*10^3*100/8/(0.8)</f>
        <v>#DIV/0!</v>
      </c>
      <c r="G11" s="6"/>
      <c r="H11" s="5">
        <f t="array" ref="H11">IFERROR(INDEX($F$2:$F$181,SMALL(IF($G$2:$G$181=3,ROW($A$1:$A$163),""),ROW(A1))),"")</f>
        <v>3515624.9999999995</v>
      </c>
      <c r="J11" s="35"/>
      <c r="K11" s="37">
        <f t="array" ref="K11">IFERROR(INDEX($I$2:$I$81,SMALL(IF(ISNUMBER($I$2:$I$81),ROW($A$1:$A$80),""),ROW(A10))),"")</f>
        <v>925000</v>
      </c>
      <c r="L11" s="37">
        <f t="array" ref="L11">IFERROR(INDEX($J$2:$J$81,SMALL(IF(ISNUMBER($J$2:$J$81),ROW($A$1:$A$80),""),ROW(A10))),"")</f>
        <v>312062.19332049822</v>
      </c>
      <c r="M11" s="60"/>
      <c r="N11" s="8" t="str">
        <f t="array" ref="N11">IFERROR(INDEX($F$2:$F$181,SMALL(_xlfn.IFS($G$2:$G$181&lt;$N$2,"",$G$2:$G$181&gt;$N$3,"",ISNUMBER($G$2:$G$181),ROW($A$1:$A$180)),ROW(A8))),"")</f>
        <v/>
      </c>
      <c r="O11" s="8" t="str">
        <f t="array" ref="O11">IFERROR(INDEX($F$2:$F$181,SMALL(_xlfn.IFS($G$2:$G$181&lt;$O$2,"",$G$2:$G$181&gt;$O$3,"",ISNUMBER($G$2:$G$181),ROW($A$1:$A$180)),ROW(A8))),"")</f>
        <v/>
      </c>
      <c r="P11" s="8" t="str">
        <f t="array" ref="P11">IFERROR(INDEX($F$2:$F$181,SMALL(_xlfn.IFS($G$2:$G$181&lt;$P$2,"",$G$2:$G$181&gt;$P$3,"",ISNUMBER($G$2:$G$181),ROW($A$1:$A$180)),ROW(A8))),"")</f>
        <v/>
      </c>
      <c r="Q11" s="8" t="str">
        <f t="array" ref="Q11">IFERROR(INDEX($F$2:$F$181,SMALL(_xlfn.IFS($G$2:$G$181&lt;$Q$2,"",$G$2:$G$181&gt;$Q$3,"",ISNUMBER($G$2:$G$181),ROW($A$1:$A$180)),ROW(A8))),"")</f>
        <v/>
      </c>
      <c r="R11" s="8" t="str">
        <f t="array" ref="R11">IFERROR(INDEX($F$2:$F$181,SMALL(_xlfn.IFS($G$2:$G$181&lt;$R$2,"",$G$2:$G$181&gt;$R$3,"",ISNUMBER($G$2:$G$181),ROW($A$1:$A$180)),ROW(A8))),"")</f>
        <v/>
      </c>
      <c r="S11" s="9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  <c r="V11" s="5" t="str" cm="1">
        <f t="array" ref="V11">IFERROR(INDEX($F$2:$F$181,SMALL(_xlfn.IFS($G$2:$G$181&lt;V$2,"",$G$2:$G$181&gt;V$3,"",ISNUMBER($G$2:$G$181),ROW($A$1:$A$180)),ROW(B8))),"")</f>
        <v/>
      </c>
      <c r="W11" s="5" t="str" cm="1">
        <f t="array" ref="W11">IFERROR(INDEX($F$2:$F$181,SMALL(_xlfn.IFS($G$2:$G$181&lt;W$2,"",$G$2:$G$181&gt;W$3,"",ISNUMBER($G$2:$G$181),ROW($A$1:$A$180)),ROW(C8))),"")</f>
        <v/>
      </c>
      <c r="X11" s="5" t="str" cm="1">
        <f t="array" ref="X11">IFERROR(INDEX($F$2:$F$181,SMALL(_xlfn.IFS($G$2:$G$181&lt;X$2,"",$G$2:$G$181&gt;X$3,"",ISNUMBER($G$2:$G$181),ROW($A$1:$A$180)),ROW(D8))),"")</f>
        <v/>
      </c>
      <c r="Y11" s="5" t="str" cm="1">
        <f t="array" ref="Y11">IFERROR(INDEX($F$2:$F$181,SMALL(_xlfn.IFS($G$2:$G$181&lt;Y$2,"",$G$2:$G$181&gt;Y$3,"",ISNUMBER($G$2:$G$181),ROW($A$1:$A$180)),ROW(E8))),"")</f>
        <v/>
      </c>
    </row>
    <row r="12" spans="1:25" x14ac:dyDescent="0.3">
      <c r="A12" s="78"/>
      <c r="B12" s="82"/>
      <c r="C12" s="10" t="s">
        <v>2</v>
      </c>
      <c r="D12" s="10">
        <v>18</v>
      </c>
      <c r="E12" s="10">
        <v>18</v>
      </c>
      <c r="F12" s="65">
        <f t="shared" ref="F12:F45" si="7">(AVERAGEIF(D12:E12,"&gt;0",D12:E12))*10^4*100/8/(0.8^2)</f>
        <v>3515624.9999999995</v>
      </c>
      <c r="G12" s="6">
        <v>3</v>
      </c>
      <c r="H12" s="5">
        <f t="array" ref="H12">IFERROR(INDEX($F$2:$F$181,SMALL(IF($G$2:$G$181=3,ROW($A$1:$A$163),""),ROW(A2))),"")</f>
        <v>2070312.5</v>
      </c>
      <c r="J12" s="35"/>
      <c r="K12" s="37">
        <f t="array" ref="K12">IFERROR(INDEX($I$2:$I$81,SMALL(IF(ISNUMBER($I$2:$I$81),ROW($A$1:$A$80),""),ROW(A11))),"")</f>
        <v>1133333.3333333333</v>
      </c>
      <c r="L12" s="37">
        <f t="array" ref="L12">IFERROR(INDEX($J$2:$J$81,SMALL(IF(ISNUMBER($J$2:$J$81),ROW($A$1:$A$80),""),ROW(A11))),"")</f>
        <v>107589.59444729464</v>
      </c>
      <c r="M12" s="60"/>
      <c r="N12" s="8" t="str">
        <f t="array" ref="N12">IFERROR(INDEX($F$2:$F$181,SMALL(_xlfn.IFS($G$2:$G$181&lt;$N$2,"",$G$2:$G$181&gt;$N$3,"",ISNUMBER($G$2:$G$181),ROW($A$1:$A$180)),ROW(A9))),"")</f>
        <v/>
      </c>
      <c r="O12" s="8" t="str">
        <f t="array" ref="O12">IFERROR(INDEX($F$2:$F$181,SMALL(_xlfn.IFS($G$2:$G$181&lt;$O$2,"",$G$2:$G$181&gt;$O$3,"",ISNUMBER($G$2:$G$181),ROW($A$1:$A$180)),ROW(A9))),"")</f>
        <v/>
      </c>
      <c r="P12" s="8" t="str">
        <f t="array" ref="P12">IFERROR(INDEX($F$2:$F$181,SMALL(_xlfn.IFS($G$2:$G$181&lt;$P$2,"",$G$2:$G$181&gt;$P$3,"",ISNUMBER($G$2:$G$181),ROW($A$1:$A$180)),ROW(A9))),"")</f>
        <v/>
      </c>
      <c r="Q12" s="8" t="str">
        <f t="array" ref="Q12">IFERROR(INDEX($F$2:$F$181,SMALL(_xlfn.IFS($G$2:$G$181&lt;$Q$2,"",$G$2:$G$181&gt;$Q$3,"",ISNUMBER($G$2:$G$181),ROW($A$1:$A$180)),ROW(A9))),"")</f>
        <v/>
      </c>
      <c r="R12" s="8" t="str">
        <f t="array" ref="R12">IFERROR(INDEX($F$2:$F$181,SMALL(_xlfn.IFS($G$2:$G$181&lt;$R$2,"",$G$2:$G$181&gt;$R$3,"",ISNUMBER($G$2:$G$181),ROW($A$1:$A$180)),ROW(A9))),"")</f>
        <v/>
      </c>
      <c r="S12" s="9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  <c r="V12" s="5" t="str" cm="1">
        <f t="array" ref="V12">IFERROR(INDEX($F$2:$F$181,SMALL(_xlfn.IFS($G$2:$G$181&lt;V$2,"",$G$2:$G$181&gt;V$3,"",ISNUMBER($G$2:$G$181),ROW($A$1:$A$180)),ROW(B9))),"")</f>
        <v/>
      </c>
      <c r="W12" s="5" t="str" cm="1">
        <f t="array" ref="W12">IFERROR(INDEX($F$2:$F$181,SMALL(_xlfn.IFS($G$2:$G$181&lt;W$2,"",$G$2:$G$181&gt;W$3,"",ISNUMBER($G$2:$G$181),ROW($A$1:$A$180)),ROW(C9))),"")</f>
        <v/>
      </c>
      <c r="X12" s="5" t="str" cm="1">
        <f t="array" ref="X12">IFERROR(INDEX($F$2:$F$181,SMALL(_xlfn.IFS($G$2:$G$181&lt;X$2,"",$G$2:$G$181&gt;X$3,"",ISNUMBER($G$2:$G$181),ROW($A$1:$A$180)),ROW(D9))),"")</f>
        <v/>
      </c>
      <c r="Y12" s="5" t="str" cm="1">
        <f t="array" ref="Y12">IFERROR(INDEX($F$2:$F$181,SMALL(_xlfn.IFS($G$2:$G$181&lt;Y$2,"",$G$2:$G$181&gt;Y$3,"",ISNUMBER($G$2:$G$181),ROW($A$1:$A$180)),ROW(E9))),"")</f>
        <v/>
      </c>
    </row>
    <row r="13" spans="1:25" ht="14.55" thickBot="1" x14ac:dyDescent="0.35">
      <c r="A13" s="78"/>
      <c r="B13" s="83"/>
      <c r="C13" s="11" t="s">
        <v>3</v>
      </c>
      <c r="D13" s="11" t="s">
        <v>56</v>
      </c>
      <c r="E13" s="11"/>
      <c r="F13" s="66" t="e">
        <f t="shared" ref="F13:F46" si="8">(AVERAGEIF(D13:E13,"&gt;0",D13:E13))*10^5*100/8/(0.8^3)</f>
        <v>#DIV/0!</v>
      </c>
      <c r="G13" s="6"/>
      <c r="H13" s="5">
        <f t="array" ref="H13">IFERROR(INDEX($F$2:$F$181,SMALL(IF($G$2:$G$181=3,ROW($A$1:$A$163),""),ROW(A3))),"")</f>
        <v>6445312.4999999991</v>
      </c>
      <c r="I13" s="5">
        <f>AVERAGE(H11:H13)</f>
        <v>4010416.6666666665</v>
      </c>
      <c r="J13" s="35">
        <f>STDEV(H11:H13)</f>
        <v>2229073.8760866751</v>
      </c>
      <c r="K13" s="37">
        <f t="array" ref="K13">IFERROR(INDEX($I$2:$I$81,SMALL(IF(ISNUMBER($I$2:$I$81),ROW($A$1:$A$80),""),ROW(A12))),"")</f>
        <v>215416.66666666666</v>
      </c>
      <c r="L13" s="37">
        <f t="array" ref="L13">IFERROR(INDEX($J$2:$J$81,SMALL(IF(ISNUMBER($J$2:$J$81),ROW($A$1:$A$80),""),ROW(A12))),"")</f>
        <v>39376.653404439137</v>
      </c>
      <c r="M13" s="60"/>
      <c r="N13" s="8" t="str">
        <f t="array" ref="N13">IFERROR(INDEX($F$2:$F$181,SMALL(_xlfn.IFS($G$2:$G$181&lt;$N$2,"",$G$2:$G$181&gt;$N$3,"",ISNUMBER($G$2:$G$181),ROW($A$1:$A$180)),ROW(A10))),"")</f>
        <v/>
      </c>
      <c r="O13" s="8" t="str">
        <f t="array" ref="O13">IFERROR(INDEX($F$2:$F$181,SMALL(_xlfn.IFS($G$2:$G$181&lt;$O$2,"",$G$2:$G$181&gt;$O$3,"",ISNUMBER($G$2:$G$181),ROW($A$1:$A$180)),ROW(A10))),"")</f>
        <v/>
      </c>
      <c r="P13" s="8" t="str">
        <f t="array" ref="P13">IFERROR(INDEX($F$2:$F$181,SMALL(_xlfn.IFS($G$2:$G$181&lt;$P$2,"",$G$2:$G$181&gt;$P$3,"",ISNUMBER($G$2:$G$181),ROW($A$1:$A$180)),ROW(A10))),"")</f>
        <v/>
      </c>
      <c r="Q13" s="8" t="str">
        <f t="array" ref="Q13">IFERROR(INDEX($F$2:$F$181,SMALL(_xlfn.IFS($G$2:$G$181&lt;$Q$2,"",$G$2:$G$181&gt;$Q$3,"",ISNUMBER($G$2:$G$181),ROW($A$1:$A$180)),ROW(A10))),"")</f>
        <v/>
      </c>
      <c r="R13" s="8" t="str">
        <f t="array" ref="R13">IFERROR(INDEX($F$2:$F$181,SMALL(_xlfn.IFS($G$2:$G$181&lt;$R$2,"",$G$2:$G$181&gt;$R$3,"",ISNUMBER($G$2:$G$181),ROW($A$1:$A$180)),ROW(A10))),"")</f>
        <v/>
      </c>
      <c r="S13" s="9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  <c r="V13" s="5" t="str" cm="1">
        <f t="array" ref="V13">IFERROR(INDEX($F$2:$F$181,SMALL(_xlfn.IFS($G$2:$G$181&lt;V$2,"",$G$2:$G$181&gt;V$3,"",ISNUMBER($G$2:$G$181),ROW($A$1:$A$180)),ROW(B10))),"")</f>
        <v/>
      </c>
      <c r="W13" s="5" t="str" cm="1">
        <f t="array" ref="W13">IFERROR(INDEX($F$2:$F$181,SMALL(_xlfn.IFS($G$2:$G$181&lt;W$2,"",$G$2:$G$181&gt;W$3,"",ISNUMBER($G$2:$G$181),ROW($A$1:$A$180)),ROW(C10))),"")</f>
        <v/>
      </c>
      <c r="X13" s="5" t="str" cm="1">
        <f t="array" ref="X13">IFERROR(INDEX($F$2:$F$181,SMALL(_xlfn.IFS($G$2:$G$181&lt;X$2,"",$G$2:$G$181&gt;X$3,"",ISNUMBER($G$2:$G$181),ROW($A$1:$A$180)),ROW(D10))),"")</f>
        <v/>
      </c>
      <c r="Y13" s="5" t="str" cm="1">
        <f t="array" ref="Y13">IFERROR(INDEX($F$2:$F$181,SMALL(_xlfn.IFS($G$2:$G$181&lt;Y$2,"",$G$2:$G$181&gt;Y$3,"",ISNUMBER($G$2:$G$181),ROW($A$1:$A$180)),ROW(E10))),"")</f>
        <v/>
      </c>
    </row>
    <row r="14" spans="1:25" ht="14.55" thickTop="1" x14ac:dyDescent="0.3">
      <c r="A14" s="78"/>
      <c r="B14" s="84">
        <v>2</v>
      </c>
      <c r="C14" s="7" t="s">
        <v>4</v>
      </c>
      <c r="D14" s="7">
        <v>132</v>
      </c>
      <c r="E14" s="7">
        <v>133</v>
      </c>
      <c r="F14" s="64">
        <f t="shared" si="6"/>
        <v>2070312.5</v>
      </c>
      <c r="G14" s="6">
        <v>3</v>
      </c>
      <c r="H14" s="5" t="s">
        <v>14</v>
      </c>
      <c r="J14" s="36"/>
      <c r="K14" s="37" t="str">
        <f t="array" ref="K14">IFERROR(INDEX($I$2:$I$81,SMALL(IF(ISNUMBER($I$2:$I$81),ROW($A$1:$A$80),""),ROW(A13))),"")</f>
        <v/>
      </c>
      <c r="L14" s="37" t="str">
        <f t="array" ref="L14">IFERROR(INDEX($J$2:$J$81,SMALL(IF(ISNUMBER($J$2:$J$81),ROW($A$1:$A$80),""),ROW(A13))),"")</f>
        <v/>
      </c>
      <c r="M14" s="60"/>
      <c r="N14" s="8" t="str">
        <f t="array" ref="N14">IFERROR(INDEX($F$2:$F$181,SMALL(_xlfn.IFS($G$2:$G$181&lt;$N$2,"",$G$2:$G$181&gt;$N$3,"",ISNUMBER($G$2:$G$181),ROW($A$1:$A$180)),ROW(A11))),"")</f>
        <v/>
      </c>
      <c r="O14" s="8" t="str">
        <f t="array" ref="O14">IFERROR(INDEX($F$2:$F$181,SMALL(_xlfn.IFS($G$2:$G$181&lt;$O$2,"",$G$2:$G$181&gt;$O$3,"",ISNUMBER($G$2:$G$181),ROW($A$1:$A$180)),ROW(A11))),"")</f>
        <v/>
      </c>
      <c r="P14" s="8" t="str">
        <f t="array" ref="P14">IFERROR(INDEX($F$2:$F$181,SMALL(_xlfn.IFS($G$2:$G$181&lt;$P$2,"",$G$2:$G$181&gt;$P$3,"",ISNUMBER($G$2:$G$181),ROW($A$1:$A$180)),ROW(A11))),"")</f>
        <v/>
      </c>
      <c r="Q14" s="8" t="str">
        <f t="array" ref="Q14">IFERROR(INDEX($F$2:$F$181,SMALL(_xlfn.IFS($G$2:$G$181&lt;$Q$2,"",$G$2:$G$181&gt;$Q$3,"",ISNUMBER($G$2:$G$181),ROW($A$1:$A$180)),ROW(A11))),"")</f>
        <v/>
      </c>
      <c r="R14" s="8" t="str">
        <f t="array" ref="R14">IFERROR(INDEX($F$2:$F$181,SMALL(_xlfn.IFS($G$2:$G$181&lt;$R$2,"",$G$2:$G$181&gt;$R$3,"",ISNUMBER($G$2:$G$181),ROW($A$1:$A$180)),ROW(A11))),"")</f>
        <v/>
      </c>
      <c r="S14" s="9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  <c r="V14" s="5" t="str" cm="1">
        <f t="array" ref="V14">IFERROR(INDEX($F$2:$F$181,SMALL(_xlfn.IFS($G$2:$G$181&lt;V$2,"",$G$2:$G$181&gt;V$3,"",ISNUMBER($G$2:$G$181),ROW($A$1:$A$180)),ROW(B11))),"")</f>
        <v/>
      </c>
      <c r="W14" s="5" t="str" cm="1">
        <f t="array" ref="W14">IFERROR(INDEX($F$2:$F$181,SMALL(_xlfn.IFS($G$2:$G$181&lt;W$2,"",$G$2:$G$181&gt;W$3,"",ISNUMBER($G$2:$G$181),ROW($A$1:$A$180)),ROW(C11))),"")</f>
        <v/>
      </c>
      <c r="X14" s="5" t="str" cm="1">
        <f t="array" ref="X14">IFERROR(INDEX($F$2:$F$181,SMALL(_xlfn.IFS($G$2:$G$181&lt;X$2,"",$G$2:$G$181&gt;X$3,"",ISNUMBER($G$2:$G$181),ROW($A$1:$A$180)),ROW(D11))),"")</f>
        <v/>
      </c>
      <c r="Y14" s="5" t="str" cm="1">
        <f t="array" ref="Y14">IFERROR(INDEX($F$2:$F$181,SMALL(_xlfn.IFS($G$2:$G$181&lt;Y$2,"",$G$2:$G$181&gt;Y$3,"",ISNUMBER($G$2:$G$181),ROW($A$1:$A$180)),ROW(E11))),"")</f>
        <v/>
      </c>
    </row>
    <row r="15" spans="1:25" x14ac:dyDescent="0.3">
      <c r="A15" s="78"/>
      <c r="B15" s="82"/>
      <c r="C15" s="10" t="s">
        <v>2</v>
      </c>
      <c r="D15" s="10">
        <v>9</v>
      </c>
      <c r="E15" s="10">
        <v>8</v>
      </c>
      <c r="F15" s="65">
        <f t="shared" si="7"/>
        <v>1660156.2499999998</v>
      </c>
      <c r="G15" s="6"/>
      <c r="H15" s="5">
        <f t="array" ref="H15">IFERROR(INDEX($F$2:$F$181,SMALL(IF($G$2:$G$181=4,ROW($A$1:$A$163),""),ROW(A1))),"")</f>
        <v>112500</v>
      </c>
      <c r="J15" s="36"/>
      <c r="K15" s="37" t="str">
        <f t="array" ref="K15">IFERROR(INDEX($I$2:$I$81,SMALL(IF(ISNUMBER($I$2:$I$81),ROW($A$1:$A$80),""),ROW(A14))),"")</f>
        <v/>
      </c>
      <c r="L15" s="37" t="str">
        <f t="array" ref="L15">IFERROR(INDEX($J$2:$J$81,SMALL(IF(ISNUMBER($J$2:$J$81),ROW($A$1:$A$80),""),ROW(A14))),"")</f>
        <v/>
      </c>
      <c r="M15" s="60"/>
      <c r="N15" s="8" t="str">
        <f t="array" ref="N15">IFERROR(INDEX($F$2:$F$181,SMALL(_xlfn.IFS($G$2:$G$181&lt;$N$2,"",$G$2:$G$181&gt;$N$3,"",ISNUMBER($G$2:$G$181),ROW($A$1:$A$180)),ROW(A12))),"")</f>
        <v/>
      </c>
      <c r="O15" s="8" t="str">
        <f t="array" ref="O15">IFERROR(INDEX($F$2:$F$181,SMALL(_xlfn.IFS($G$2:$G$181&lt;$O$2,"",$G$2:$G$181&gt;$O$3,"",ISNUMBER($G$2:$G$181),ROW($A$1:$A$180)),ROW(A12))),"")</f>
        <v/>
      </c>
      <c r="P15" s="8" t="str">
        <f t="array" ref="P15">IFERROR(INDEX($F$2:$F$181,SMALL(_xlfn.IFS($G$2:$G$181&lt;$P$2,"",$G$2:$G$181&gt;$P$3,"",ISNUMBER($G$2:$G$181),ROW($A$1:$A$180)),ROW(A12))),"")</f>
        <v/>
      </c>
      <c r="Q15" s="8" t="str">
        <f t="array" ref="Q15">IFERROR(INDEX($F$2:$F$181,SMALL(_xlfn.IFS($G$2:$G$181&lt;$Q$2,"",$G$2:$G$181&gt;$Q$3,"",ISNUMBER($G$2:$G$181),ROW($A$1:$A$180)),ROW(A12))),"")</f>
        <v/>
      </c>
      <c r="R15" s="8" t="str">
        <f t="array" ref="R15">IFERROR(INDEX($F$2:$F$181,SMALL(_xlfn.IFS($G$2:$G$181&lt;$R$2,"",$G$2:$G$181&gt;$R$3,"",ISNUMBER($G$2:$G$181),ROW($A$1:$A$180)),ROW(A12))),"")</f>
        <v/>
      </c>
      <c r="S15" s="9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  <c r="V15" s="5" t="str" cm="1">
        <f t="array" ref="V15">IFERROR(INDEX($F$2:$F$181,SMALL(_xlfn.IFS($G$2:$G$181&lt;V$2,"",$G$2:$G$181&gt;V$3,"",ISNUMBER($G$2:$G$181),ROW($A$1:$A$180)),ROW(B12))),"")</f>
        <v/>
      </c>
      <c r="W15" s="5" t="str" cm="1">
        <f t="array" ref="W15">IFERROR(INDEX($F$2:$F$181,SMALL(_xlfn.IFS($G$2:$G$181&lt;W$2,"",$G$2:$G$181&gt;W$3,"",ISNUMBER($G$2:$G$181),ROW($A$1:$A$180)),ROW(C12))),"")</f>
        <v/>
      </c>
      <c r="X15" s="5" t="str" cm="1">
        <f t="array" ref="X15">IFERROR(INDEX($F$2:$F$181,SMALL(_xlfn.IFS($G$2:$G$181&lt;X$2,"",$G$2:$G$181&gt;X$3,"",ISNUMBER($G$2:$G$181),ROW($A$1:$A$180)),ROW(D12))),"")</f>
        <v/>
      </c>
      <c r="Y15" s="5" t="str" cm="1">
        <f t="array" ref="Y15">IFERROR(INDEX($F$2:$F$181,SMALL(_xlfn.IFS($G$2:$G$181&lt;Y$2,"",$G$2:$G$181&gt;Y$3,"",ISNUMBER($G$2:$G$181),ROW($A$1:$A$180)),ROW(E12))),"")</f>
        <v/>
      </c>
    </row>
    <row r="16" spans="1:25" ht="14.55" thickBot="1" x14ac:dyDescent="0.35">
      <c r="A16" s="78"/>
      <c r="B16" s="83"/>
      <c r="C16" s="11" t="s">
        <v>3</v>
      </c>
      <c r="D16" s="11" t="s">
        <v>56</v>
      </c>
      <c r="E16" s="11"/>
      <c r="F16" s="66" t="e">
        <f t="shared" si="8"/>
        <v>#DIV/0!</v>
      </c>
      <c r="G16" s="6"/>
      <c r="H16" s="5">
        <f t="array" ref="H16">IFERROR(INDEX($F$2:$F$181,SMALL(IF($G$2:$G$181=4,ROW($A$1:$A$163),""),ROW(A2))),"")</f>
        <v>85000</v>
      </c>
      <c r="J16" s="36"/>
      <c r="K16" s="37" t="str">
        <f t="array" ref="K16">IFERROR(INDEX($I$2:$I$81,SMALL(IF(ISNUMBER($I$2:$I$81),ROW($A$1:$A$80),""),ROW(A15))),"")</f>
        <v/>
      </c>
      <c r="L16" s="37" t="str">
        <f t="array" ref="L16">IFERROR(INDEX($J$2:$J$81,SMALL(IF(ISNUMBER($J$2:$J$81),ROW($A$1:$A$80),""),ROW(A15))),"")</f>
        <v/>
      </c>
      <c r="M16" s="60"/>
      <c r="N16" s="8" t="str">
        <f t="array" ref="N16">IFERROR(INDEX($F$2:$F$181,SMALL(_xlfn.IFS($G$2:$G$181&lt;$N$2,"",$G$2:$G$181&gt;$N$3,"",ISNUMBER($G$2:$G$181),ROW($A$1:$A$180)),ROW(A13))),"")</f>
        <v/>
      </c>
      <c r="O16" s="8" t="str">
        <f t="array" ref="O16">IFERROR(INDEX($F$2:$F$181,SMALL(_xlfn.IFS($G$2:$G$181&lt;$O$2,"",$G$2:$G$181&gt;$O$3,"",ISNUMBER($G$2:$G$181),ROW($A$1:$A$180)),ROW(A13))),"")</f>
        <v/>
      </c>
      <c r="P16" s="8" t="str">
        <f t="array" ref="P16">IFERROR(INDEX($F$2:$F$181,SMALL(_xlfn.IFS($G$2:$G$181&lt;$P$2,"",$G$2:$G$181&gt;$P$3,"",ISNUMBER($G$2:$G$181),ROW($A$1:$A$180)),ROW(A13))),"")</f>
        <v/>
      </c>
      <c r="Q16" s="8" t="str">
        <f t="array" ref="Q16">IFERROR(INDEX($F$2:$F$181,SMALL(_xlfn.IFS($G$2:$G$181&lt;$Q$2,"",$G$2:$G$181&gt;$Q$3,"",ISNUMBER($G$2:$G$181),ROW($A$1:$A$180)),ROW(A13))),"")</f>
        <v/>
      </c>
      <c r="R16" s="8" t="str">
        <f t="array" ref="R16">IFERROR(INDEX($F$2:$F$181,SMALL(_xlfn.IFS($G$2:$G$181&lt;$R$2,"",$G$2:$G$181&gt;$R$3,"",ISNUMBER($G$2:$G$181),ROW($A$1:$A$180)),ROW(A13))),"")</f>
        <v/>
      </c>
      <c r="S16" s="9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  <c r="V16" s="5" t="str" cm="1">
        <f t="array" ref="V16">IFERROR(INDEX($F$2:$F$181,SMALL(_xlfn.IFS($G$2:$G$181&lt;V$2,"",$G$2:$G$181&gt;V$3,"",ISNUMBER($G$2:$G$181),ROW($A$1:$A$180)),ROW(B13))),"")</f>
        <v/>
      </c>
      <c r="W16" s="5" t="str" cm="1">
        <f t="array" ref="W16">IFERROR(INDEX($F$2:$F$181,SMALL(_xlfn.IFS($G$2:$G$181&lt;W$2,"",$G$2:$G$181&gt;W$3,"",ISNUMBER($G$2:$G$181),ROW($A$1:$A$180)),ROW(C13))),"")</f>
        <v/>
      </c>
      <c r="X16" s="5" t="str" cm="1">
        <f t="array" ref="X16">IFERROR(INDEX($F$2:$F$181,SMALL(_xlfn.IFS($G$2:$G$181&lt;X$2,"",$G$2:$G$181&gt;X$3,"",ISNUMBER($G$2:$G$181),ROW($A$1:$A$180)),ROW(D13))),"")</f>
        <v/>
      </c>
      <c r="Y16" s="5" t="str" cm="1">
        <f t="array" ref="Y16">IFERROR(INDEX($F$2:$F$181,SMALL(_xlfn.IFS($G$2:$G$181&lt;Y$2,"",$G$2:$G$181&gt;Y$3,"",ISNUMBER($G$2:$G$181),ROW($A$1:$A$180)),ROW(E13))),"")</f>
        <v/>
      </c>
    </row>
    <row r="17" spans="1:25" ht="14.55" thickTop="1" x14ac:dyDescent="0.3">
      <c r="A17" s="78"/>
      <c r="B17" s="84">
        <v>3</v>
      </c>
      <c r="C17" s="7" t="s">
        <v>4</v>
      </c>
      <c r="D17" s="7" t="s">
        <v>57</v>
      </c>
      <c r="E17" s="7"/>
      <c r="F17" s="64" t="e">
        <f t="shared" si="6"/>
        <v>#DIV/0!</v>
      </c>
      <c r="G17" s="6"/>
      <c r="H17" s="5">
        <f t="array" ref="H17">IFERROR(INDEX($F$2:$F$181,SMALL(IF($G$2:$G$181=4,ROW($A$1:$A$163),""),ROW(A3))),"")</f>
        <v>87500</v>
      </c>
      <c r="I17" s="5">
        <f>AVERAGE(H15:H17)</f>
        <v>95000</v>
      </c>
      <c r="J17" s="35">
        <f>STDEV(H15:H17)</f>
        <v>15206.906325745549</v>
      </c>
      <c r="K17" s="37" t="str">
        <f t="array" ref="K17">IFERROR(INDEX($I$2:$I$81,SMALL(IF(ISNUMBER($I$2:$I$81),ROW($A$1:$A$80),""),ROW(A16))),"")</f>
        <v/>
      </c>
      <c r="L17" s="37" t="str">
        <f t="array" ref="L17">IFERROR(INDEX($J$2:$J$81,SMALL(IF(ISNUMBER($J$2:$J$81),ROW($A$1:$A$80),""),ROW(A16))),"")</f>
        <v/>
      </c>
      <c r="M17" s="60"/>
      <c r="N17" s="8" t="str">
        <f t="array" ref="N17">IFERROR(INDEX($F$2:$F$181,SMALL(_xlfn.IFS($G$2:$G$181&lt;$N$2,"",$G$2:$G$181&gt;$N$3,"",ISNUMBER($G$2:$G$181),ROW($A$1:$A$180)),ROW(A14))),"")</f>
        <v/>
      </c>
      <c r="O17" s="8" t="str">
        <f t="array" ref="O17">IFERROR(INDEX($F$2:$F$181,SMALL(_xlfn.IFS($G$2:$G$181&lt;$O$2,"",$G$2:$G$181&gt;$O$3,"",ISNUMBER($G$2:$G$181),ROW($A$1:$A$180)),ROW(A14))),"")</f>
        <v/>
      </c>
      <c r="P17" s="8" t="str">
        <f t="array" ref="P17">IFERROR(INDEX($F$2:$F$181,SMALL(_xlfn.IFS($G$2:$G$181&lt;$P$2,"",$G$2:$G$181&gt;$P$3,"",ISNUMBER($G$2:$G$181),ROW($A$1:$A$180)),ROW(A14))),"")</f>
        <v/>
      </c>
      <c r="Q17" s="8" t="str">
        <f t="array" ref="Q17">IFERROR(INDEX($F$2:$F$181,SMALL(_xlfn.IFS($G$2:$G$181&lt;$Q$2,"",$G$2:$G$181&gt;$Q$3,"",ISNUMBER($G$2:$G$181),ROW($A$1:$A$180)),ROW(A14))),"")</f>
        <v/>
      </c>
      <c r="R17" s="8" t="str">
        <f t="array" ref="R17">IFERROR(INDEX($F$2:$F$181,SMALL(_xlfn.IFS($G$2:$G$181&lt;$R$2,"",$G$2:$G$181&gt;$R$3,"",ISNUMBER($G$2:$G$181),ROW($A$1:$A$180)),ROW(A14))),"")</f>
        <v/>
      </c>
      <c r="S17" s="9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  <c r="V17" s="5" t="str" cm="1">
        <f t="array" ref="V17">IFERROR(INDEX($F$2:$F$181,SMALL(_xlfn.IFS($G$2:$G$181&lt;V$2,"",$G$2:$G$181&gt;V$3,"",ISNUMBER($G$2:$G$181),ROW($A$1:$A$180)),ROW(B14))),"")</f>
        <v/>
      </c>
      <c r="W17" s="5" t="str" cm="1">
        <f t="array" ref="W17">IFERROR(INDEX($F$2:$F$181,SMALL(_xlfn.IFS($G$2:$G$181&lt;W$2,"",$G$2:$G$181&gt;W$3,"",ISNUMBER($G$2:$G$181),ROW($A$1:$A$180)),ROW(C14))),"")</f>
        <v/>
      </c>
      <c r="X17" s="5" t="str" cm="1">
        <f t="array" ref="X17">IFERROR(INDEX($F$2:$F$181,SMALL(_xlfn.IFS($G$2:$G$181&lt;X$2,"",$G$2:$G$181&gt;X$3,"",ISNUMBER($G$2:$G$181),ROW($A$1:$A$180)),ROW(D14))),"")</f>
        <v/>
      </c>
      <c r="Y17" s="5" t="str" cm="1">
        <f t="array" ref="Y17">IFERROR(INDEX($F$2:$F$181,SMALL(_xlfn.IFS($G$2:$G$181&lt;Y$2,"",$G$2:$G$181&gt;Y$3,"",ISNUMBER($G$2:$G$181),ROW($A$1:$A$180)),ROW(E14))),"")</f>
        <v/>
      </c>
    </row>
    <row r="18" spans="1:25" x14ac:dyDescent="0.3">
      <c r="A18" s="78"/>
      <c r="B18" s="82"/>
      <c r="C18" s="10" t="s">
        <v>2</v>
      </c>
      <c r="D18" s="10">
        <v>33</v>
      </c>
      <c r="E18" s="10">
        <v>33</v>
      </c>
      <c r="F18" s="65">
        <f t="shared" si="7"/>
        <v>6445312.4999999991</v>
      </c>
      <c r="G18" s="6">
        <v>3</v>
      </c>
      <c r="H18" s="5" t="s">
        <v>15</v>
      </c>
      <c r="J18" s="36"/>
      <c r="K18" s="37" t="str">
        <f t="array" ref="K18">IFERROR(INDEX($I$2:$I$81,SMALL(IF(ISNUMBER($I$2:$I$81),ROW($A$1:$A$80),""),ROW(A17))),"")</f>
        <v/>
      </c>
      <c r="L18" s="37" t="str">
        <f t="array" ref="L18">IFERROR(INDEX($J$2:$J$81,SMALL(IF(ISNUMBER($J$2:$J$81),ROW($A$1:$A$80),""),ROW(A17))),"")</f>
        <v/>
      </c>
      <c r="M18" s="60"/>
      <c r="N18" s="8" t="str">
        <f t="array" ref="N18">IFERROR(INDEX($F$2:$F$181,SMALL(_xlfn.IFS($G$2:$G$181&lt;$N$2,"",$G$2:$G$181&gt;$N$3,"",ISNUMBER($G$2:$G$181),ROW($A$1:$A$180)),ROW(A15))),"")</f>
        <v/>
      </c>
      <c r="O18" s="8" t="str">
        <f t="array" ref="O18">IFERROR(INDEX($F$2:$F$181,SMALL(_xlfn.IFS($G$2:$G$181&lt;$O$2,"",$G$2:$G$181&gt;$O$3,"",ISNUMBER($G$2:$G$181),ROW($A$1:$A$180)),ROW(A15))),"")</f>
        <v/>
      </c>
      <c r="P18" s="8" t="str">
        <f t="array" ref="P18">IFERROR(INDEX($F$2:$F$181,SMALL(_xlfn.IFS($G$2:$G$181&lt;$P$2,"",$G$2:$G$181&gt;$P$3,"",ISNUMBER($G$2:$G$181),ROW($A$1:$A$180)),ROW(A15))),"")</f>
        <v/>
      </c>
      <c r="Q18" s="8" t="str">
        <f t="array" ref="Q18">IFERROR(INDEX($F$2:$F$181,SMALL(_xlfn.IFS($G$2:$G$181&lt;$Q$2,"",$G$2:$G$181&gt;$Q$3,"",ISNUMBER($G$2:$G$181),ROW($A$1:$A$180)),ROW(A15))),"")</f>
        <v/>
      </c>
      <c r="R18" s="8" t="str">
        <f t="array" ref="R18">IFERROR(INDEX($F$2:$F$181,SMALL(_xlfn.IFS($G$2:$G$181&lt;$R$2,"",$G$2:$G$181&gt;$R$3,"",ISNUMBER($G$2:$G$181),ROW($A$1:$A$180)),ROW(A15))),"")</f>
        <v/>
      </c>
      <c r="S18" s="9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  <c r="V18" s="5" t="str" cm="1">
        <f t="array" ref="V18">IFERROR(INDEX($F$2:$F$181,SMALL(_xlfn.IFS($G$2:$G$181&lt;V$2,"",$G$2:$G$181&gt;V$3,"",ISNUMBER($G$2:$G$181),ROW($A$1:$A$180)),ROW(B15))),"")</f>
        <v/>
      </c>
      <c r="W18" s="5" t="str" cm="1">
        <f t="array" ref="W18">IFERROR(INDEX($F$2:$F$181,SMALL(_xlfn.IFS($G$2:$G$181&lt;W$2,"",$G$2:$G$181&gt;W$3,"",ISNUMBER($G$2:$G$181),ROW($A$1:$A$180)),ROW(C15))),"")</f>
        <v/>
      </c>
      <c r="X18" s="5" t="str" cm="1">
        <f t="array" ref="X18">IFERROR(INDEX($F$2:$F$181,SMALL(_xlfn.IFS($G$2:$G$181&lt;X$2,"",$G$2:$G$181&gt;X$3,"",ISNUMBER($G$2:$G$181),ROW($A$1:$A$180)),ROW(D15))),"")</f>
        <v/>
      </c>
      <c r="Y18" s="5" t="str" cm="1">
        <f t="array" ref="Y18">IFERROR(INDEX($F$2:$F$181,SMALL(_xlfn.IFS($G$2:$G$181&lt;Y$2,"",$G$2:$G$181&gt;Y$3,"",ISNUMBER($G$2:$G$181),ROW($A$1:$A$180)),ROW(E15))),"")</f>
        <v/>
      </c>
    </row>
    <row r="19" spans="1:25" ht="14.55" thickBot="1" x14ac:dyDescent="0.35">
      <c r="A19" s="79"/>
      <c r="B19" s="85"/>
      <c r="C19" s="31" t="s">
        <v>3</v>
      </c>
      <c r="D19" s="31" t="s">
        <v>56</v>
      </c>
      <c r="E19" s="31"/>
      <c r="F19" s="66" t="e">
        <f t="shared" si="8"/>
        <v>#DIV/0!</v>
      </c>
      <c r="G19" s="6"/>
      <c r="H19" s="5">
        <f t="array" ref="H19">IFERROR(INDEX($F$2:$F$181,SMALL(IF($G$2:$G$181=5,ROW($A$1:$A$163),""),ROW(A1))),"")</f>
        <v>3710937.4999999991</v>
      </c>
      <c r="J19" s="36"/>
      <c r="K19" s="37" t="str">
        <f t="array" ref="K19">IFERROR(INDEX($I$2:$I$81,SMALL(IF(ISNUMBER($I$2:$I$81),ROW($A$1:$A$80),""),ROW(A18))),"")</f>
        <v/>
      </c>
      <c r="L19" s="37" t="str">
        <f t="array" ref="L19">IFERROR(INDEX($J$2:$J$81,SMALL(IF(ISNUMBER($J$2:$J$81),ROW($A$1:$A$80),""),ROW(A18))),"")</f>
        <v/>
      </c>
      <c r="M19" s="60"/>
      <c r="N19" s="8" t="str">
        <f t="array" ref="N19">IFERROR(INDEX($F$2:$F$181,SMALL(_xlfn.IFS($G$2:$G$181&lt;$N$2,"",$G$2:$G$181&gt;$N$3,"",ISNUMBER($G$2:$G$181),ROW($A$1:$A$180)),ROW(A16))),"")</f>
        <v/>
      </c>
      <c r="O19" s="8" t="str">
        <f t="array" ref="O19">IFERROR(INDEX($F$2:$F$181,SMALL(_xlfn.IFS($G$2:$G$181&lt;$O$2,"",$G$2:$G$181&gt;$O$3,"",ISNUMBER($G$2:$G$181),ROW($A$1:$A$180)),ROW(A16))),"")</f>
        <v/>
      </c>
      <c r="P19" s="8" t="str">
        <f t="array" ref="P19">IFERROR(INDEX($F$2:$F$181,SMALL(_xlfn.IFS($G$2:$G$181&lt;$P$2,"",$G$2:$G$181&gt;$P$3,"",ISNUMBER($G$2:$G$181),ROW($A$1:$A$180)),ROW(A16))),"")</f>
        <v/>
      </c>
      <c r="Q19" s="8" t="str">
        <f t="array" ref="Q19">IFERROR(INDEX($F$2:$F$181,SMALL(_xlfn.IFS($G$2:$G$181&lt;$Q$2,"",$G$2:$G$181&gt;$Q$3,"",ISNUMBER($G$2:$G$181),ROW($A$1:$A$180)),ROW(A16))),"")</f>
        <v/>
      </c>
      <c r="R19" s="8" t="str">
        <f t="array" ref="R19">IFERROR(INDEX($F$2:$F$181,SMALL(_xlfn.IFS($G$2:$G$181&lt;$R$2,"",$G$2:$G$181&gt;$R$3,"",ISNUMBER($G$2:$G$181),ROW($A$1:$A$180)),ROW(A16))),"")</f>
        <v/>
      </c>
      <c r="S19" s="9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  <c r="V19" s="5" t="str" cm="1">
        <f t="array" ref="V19">IFERROR(INDEX($F$2:$F$181,SMALL(_xlfn.IFS($G$2:$G$181&lt;V$2,"",$G$2:$G$181&gt;V$3,"",ISNUMBER($G$2:$G$181),ROW($A$1:$A$180)),ROW(B16))),"")</f>
        <v/>
      </c>
      <c r="W19" s="5" t="str" cm="1">
        <f t="array" ref="W19">IFERROR(INDEX($F$2:$F$181,SMALL(_xlfn.IFS($G$2:$G$181&lt;W$2,"",$G$2:$G$181&gt;W$3,"",ISNUMBER($G$2:$G$181),ROW($A$1:$A$180)),ROW(C16))),"")</f>
        <v/>
      </c>
      <c r="X19" s="5" t="str" cm="1">
        <f t="array" ref="X19">IFERROR(INDEX($F$2:$F$181,SMALL(_xlfn.IFS($G$2:$G$181&lt;X$2,"",$G$2:$G$181&gt;X$3,"",ISNUMBER($G$2:$G$181),ROW($A$1:$A$180)),ROW(D16))),"")</f>
        <v/>
      </c>
      <c r="Y19" s="5" t="str" cm="1">
        <f t="array" ref="Y19">IFERROR(INDEX($F$2:$F$181,SMALL(_xlfn.IFS($G$2:$G$181&lt;Y$2,"",$G$2:$G$181&gt;Y$3,"",ISNUMBER($G$2:$G$181),ROW($A$1:$A$180)),ROW(E16))),"")</f>
        <v/>
      </c>
    </row>
    <row r="20" spans="1:25" ht="14.55" thickTop="1" x14ac:dyDescent="0.3">
      <c r="A20" s="77" t="s">
        <v>59</v>
      </c>
      <c r="B20" s="81">
        <v>1</v>
      </c>
      <c r="C20" s="26" t="s">
        <v>4</v>
      </c>
      <c r="D20" s="53">
        <v>260</v>
      </c>
      <c r="E20" s="53"/>
      <c r="F20" s="64">
        <f t="shared" si="6"/>
        <v>4062500</v>
      </c>
      <c r="G20" s="6"/>
      <c r="H20" s="5">
        <f t="array" ref="H20">IFERROR(INDEX($F$2:$F$181,SMALL(IF($G$2:$G$181=5,ROW($A$1:$A$163),""),ROW(A2))),"")</f>
        <v>2636718.7499999995</v>
      </c>
      <c r="J20" s="36"/>
      <c r="K20" s="37" t="str">
        <f t="array" ref="K20">IFERROR(INDEX($I$2:$I$81,SMALL(IF(ISNUMBER($I$2:$I$81),ROW($A$1:$A$80),""),ROW(A19))),"")</f>
        <v/>
      </c>
      <c r="L20" s="37" t="str">
        <f t="array" ref="L20">IFERROR(INDEX($J$2:$J$81,SMALL(IF(ISNUMBER($J$2:$J$81),ROW($A$1:$A$80),""),ROW(A19))),"")</f>
        <v/>
      </c>
      <c r="M20" s="60"/>
      <c r="N20" s="8" t="str">
        <f t="array" ref="N20">IFERROR(INDEX($F$2:$F$181,SMALL(_xlfn.IFS($G$2:$G$181&lt;$N$2,"",$G$2:$G$181&gt;$N$3,"",ISNUMBER($G$2:$G$181),ROW($A$1:$A$180)),ROW(A17))),"")</f>
        <v/>
      </c>
      <c r="O20" s="8" t="str">
        <f t="array" ref="O20">IFERROR(INDEX($F$2:$F$181,SMALL(_xlfn.IFS($G$2:$G$181&lt;$O$2,"",$G$2:$G$181&gt;$O$3,"",ISNUMBER($G$2:$G$181),ROW($A$1:$A$180)),ROW(A17))),"")</f>
        <v/>
      </c>
      <c r="P20" s="8" t="str">
        <f t="array" ref="P20">IFERROR(INDEX($F$2:$F$181,SMALL(_xlfn.IFS($G$2:$G$181&lt;$P$2,"",$G$2:$G$181&gt;$P$3,"",ISNUMBER($G$2:$G$181),ROW($A$1:$A$180)),ROW(A17))),"")</f>
        <v/>
      </c>
      <c r="Q20" s="8" t="str">
        <f t="array" ref="Q20">IFERROR(INDEX($F$2:$F$181,SMALL(_xlfn.IFS($G$2:$G$181&lt;$Q$2,"",$G$2:$G$181&gt;$Q$3,"",ISNUMBER($G$2:$G$181),ROW($A$1:$A$180)),ROW(A17))),"")</f>
        <v/>
      </c>
      <c r="R20" s="8" t="str">
        <f t="array" ref="R20">IFERROR(INDEX($F$2:$F$181,SMALL(_xlfn.IFS($G$2:$G$181&lt;$R$2,"",$G$2:$G$181&gt;$R$3,"",ISNUMBER($G$2:$G$181),ROW($A$1:$A$180)),ROW(A17))),"")</f>
        <v/>
      </c>
      <c r="S20" s="9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  <c r="V20" s="5" t="str" cm="1">
        <f t="array" ref="V20">IFERROR(INDEX($F$2:$F$181,SMALL(_xlfn.IFS($G$2:$G$181&lt;V$2,"",$G$2:$G$181&gt;V$3,"",ISNUMBER($G$2:$G$181),ROW($A$1:$A$180)),ROW(B17))),"")</f>
        <v/>
      </c>
      <c r="W20" s="5" t="str" cm="1">
        <f t="array" ref="W20">IFERROR(INDEX($F$2:$F$181,SMALL(_xlfn.IFS($G$2:$G$181&lt;W$2,"",$G$2:$G$181&gt;W$3,"",ISNUMBER($G$2:$G$181),ROW($A$1:$A$180)),ROW(C17))),"")</f>
        <v/>
      </c>
      <c r="X20" s="5" t="str" cm="1">
        <f t="array" ref="X20">IFERROR(INDEX($F$2:$F$181,SMALL(_xlfn.IFS($G$2:$G$181&lt;X$2,"",$G$2:$G$181&gt;X$3,"",ISNUMBER($G$2:$G$181),ROW($A$1:$A$180)),ROW(D17))),"")</f>
        <v/>
      </c>
      <c r="Y20" s="5" t="str" cm="1">
        <f t="array" ref="Y20">IFERROR(INDEX($F$2:$F$181,SMALL(_xlfn.IFS($G$2:$G$181&lt;Y$2,"",$G$2:$G$181&gt;Y$3,"",ISNUMBER($G$2:$G$181),ROW($A$1:$A$180)),ROW(E17))),"")</f>
        <v/>
      </c>
    </row>
    <row r="21" spans="1:25" x14ac:dyDescent="0.3">
      <c r="A21" s="78"/>
      <c r="B21" s="82"/>
      <c r="C21" s="10" t="s">
        <v>2</v>
      </c>
      <c r="D21" s="10">
        <v>18</v>
      </c>
      <c r="E21" s="10">
        <v>20</v>
      </c>
      <c r="F21" s="65">
        <f t="shared" si="7"/>
        <v>3710937.4999999991</v>
      </c>
      <c r="G21" s="6">
        <v>5</v>
      </c>
      <c r="H21" s="5">
        <f t="array" ref="H21">IFERROR(INDEX($F$2:$F$181,SMALL(IF($G$2:$G$181=5,ROW($A$1:$A$163),""),ROW(A3))),"")</f>
        <v>4328125</v>
      </c>
      <c r="I21" s="5">
        <f>AVERAGE(H19:H21)</f>
        <v>3558593.7499999995</v>
      </c>
      <c r="J21" s="35">
        <f>STDEV(H19:H21)</f>
        <v>855932.38007322315</v>
      </c>
      <c r="K21" s="37" t="str">
        <f t="array" ref="K21">IFERROR(INDEX($I$2:$I$81,SMALL(IF(ISNUMBER($I$2:$I$81),ROW($A$1:$A$80),""),ROW(A20))),"")</f>
        <v/>
      </c>
      <c r="L21" s="37" t="str">
        <f t="array" ref="L21">IFERROR(INDEX($J$2:$J$81,SMALL(IF(ISNUMBER($J$2:$J$81),ROW($A$1:$A$80),""),ROW(A20))),"")</f>
        <v/>
      </c>
      <c r="M21" s="60"/>
      <c r="N21" s="8" t="str">
        <f t="array" ref="N21">IFERROR(INDEX($F$2:$F$181,SMALL(_xlfn.IFS($G$2:$G$181&lt;$N$2,"",$G$2:$G$181&gt;$N$3,"",ISNUMBER($G$2:$G$181),ROW($A$1:$A$180)),ROW(A18))),"")</f>
        <v/>
      </c>
      <c r="O21" s="8" t="str">
        <f t="array" ref="O21">IFERROR(INDEX($F$2:$F$181,SMALL(_xlfn.IFS($G$2:$G$181&lt;$O$2,"",$G$2:$G$181&gt;$O$3,"",ISNUMBER($G$2:$G$181),ROW($A$1:$A$180)),ROW(A18))),"")</f>
        <v/>
      </c>
      <c r="P21" s="8" t="str">
        <f t="array" ref="P21">IFERROR(INDEX($F$2:$F$181,SMALL(_xlfn.IFS($G$2:$G$181&lt;$P$2,"",$G$2:$G$181&gt;$P$3,"",ISNUMBER($G$2:$G$181),ROW($A$1:$A$180)),ROW(A18))),"")</f>
        <v/>
      </c>
      <c r="Q21" s="8" t="str">
        <f t="array" ref="Q21">IFERROR(INDEX($F$2:$F$181,SMALL(_xlfn.IFS($G$2:$G$181&lt;$Q$2,"",$G$2:$G$181&gt;$Q$3,"",ISNUMBER($G$2:$G$181),ROW($A$1:$A$180)),ROW(A18))),"")</f>
        <v/>
      </c>
      <c r="R21" s="8" t="str">
        <f t="array" ref="R21">IFERROR(INDEX($F$2:$F$181,SMALL(_xlfn.IFS($G$2:$G$181&lt;$R$2,"",$G$2:$G$181&gt;$R$3,"",ISNUMBER($G$2:$G$181),ROW($A$1:$A$180)),ROW(A18))),"")</f>
        <v/>
      </c>
      <c r="S21" s="9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  <c r="V21" s="5" t="str" cm="1">
        <f t="array" ref="V21">IFERROR(INDEX($F$2:$F$181,SMALL(_xlfn.IFS($G$2:$G$181&lt;V$2,"",$G$2:$G$181&gt;V$3,"",ISNUMBER($G$2:$G$181),ROW($A$1:$A$180)),ROW(B18))),"")</f>
        <v/>
      </c>
      <c r="W21" s="5" t="str" cm="1">
        <f t="array" ref="W21">IFERROR(INDEX($F$2:$F$181,SMALL(_xlfn.IFS($G$2:$G$181&lt;W$2,"",$G$2:$G$181&gt;W$3,"",ISNUMBER($G$2:$G$181),ROW($A$1:$A$180)),ROW(C18))),"")</f>
        <v/>
      </c>
      <c r="X21" s="5" t="str" cm="1">
        <f t="array" ref="X21">IFERROR(INDEX($F$2:$F$181,SMALL(_xlfn.IFS($G$2:$G$181&lt;X$2,"",$G$2:$G$181&gt;X$3,"",ISNUMBER($G$2:$G$181),ROW($A$1:$A$180)),ROW(D18))),"")</f>
        <v/>
      </c>
      <c r="Y21" s="5" t="str" cm="1">
        <f t="array" ref="Y21">IFERROR(INDEX($F$2:$F$181,SMALL(_xlfn.IFS($G$2:$G$181&lt;Y$2,"",$G$2:$G$181&gt;Y$3,"",ISNUMBER($G$2:$G$181),ROW($A$1:$A$180)),ROW(E18))),"")</f>
        <v/>
      </c>
    </row>
    <row r="22" spans="1:25" ht="14.55" thickBot="1" x14ac:dyDescent="0.35">
      <c r="A22" s="78"/>
      <c r="B22" s="83"/>
      <c r="C22" s="11" t="s">
        <v>3</v>
      </c>
      <c r="D22" s="11" t="s">
        <v>56</v>
      </c>
      <c r="E22" s="11"/>
      <c r="F22" s="66" t="e">
        <f t="shared" si="8"/>
        <v>#DIV/0!</v>
      </c>
      <c r="G22" s="6"/>
      <c r="H22" s="5" t="s">
        <v>16</v>
      </c>
      <c r="J22" s="36"/>
      <c r="K22" s="37" t="str">
        <f t="array" ref="K22">IFERROR(INDEX($I$2:$I$81,SMALL(IF(ISNUMBER($I$2:$I$81),ROW($A$1:$A$80),""),ROW(A21))),"")</f>
        <v/>
      </c>
      <c r="L22" s="37" t="str">
        <f t="array" ref="L22">IFERROR(INDEX($J$2:$J$81,SMALL(IF(ISNUMBER($J$2:$J$81),ROW($A$1:$A$80),""),ROW(A21))),"")</f>
        <v/>
      </c>
      <c r="M22" s="61"/>
      <c r="N22" s="42" t="s">
        <v>35</v>
      </c>
      <c r="O22" s="42" t="s">
        <v>36</v>
      </c>
      <c r="P22" s="42" t="s">
        <v>37</v>
      </c>
      <c r="Q22" s="42" t="s">
        <v>38</v>
      </c>
      <c r="R22" s="43" t="s">
        <v>39</v>
      </c>
      <c r="S22" s="43" t="s">
        <v>40</v>
      </c>
      <c r="T22" s="41" t="s">
        <v>41</v>
      </c>
      <c r="U22" s="41" t="s">
        <v>42</v>
      </c>
      <c r="V22" s="41" t="s">
        <v>42</v>
      </c>
      <c r="W22" s="41" t="s">
        <v>42</v>
      </c>
      <c r="X22" s="41" t="s">
        <v>42</v>
      </c>
      <c r="Y22" s="41" t="s">
        <v>42</v>
      </c>
    </row>
    <row r="23" spans="1:25" ht="14.55" thickTop="1" x14ac:dyDescent="0.3">
      <c r="A23" s="78"/>
      <c r="B23" s="84">
        <v>2</v>
      </c>
      <c r="C23" s="7" t="s">
        <v>4</v>
      </c>
      <c r="D23" s="54">
        <v>164</v>
      </c>
      <c r="E23" s="54"/>
      <c r="F23" s="64">
        <f t="shared" si="6"/>
        <v>2562500</v>
      </c>
      <c r="G23" s="6"/>
      <c r="H23" s="5">
        <f t="array" ref="H23">IFERROR(INDEX($F$2:$F$181,SMALL(IF($G$2:$G$181=6,ROW($A$1:$A$163),""),ROW(A1))),"")</f>
        <v>213750</v>
      </c>
      <c r="J23" s="36"/>
      <c r="K23" s="37" t="str">
        <f t="array" ref="K23">IFERROR(INDEX($I$2:$I$81,SMALL(IF(ISNUMBER($I$2:$I$81),ROW($A$1:$A$80),""),ROW(A22))),"")</f>
        <v/>
      </c>
      <c r="L23" s="37" t="str">
        <f t="array" ref="L23">IFERROR(INDEX($J$2:$J$81,SMALL(IF(ISNUMBER($J$2:$J$81),ROW($A$1:$A$80),""),ROW(A22))),"")</f>
        <v/>
      </c>
      <c r="M23" s="61"/>
      <c r="N23" s="8">
        <f>AVERAGE(N4:N21)</f>
        <v>3164062.5</v>
      </c>
      <c r="O23" s="8">
        <f t="shared" ref="O23:Y23" si="9">AVERAGE(O4:O21)</f>
        <v>137291.66666666666</v>
      </c>
      <c r="P23" s="8">
        <f t="shared" si="9"/>
        <v>3558593.7499999995</v>
      </c>
      <c r="Q23" s="8">
        <f t="shared" si="9"/>
        <v>423333.33333333331</v>
      </c>
      <c r="R23" s="8">
        <f t="shared" si="9"/>
        <v>1802083.3333333333</v>
      </c>
      <c r="S23" s="8">
        <f t="shared" si="9"/>
        <v>51250</v>
      </c>
      <c r="T23" s="8">
        <f t="shared" si="9"/>
        <v>5665364.583333333</v>
      </c>
      <c r="U23" s="8">
        <f t="shared" si="9"/>
        <v>925000</v>
      </c>
      <c r="V23" s="8">
        <f t="shared" si="9"/>
        <v>4010416.6666666665</v>
      </c>
      <c r="W23" s="8">
        <f t="shared" si="9"/>
        <v>95000</v>
      </c>
      <c r="X23" s="8">
        <f t="shared" si="9"/>
        <v>1133333.3333333333</v>
      </c>
      <c r="Y23" s="8">
        <f t="shared" si="9"/>
        <v>215416.66666666666</v>
      </c>
    </row>
    <row r="24" spans="1:25" x14ac:dyDescent="0.3">
      <c r="A24" s="78"/>
      <c r="B24" s="82"/>
      <c r="C24" s="10" t="s">
        <v>2</v>
      </c>
      <c r="D24" s="10">
        <v>14</v>
      </c>
      <c r="E24" s="10">
        <v>13</v>
      </c>
      <c r="F24" s="65">
        <f t="shared" si="7"/>
        <v>2636718.7499999995</v>
      </c>
      <c r="G24" s="6">
        <v>5</v>
      </c>
      <c r="H24" s="5">
        <f t="array" ref="H24">IFERROR(INDEX($F$2:$F$181,SMALL(IF($G$2:$G$181=6,ROW($A$1:$A$163),""),ROW(A2))),"")</f>
        <v>350000</v>
      </c>
      <c r="J24" s="36"/>
      <c r="K24" s="37" t="str">
        <f t="array" ref="K24">IFERROR(INDEX($I$2:$I$81,SMALL(IF(ISNUMBER($I$2:$I$81),ROW($A$1:$A$80),""),ROW(A23))),"")</f>
        <v/>
      </c>
      <c r="L24" s="37" t="str">
        <f t="array" ref="L24">IFERROR(INDEX($J$2:$J$81,SMALL(IF(ISNUMBER($J$2:$J$81),ROW($A$1:$A$80),""),ROW(A23))),"")</f>
        <v/>
      </c>
      <c r="M24" s="61"/>
      <c r="N24" s="42" t="s">
        <v>43</v>
      </c>
      <c r="O24" s="42" t="s">
        <v>44</v>
      </c>
      <c r="P24" s="42" t="s">
        <v>45</v>
      </c>
      <c r="Q24" s="42" t="s">
        <v>46</v>
      </c>
      <c r="R24" s="43" t="s">
        <v>47</v>
      </c>
      <c r="S24" s="43" t="s">
        <v>48</v>
      </c>
      <c r="T24" s="41" t="s">
        <v>50</v>
      </c>
      <c r="U24" s="41" t="s">
        <v>49</v>
      </c>
      <c r="V24" s="41" t="s">
        <v>49</v>
      </c>
      <c r="W24" s="41" t="s">
        <v>49</v>
      </c>
      <c r="X24" s="41" t="s">
        <v>49</v>
      </c>
      <c r="Y24" s="41" t="s">
        <v>49</v>
      </c>
    </row>
    <row r="25" spans="1:25" ht="14.55" thickBot="1" x14ac:dyDescent="0.35">
      <c r="A25" s="78"/>
      <c r="B25" s="83"/>
      <c r="C25" s="11" t="s">
        <v>3</v>
      </c>
      <c r="D25" s="11" t="s">
        <v>56</v>
      </c>
      <c r="E25" s="11"/>
      <c r="F25" s="66" t="e">
        <f t="shared" si="8"/>
        <v>#DIV/0!</v>
      </c>
      <c r="G25" s="6"/>
      <c r="H25" s="5">
        <f t="array" ref="H25">IFERROR(INDEX($F$2:$F$181,SMALL(IF($G$2:$G$181=6,ROW($A$1:$A$163),""),ROW(A3))),"")</f>
        <v>706250</v>
      </c>
      <c r="I25" s="5">
        <f>AVERAGE(H23:H25)</f>
        <v>423333.33333333331</v>
      </c>
      <c r="J25" s="35">
        <f>STDEV(H23:H25)</f>
        <v>254307.6794619725</v>
      </c>
      <c r="K25" s="37" t="str">
        <f t="array" ref="K25">IFERROR(INDEX($I$2:$I$81,SMALL(IF(ISNUMBER($I$2:$I$81),ROW($A$1:$A$80),""),ROW(A24))),"")</f>
        <v/>
      </c>
      <c r="L25" s="37" t="str">
        <f t="array" ref="L25">IFERROR(INDEX($J$2:$J$81,SMALL(IF(ISNUMBER($J$2:$J$81),ROW($A$1:$A$80),""),ROW(A24))),"")</f>
        <v/>
      </c>
      <c r="M25" s="61"/>
      <c r="N25" s="13">
        <f t="shared" ref="N25:P25" si="10">STDEV(N4:N21)</f>
        <v>236836.03736287684</v>
      </c>
      <c r="O25" s="13">
        <f t="shared" si="10"/>
        <v>13204.126564575687</v>
      </c>
      <c r="P25" s="13">
        <f t="shared" si="10"/>
        <v>855932.38007322315</v>
      </c>
      <c r="Q25" s="13">
        <f>STDEV(Q4:Q21)</f>
        <v>254307.6794619725</v>
      </c>
      <c r="R25" s="13">
        <f t="shared" ref="R25:Y25" si="11">STDEV(R4:R21)</f>
        <v>174226.34045497637</v>
      </c>
      <c r="S25" s="13">
        <f t="shared" si="11"/>
        <v>32137.400330456101</v>
      </c>
      <c r="T25" s="13">
        <f t="shared" si="11"/>
        <v>1504044.9070279642</v>
      </c>
      <c r="U25" s="13">
        <f t="shared" si="11"/>
        <v>312062.19332049822</v>
      </c>
      <c r="V25" s="13">
        <f t="shared" si="11"/>
        <v>2229073.8760866751</v>
      </c>
      <c r="W25" s="13">
        <f t="shared" si="11"/>
        <v>15206.906325745549</v>
      </c>
      <c r="X25" s="13">
        <f t="shared" si="11"/>
        <v>107589.59444729464</v>
      </c>
      <c r="Y25" s="13">
        <f t="shared" si="11"/>
        <v>39376.653404439137</v>
      </c>
    </row>
    <row r="26" spans="1:25" ht="14.55" thickTop="1" x14ac:dyDescent="0.3">
      <c r="A26" s="78"/>
      <c r="B26" s="84">
        <v>3</v>
      </c>
      <c r="C26" s="7" t="s">
        <v>4</v>
      </c>
      <c r="D26" s="54">
        <v>277</v>
      </c>
      <c r="E26" s="54"/>
      <c r="F26" s="64">
        <f t="shared" si="6"/>
        <v>4328125</v>
      </c>
      <c r="G26" s="6">
        <v>5</v>
      </c>
      <c r="H26" s="5" t="s">
        <v>17</v>
      </c>
      <c r="J26" s="36"/>
      <c r="K26" s="37" t="str">
        <f t="array" ref="K26">IFERROR(INDEX($I$2:$I$81,SMALL(IF(ISNUMBER($I$2:$I$81),ROW($A$1:$A$80),""),ROW(A25))),"")</f>
        <v/>
      </c>
      <c r="L26" s="37" t="str">
        <f t="array" ref="L26">IFERROR(INDEX($J$2:$J$81,SMALL(IF(ISNUMBER($J$2:$J$81),ROW($A$1:$A$80),""),ROW(A25))),"")</f>
        <v/>
      </c>
      <c r="M26" s="60"/>
      <c r="N26" s="13"/>
      <c r="O26" s="8"/>
      <c r="P26" s="8"/>
      <c r="Q26" s="8"/>
      <c r="R26" s="9"/>
      <c r="S26" s="9"/>
    </row>
    <row r="27" spans="1:25" x14ac:dyDescent="0.3">
      <c r="A27" s="78"/>
      <c r="B27" s="82"/>
      <c r="C27" s="10" t="s">
        <v>2</v>
      </c>
      <c r="D27" s="10">
        <v>23</v>
      </c>
      <c r="E27" s="10">
        <v>23</v>
      </c>
      <c r="F27" s="65">
        <f t="shared" si="7"/>
        <v>4492187.4999999991</v>
      </c>
      <c r="G27" s="6"/>
      <c r="H27" s="5">
        <f t="array" ref="H27">IFERROR(INDEX($F$2:$F$181,SMALL(IF($G$2:$G$181=7,ROW($A$1:$A$163),""),ROW(A1))),"")</f>
        <v>1734375</v>
      </c>
      <c r="J27" s="36"/>
      <c r="K27" s="37" t="str">
        <f t="array" ref="K27">IFERROR(INDEX($I$2:$I$81,SMALL(IF(ISNUMBER($I$2:$I$81),ROW($A$1:$A$80),""),ROW(A26))),"")</f>
        <v/>
      </c>
      <c r="L27" s="37" t="str">
        <f t="array" ref="L27">IFERROR(INDEX($J$2:$J$81,SMALL(IF(ISNUMBER($J$2:$J$81),ROW($A$1:$A$80),""),ROW(A26))),"")</f>
        <v/>
      </c>
      <c r="M27" s="60"/>
      <c r="N27" s="13"/>
      <c r="O27" s="8"/>
      <c r="P27" s="8"/>
      <c r="Q27" s="8"/>
      <c r="R27" s="9"/>
      <c r="S27" s="9"/>
    </row>
    <row r="28" spans="1:25" ht="14.55" thickBot="1" x14ac:dyDescent="0.35">
      <c r="A28" s="79"/>
      <c r="B28" s="85"/>
      <c r="C28" s="31" t="s">
        <v>3</v>
      </c>
      <c r="D28" s="31" t="s">
        <v>56</v>
      </c>
      <c r="E28" s="31"/>
      <c r="F28" s="66" t="e">
        <f t="shared" si="8"/>
        <v>#DIV/0!</v>
      </c>
      <c r="G28" s="6"/>
      <c r="H28" s="5">
        <f t="array" ref="H28">IFERROR(INDEX($F$2:$F$181,SMALL(IF($G$2:$G$181=7,ROW($A$1:$A$163),""),ROW(A2))),"")</f>
        <v>2000000</v>
      </c>
      <c r="J28" s="36"/>
      <c r="K28" s="12"/>
      <c r="L28" s="37" t="str">
        <f t="array" ref="L28">IFERROR(INDEX($J$2:$J$81,SMALL(IF(ISNUMBER($J$2:$J$81),ROW($A$1:$A$80),""),ROW(A27))),"")</f>
        <v/>
      </c>
      <c r="M28" s="60"/>
      <c r="N28" s="13"/>
      <c r="O28" s="8">
        <f>N23/O23</f>
        <v>23.046282245827012</v>
      </c>
      <c r="P28" s="8"/>
      <c r="Q28" s="8">
        <f t="shared" ref="Q28:U28" si="12">P23/Q23</f>
        <v>8.406126968503937</v>
      </c>
      <c r="R28" s="8"/>
      <c r="S28" s="8">
        <f t="shared" si="12"/>
        <v>35.162601626016261</v>
      </c>
      <c r="T28" s="8"/>
      <c r="U28" s="8">
        <f t="shared" si="12"/>
        <v>6.1247184684684681</v>
      </c>
      <c r="W28" s="5">
        <f>V23/W23</f>
        <v>42.214912280701753</v>
      </c>
      <c r="Y28" s="5">
        <f>X23/Y23</f>
        <v>5.2611218568665379</v>
      </c>
    </row>
    <row r="29" spans="1:25" ht="14.55" thickTop="1" x14ac:dyDescent="0.3">
      <c r="A29" s="77" t="s">
        <v>60</v>
      </c>
      <c r="B29" s="81">
        <v>1</v>
      </c>
      <c r="C29" s="26" t="s">
        <v>4</v>
      </c>
      <c r="D29" s="53">
        <v>111</v>
      </c>
      <c r="E29" s="53"/>
      <c r="F29" s="64">
        <f t="shared" si="6"/>
        <v>1734375</v>
      </c>
      <c r="G29" s="6">
        <v>7</v>
      </c>
      <c r="H29" s="5">
        <f t="array" ref="H29">IFERROR(INDEX($F$2:$F$181,SMALL(IF($G$2:$G$181=7,ROW($A$1:$A$163),""),ROW(A3))),"")</f>
        <v>1671875</v>
      </c>
      <c r="I29" s="5">
        <f>AVERAGE(H27:H29)</f>
        <v>1802083.3333333333</v>
      </c>
      <c r="J29" s="35">
        <f>STDEV(H27:H29)</f>
        <v>174226.34045497637</v>
      </c>
      <c r="K29" s="12"/>
      <c r="L29" s="37" t="str">
        <f t="array" ref="L29">IFERROR(INDEX($J$2:$J$81,SMALL(IF(ISNUMBER($J$2:$J$81),ROW($A$1:$A$80),""),ROW(A28))),"")</f>
        <v/>
      </c>
      <c r="M29" s="60"/>
      <c r="N29" s="13"/>
      <c r="O29" s="8"/>
      <c r="P29" s="8"/>
      <c r="Q29" s="8"/>
      <c r="R29" s="8"/>
      <c r="S29" s="8">
        <f>S23/$O$23</f>
        <v>0.37329286798179062</v>
      </c>
      <c r="T29" s="8"/>
      <c r="U29" s="8">
        <f t="shared" ref="U29:Y29" si="13">U23/$O$23</f>
        <v>6.7374810318664649</v>
      </c>
      <c r="V29" s="8"/>
      <c r="W29" s="8">
        <f t="shared" si="13"/>
        <v>0.69195751138088013</v>
      </c>
      <c r="X29" s="8"/>
      <c r="Y29" s="8">
        <f t="shared" si="13"/>
        <v>1.5690440060698028</v>
      </c>
    </row>
    <row r="30" spans="1:25" x14ac:dyDescent="0.3">
      <c r="A30" s="78"/>
      <c r="B30" s="82"/>
      <c r="C30" s="10" t="s">
        <v>2</v>
      </c>
      <c r="D30" s="10">
        <v>5</v>
      </c>
      <c r="E30" s="10">
        <v>4</v>
      </c>
      <c r="F30" s="65">
        <f t="shared" si="7"/>
        <v>878906.24999999988</v>
      </c>
      <c r="G30" s="6"/>
      <c r="H30" s="5" t="s">
        <v>18</v>
      </c>
      <c r="J30" s="36"/>
      <c r="K30" s="12"/>
      <c r="L30" s="37" t="str">
        <f t="array" ref="L30">IFERROR(INDEX($J$2:$J$81,SMALL(IF(ISNUMBER($J$2:$J$81),ROW($A$1:$A$80),""),ROW(A29))),"")</f>
        <v/>
      </c>
      <c r="M30" s="37"/>
      <c r="N30" s="13"/>
      <c r="O30" s="8"/>
      <c r="P30" s="8"/>
      <c r="Q30" s="8"/>
      <c r="R30" s="9"/>
      <c r="S30" s="9"/>
    </row>
    <row r="31" spans="1:25" ht="14.55" thickBot="1" x14ac:dyDescent="0.35">
      <c r="A31" s="78"/>
      <c r="B31" s="83"/>
      <c r="C31" s="11" t="s">
        <v>3</v>
      </c>
      <c r="D31" s="11" t="s">
        <v>56</v>
      </c>
      <c r="E31" s="11"/>
      <c r="F31" s="66" t="e">
        <f t="shared" si="8"/>
        <v>#DIV/0!</v>
      </c>
      <c r="G31" s="6"/>
      <c r="H31" s="5">
        <f t="array" ref="H31">IFERROR(INDEX($F$2:$F$181,SMALL(IF($G$2:$G$181=8,ROW($A$1:$A$163),""),ROW(A1))),"")</f>
        <v>26250</v>
      </c>
      <c r="J31" s="36"/>
      <c r="K31" s="12"/>
      <c r="L31" s="37" t="str">
        <f t="array" ref="L31">IFERROR(INDEX($J$2:$J$81,SMALL(IF(ISNUMBER($J$2:$J$81),ROW($A$1:$A$80),""),ROW(A30))),"")</f>
        <v/>
      </c>
      <c r="M31" s="37"/>
      <c r="N31" s="13"/>
      <c r="O31" s="8"/>
      <c r="P31" s="8"/>
      <c r="Q31" s="8"/>
      <c r="R31" s="9"/>
      <c r="S31" s="9"/>
      <c r="T31" s="8"/>
      <c r="U31" s="8"/>
    </row>
    <row r="32" spans="1:25" ht="14.55" thickTop="1" x14ac:dyDescent="0.3">
      <c r="A32" s="78"/>
      <c r="B32" s="84">
        <v>2</v>
      </c>
      <c r="C32" s="7" t="s">
        <v>4</v>
      </c>
      <c r="D32" s="54">
        <v>128</v>
      </c>
      <c r="E32" s="54"/>
      <c r="F32" s="64">
        <f t="shared" si="6"/>
        <v>2000000</v>
      </c>
      <c r="G32" s="6">
        <v>7</v>
      </c>
      <c r="H32" s="5">
        <f t="array" ref="H32">IFERROR(INDEX($F$2:$F$181,SMALL(IF($G$2:$G$181=8,ROW($A$1:$A$163),""),ROW(A2))),"")</f>
        <v>40000</v>
      </c>
      <c r="J32" s="36"/>
      <c r="K32" s="12"/>
      <c r="L32" s="37" t="str">
        <f t="array" ref="L32">IFERROR(INDEX($J$2:$J$81,SMALL(IF(ISNUMBER($J$2:$J$81),ROW($A$1:$A$80),""),ROW(A31))),"")</f>
        <v/>
      </c>
      <c r="M32" s="37"/>
      <c r="N32" s="13"/>
      <c r="O32" s="8"/>
      <c r="P32" s="8"/>
      <c r="Q32" s="8"/>
      <c r="R32" s="9"/>
      <c r="S32" s="9"/>
      <c r="T32" s="13"/>
      <c r="U32" s="13"/>
    </row>
    <row r="33" spans="1:19" x14ac:dyDescent="0.3">
      <c r="A33" s="78"/>
      <c r="B33" s="82"/>
      <c r="C33" s="10" t="s">
        <v>2</v>
      </c>
      <c r="D33" s="10">
        <v>11</v>
      </c>
      <c r="E33" s="10">
        <v>11</v>
      </c>
      <c r="F33" s="65">
        <f t="shared" si="7"/>
        <v>2148437.4999999995</v>
      </c>
      <c r="G33" s="6"/>
      <c r="H33" s="5">
        <f t="array" ref="H33">IFERROR(INDEX($F$2:$F$181,SMALL(IF($G$2:$G$181=8,ROW($A$1:$A$163),""),ROW(A3))),"")</f>
        <v>87500</v>
      </c>
      <c r="I33" s="5">
        <f>AVERAGE(H31:H33)</f>
        <v>51250</v>
      </c>
      <c r="J33" s="35">
        <f>STDEV(H31:H33)</f>
        <v>32137.400330456101</v>
      </c>
      <c r="K33" s="12"/>
      <c r="L33" s="37" t="str">
        <f t="array" ref="L33">IFERROR(INDEX($J$2:$J$81,SMALL(IF(ISNUMBER($J$2:$J$81),ROW($A$1:$A$80),""),ROW(A32))),"")</f>
        <v/>
      </c>
      <c r="M33" s="60"/>
      <c r="N33" s="13"/>
      <c r="O33" s="8"/>
      <c r="P33" s="8"/>
      <c r="Q33" s="8"/>
      <c r="R33" s="9"/>
      <c r="S33" s="9"/>
    </row>
    <row r="34" spans="1:19" ht="14.55" thickBot="1" x14ac:dyDescent="0.35">
      <c r="A34" s="78"/>
      <c r="B34" s="83"/>
      <c r="C34" s="11" t="s">
        <v>3</v>
      </c>
      <c r="D34" s="11" t="s">
        <v>56</v>
      </c>
      <c r="E34" s="11"/>
      <c r="F34" s="66" t="e">
        <f t="shared" si="8"/>
        <v>#DIV/0!</v>
      </c>
      <c r="G34" s="6"/>
      <c r="H34" s="5" t="s">
        <v>19</v>
      </c>
      <c r="J34" s="36"/>
      <c r="K34" s="12"/>
      <c r="L34" s="37" t="str">
        <f t="array" ref="L34">IFERROR(INDEX($J$2:$J$81,SMALL(IF(ISNUMBER($J$2:$J$81),ROW($A$1:$A$80),""),ROW(A33))),"")</f>
        <v/>
      </c>
      <c r="M34" s="60"/>
      <c r="N34" s="13"/>
      <c r="O34" s="8"/>
      <c r="P34" s="8"/>
      <c r="Q34" s="8"/>
      <c r="R34" s="9"/>
      <c r="S34" s="9"/>
    </row>
    <row r="35" spans="1:19" ht="14.55" thickTop="1" x14ac:dyDescent="0.3">
      <c r="A35" s="78"/>
      <c r="B35" s="84">
        <v>3</v>
      </c>
      <c r="C35" s="7" t="s">
        <v>4</v>
      </c>
      <c r="D35" s="54">
        <v>107</v>
      </c>
      <c r="E35" s="54"/>
      <c r="F35" s="64">
        <f t="shared" si="6"/>
        <v>1671875</v>
      </c>
      <c r="G35" s="6">
        <v>7</v>
      </c>
      <c r="H35" s="5">
        <f t="array" ref="H35">IFERROR(INDEX($F$2:$F$181,SMALL(IF($G$2:$G$181=9,ROW($A$1:$A$163),""),ROW(A1))),"")</f>
        <v>5281250</v>
      </c>
      <c r="J35" s="36"/>
      <c r="K35" s="12"/>
      <c r="L35" s="37" t="str">
        <f t="array" ref="L35">IFERROR(INDEX($J$2:$J$81,SMALL(IF(ISNUMBER($J$2:$J$81),ROW($A$1:$A$80),""),ROW(A34))),"")</f>
        <v/>
      </c>
      <c r="M35" s="60"/>
      <c r="N35" s="13"/>
      <c r="O35" s="8"/>
      <c r="P35" s="8"/>
      <c r="Q35" s="8"/>
      <c r="R35" s="9"/>
      <c r="S35" s="9"/>
    </row>
    <row r="36" spans="1:19" x14ac:dyDescent="0.3">
      <c r="A36" s="78"/>
      <c r="B36" s="82"/>
      <c r="C36" s="10" t="s">
        <v>2</v>
      </c>
      <c r="D36" s="10">
        <v>6</v>
      </c>
      <c r="E36" s="10">
        <v>6</v>
      </c>
      <c r="F36" s="65">
        <f t="shared" si="7"/>
        <v>1171874.9999999998</v>
      </c>
      <c r="G36" s="6"/>
      <c r="H36" s="5">
        <f t="array" ref="H36">IFERROR(INDEX($F$2:$F$181,SMALL(IF($G$2:$G$181=9,ROW($A$1:$A$163),""),ROW(A2))),"")</f>
        <v>7324218.7499999981</v>
      </c>
      <c r="J36" s="36"/>
      <c r="K36" s="12"/>
      <c r="L36" s="12"/>
      <c r="M36" s="62"/>
      <c r="N36" s="13"/>
      <c r="O36" s="8"/>
      <c r="P36" s="8"/>
      <c r="Q36" s="8"/>
      <c r="R36" s="9"/>
      <c r="S36" s="9"/>
    </row>
    <row r="37" spans="1:19" ht="14.55" thickBot="1" x14ac:dyDescent="0.35">
      <c r="A37" s="79"/>
      <c r="B37" s="85"/>
      <c r="C37" s="31" t="s">
        <v>3</v>
      </c>
      <c r="D37" s="31" t="s">
        <v>56</v>
      </c>
      <c r="E37" s="31"/>
      <c r="F37" s="66" t="e">
        <f t="shared" si="8"/>
        <v>#DIV/0!</v>
      </c>
      <c r="G37" s="6"/>
      <c r="H37" s="5">
        <f t="array" ref="H37">IFERROR(INDEX($F$2:$F$181,SMALL(IF($G$2:$G$181=9,ROW($A$1:$A$163),""),ROW(A3))),"")</f>
        <v>4390625</v>
      </c>
      <c r="I37" s="5">
        <f>AVERAGE(H35:H37)</f>
        <v>5665364.583333333</v>
      </c>
      <c r="J37" s="35">
        <f>STDEV(H35:H37)</f>
        <v>1504044.9070279642</v>
      </c>
      <c r="K37" s="12"/>
      <c r="L37" s="12"/>
      <c r="M37" s="62"/>
      <c r="N37" s="13"/>
      <c r="O37" s="8"/>
      <c r="P37" s="8"/>
      <c r="Q37" s="8"/>
      <c r="R37" s="9"/>
      <c r="S37" s="9"/>
    </row>
    <row r="38" spans="1:19" ht="14.55" thickTop="1" x14ac:dyDescent="0.3">
      <c r="A38" s="80" t="s">
        <v>61</v>
      </c>
      <c r="B38" s="72">
        <v>1</v>
      </c>
      <c r="C38" s="7" t="s">
        <v>4</v>
      </c>
      <c r="D38" s="26">
        <v>338</v>
      </c>
      <c r="E38" s="26"/>
      <c r="F38" s="64">
        <f t="shared" si="6"/>
        <v>5281250</v>
      </c>
      <c r="G38" s="6">
        <v>9</v>
      </c>
      <c r="H38" s="5" t="s">
        <v>20</v>
      </c>
      <c r="J38" s="36"/>
      <c r="K38" s="12"/>
      <c r="L38" s="12"/>
      <c r="M38" s="62"/>
      <c r="N38" s="13"/>
      <c r="O38" s="8"/>
      <c r="P38" s="13"/>
      <c r="Q38" s="13"/>
      <c r="R38" s="9"/>
      <c r="S38" s="9"/>
    </row>
    <row r="39" spans="1:19" x14ac:dyDescent="0.3">
      <c r="A39" s="78"/>
      <c r="B39" s="73"/>
      <c r="C39" s="10" t="s">
        <v>2</v>
      </c>
      <c r="D39" s="10">
        <v>27</v>
      </c>
      <c r="E39" s="10">
        <v>14</v>
      </c>
      <c r="F39" s="65">
        <f t="shared" si="7"/>
        <v>4003906.2499999991</v>
      </c>
      <c r="G39" s="6"/>
      <c r="H39" s="5">
        <f t="array" ref="H39">IFERROR(INDEX($F$2:$F$181,SMALL(IF($G$2:$G$181=10,ROW($A$1:$A$163),""),ROW(A1))),"")</f>
        <v>793750</v>
      </c>
      <c r="J39" s="36"/>
      <c r="K39" s="12"/>
      <c r="L39" s="12"/>
      <c r="M39" s="62"/>
      <c r="N39" s="13"/>
      <c r="O39" s="8"/>
      <c r="P39" s="13"/>
      <c r="Q39" s="13"/>
      <c r="R39" s="9"/>
      <c r="S39" s="9"/>
    </row>
    <row r="40" spans="1:19" ht="14.55" thickBot="1" x14ac:dyDescent="0.35">
      <c r="A40" s="78"/>
      <c r="B40" s="74"/>
      <c r="C40" s="31" t="s">
        <v>3</v>
      </c>
      <c r="D40" s="11" t="s">
        <v>56</v>
      </c>
      <c r="E40" s="11"/>
      <c r="F40" s="66" t="e">
        <f t="shared" si="8"/>
        <v>#DIV/0!</v>
      </c>
      <c r="G40" s="6"/>
      <c r="H40" s="5">
        <f t="array" ref="H40">IFERROR(INDEX($F$2:$F$181,SMALL(IF($G$2:$G$181=10,ROW($A$1:$A$163),""),ROW(A2))),"")</f>
        <v>1281250</v>
      </c>
      <c r="J40" s="36"/>
      <c r="K40" s="12"/>
      <c r="L40" s="12"/>
      <c r="M40" s="62"/>
      <c r="N40" s="13"/>
      <c r="O40" s="8"/>
      <c r="P40" s="13"/>
      <c r="Q40" s="13"/>
      <c r="R40" s="9"/>
      <c r="S40" s="9"/>
    </row>
    <row r="41" spans="1:19" ht="14.55" thickTop="1" x14ac:dyDescent="0.3">
      <c r="A41" s="78"/>
      <c r="B41" s="75">
        <v>2</v>
      </c>
      <c r="C41" s="7" t="s">
        <v>4</v>
      </c>
      <c r="D41" s="7">
        <v>293</v>
      </c>
      <c r="E41" s="7"/>
      <c r="F41" s="64">
        <f t="shared" si="6"/>
        <v>4578125</v>
      </c>
      <c r="G41" s="6"/>
      <c r="H41" s="5">
        <f t="array" ref="H41">IFERROR(INDEX($F$2:$F$181,SMALL(IF($G$2:$G$181=10,ROW($A$1:$A$163),""),ROW(A3))),"")</f>
        <v>700000</v>
      </c>
      <c r="I41" s="5">
        <f>AVERAGE(H39:H41)</f>
        <v>925000</v>
      </c>
      <c r="J41" s="35">
        <f>STDEV(H39:H41)</f>
        <v>312062.19332049822</v>
      </c>
      <c r="K41" s="12"/>
      <c r="L41" s="12"/>
      <c r="M41" s="62"/>
      <c r="N41" s="13"/>
      <c r="O41" s="8"/>
      <c r="P41" s="13"/>
      <c r="Q41" s="13"/>
      <c r="R41" s="9"/>
      <c r="S41" s="9"/>
    </row>
    <row r="42" spans="1:19" x14ac:dyDescent="0.3">
      <c r="A42" s="78"/>
      <c r="B42" s="73"/>
      <c r="C42" s="10" t="s">
        <v>2</v>
      </c>
      <c r="D42" s="10">
        <v>35</v>
      </c>
      <c r="E42" s="10">
        <v>40</v>
      </c>
      <c r="F42" s="65">
        <f t="shared" si="7"/>
        <v>7324218.7499999981</v>
      </c>
      <c r="G42" s="6">
        <v>9</v>
      </c>
      <c r="H42" s="5" t="s">
        <v>21</v>
      </c>
      <c r="J42" s="36"/>
      <c r="K42" s="12"/>
      <c r="L42" s="12"/>
      <c r="M42" s="62"/>
      <c r="N42" s="13"/>
      <c r="O42" s="8"/>
      <c r="P42" s="13"/>
      <c r="Q42" s="13"/>
      <c r="R42" s="9"/>
      <c r="S42" s="9"/>
    </row>
    <row r="43" spans="1:19" ht="14.55" thickBot="1" x14ac:dyDescent="0.35">
      <c r="A43" s="78"/>
      <c r="B43" s="74"/>
      <c r="C43" s="31" t="s">
        <v>3</v>
      </c>
      <c r="D43" s="11" t="s">
        <v>56</v>
      </c>
      <c r="E43" s="11"/>
      <c r="F43" s="66" t="e">
        <f t="shared" si="8"/>
        <v>#DIV/0!</v>
      </c>
      <c r="G43" s="6"/>
      <c r="H43" s="5">
        <f t="array" ref="H43">IFERROR(INDEX($F$2:$F$181,SMALL(IF($G$2:$G$181=11,ROW($A$1:$A$163),""),ROW(A1))),"")</f>
        <v>1256250</v>
      </c>
      <c r="J43" s="36"/>
      <c r="K43" s="12"/>
      <c r="L43" s="12"/>
      <c r="M43" s="62"/>
      <c r="N43" s="13"/>
      <c r="O43" s="8"/>
      <c r="P43" s="13"/>
      <c r="Q43" s="13"/>
      <c r="R43" s="9"/>
      <c r="S43" s="9"/>
    </row>
    <row r="44" spans="1:19" ht="14.55" thickTop="1" x14ac:dyDescent="0.3">
      <c r="A44" s="78"/>
      <c r="B44" s="75">
        <v>3</v>
      </c>
      <c r="C44" s="7" t="s">
        <v>4</v>
      </c>
      <c r="D44" s="7">
        <v>281</v>
      </c>
      <c r="E44" s="7"/>
      <c r="F44" s="64">
        <f t="shared" si="6"/>
        <v>4390625</v>
      </c>
      <c r="G44" s="6">
        <v>9</v>
      </c>
      <c r="H44" s="5">
        <f t="array" ref="H44">IFERROR(INDEX($F$2:$F$181,SMALL(IF($G$2:$G$181=11,ROW($A$1:$A$163),""),ROW(A2))),"")</f>
        <v>1056250</v>
      </c>
      <c r="J44" s="36"/>
      <c r="K44" s="12"/>
      <c r="L44" s="12"/>
      <c r="M44" s="62"/>
      <c r="N44" s="13"/>
      <c r="O44" s="8"/>
      <c r="P44" s="13"/>
      <c r="Q44" s="13"/>
      <c r="R44" s="9"/>
      <c r="S44" s="9"/>
    </row>
    <row r="45" spans="1:19" x14ac:dyDescent="0.3">
      <c r="A45" s="78"/>
      <c r="B45" s="73"/>
      <c r="C45" s="10" t="s">
        <v>2</v>
      </c>
      <c r="D45" s="10">
        <v>19</v>
      </c>
      <c r="E45" s="10">
        <v>24</v>
      </c>
      <c r="F45" s="65">
        <f t="shared" si="7"/>
        <v>4199218.7499999991</v>
      </c>
      <c r="G45" s="6"/>
      <c r="H45" s="5">
        <f t="array" ref="H45">IFERROR(INDEX($F$2:$F$181,SMALL(IF($G$2:$G$181=11,ROW($A$1:$A$163),""),ROW(A3))),"")</f>
        <v>1087500</v>
      </c>
      <c r="I45" s="5">
        <f>AVERAGE(H43:H45)</f>
        <v>1133333.3333333333</v>
      </c>
      <c r="J45" s="35">
        <f>STDEV(H43:H45)</f>
        <v>107589.59444729464</v>
      </c>
      <c r="K45" s="12"/>
      <c r="L45" s="12"/>
      <c r="M45" s="62"/>
      <c r="N45" s="13"/>
      <c r="O45" s="8"/>
      <c r="P45" s="13"/>
      <c r="Q45" s="13"/>
      <c r="R45" s="9"/>
      <c r="S45" s="9"/>
    </row>
    <row r="46" spans="1:19" ht="14.55" thickBot="1" x14ac:dyDescent="0.35">
      <c r="A46" s="79"/>
      <c r="B46" s="76"/>
      <c r="C46" s="31" t="s">
        <v>3</v>
      </c>
      <c r="D46" s="31"/>
      <c r="E46" s="31"/>
      <c r="F46" s="66" t="e">
        <f t="shared" si="8"/>
        <v>#DIV/0!</v>
      </c>
      <c r="G46" s="6"/>
      <c r="H46" s="5" t="s">
        <v>22</v>
      </c>
      <c r="J46" s="36"/>
      <c r="K46" s="12"/>
      <c r="L46" s="12"/>
      <c r="M46" s="62"/>
      <c r="N46" s="13"/>
      <c r="O46" s="8"/>
      <c r="P46" s="13"/>
      <c r="Q46" s="13"/>
      <c r="R46" s="9"/>
      <c r="S46" s="9"/>
    </row>
    <row r="47" spans="1:19" ht="14.55" thickTop="1" x14ac:dyDescent="0.3">
      <c r="A47" s="80" t="s">
        <v>62</v>
      </c>
      <c r="B47" s="72">
        <v>1</v>
      </c>
      <c r="C47" s="7" t="s">
        <v>4</v>
      </c>
      <c r="D47" s="26">
        <v>100</v>
      </c>
      <c r="E47" s="26">
        <v>101</v>
      </c>
      <c r="F47" s="64">
        <f t="shared" ref="F47" si="14">(AVERAGEIF(D47:E47,"&gt;0",D47:E47))*10^3*100/8</f>
        <v>1256250</v>
      </c>
      <c r="G47" s="6">
        <v>11</v>
      </c>
      <c r="H47" s="5">
        <f t="array" ref="H47">IFERROR(INDEX($F$2:$F$181,SMALL(IF($G$2:$G$181=12,ROW($A$1:$A$163),""),ROW(A1))),"")</f>
        <v>176250</v>
      </c>
      <c r="J47" s="36"/>
      <c r="K47" s="12"/>
      <c r="L47" s="12"/>
      <c r="M47" s="62"/>
      <c r="N47" s="13"/>
      <c r="O47" s="8"/>
      <c r="P47" s="13"/>
      <c r="Q47" s="13"/>
      <c r="R47" s="9"/>
      <c r="S47" s="9"/>
    </row>
    <row r="48" spans="1:19" x14ac:dyDescent="0.3">
      <c r="A48" s="78"/>
      <c r="B48" s="73"/>
      <c r="C48" s="10" t="s">
        <v>2</v>
      </c>
      <c r="D48" s="10">
        <v>10</v>
      </c>
      <c r="E48" s="10">
        <v>10</v>
      </c>
      <c r="F48" s="65">
        <f t="shared" ref="F48" si="15">(AVERAGEIF(D48:E48,"&gt;0",D48:E48))*10^4*100/8</f>
        <v>1250000</v>
      </c>
      <c r="G48" s="6"/>
      <c r="H48" s="5">
        <f t="array" ref="H48">IFERROR(INDEX($F$2:$F$181,SMALL(IF($G$2:$G$181=12,ROW($A$1:$A$163),""),ROW(A2))),"")</f>
        <v>215000</v>
      </c>
      <c r="J48" s="36"/>
      <c r="K48" s="12"/>
      <c r="L48" s="12"/>
      <c r="M48" s="62"/>
      <c r="N48" s="13"/>
      <c r="O48" s="8"/>
      <c r="P48" s="13"/>
      <c r="Q48" s="13"/>
      <c r="R48" s="9"/>
      <c r="S48" s="9"/>
    </row>
    <row r="49" spans="1:21" ht="14.55" thickBot="1" x14ac:dyDescent="0.35">
      <c r="A49" s="78"/>
      <c r="B49" s="74"/>
      <c r="C49" s="31" t="s">
        <v>3</v>
      </c>
      <c r="D49" s="11"/>
      <c r="E49" s="11"/>
      <c r="F49" s="66" t="e">
        <f t="shared" ref="F49" si="16">(AVERAGEIF(D49:E49,"&gt;0",D49:E49))*10^5*100/8</f>
        <v>#DIV/0!</v>
      </c>
      <c r="G49" s="6"/>
      <c r="H49" s="5">
        <f t="array" ref="H49">IFERROR(INDEX($F$2:$F$181,SMALL(IF($G$2:$G$181=12,ROW($A$1:$A$163),""),ROW(A3))),"")</f>
        <v>255000</v>
      </c>
      <c r="I49" s="5">
        <f>AVERAGE(H47:H49)</f>
        <v>215416.66666666666</v>
      </c>
      <c r="J49" s="35">
        <f>STDEV(H47:H49)</f>
        <v>39376.653404439137</v>
      </c>
      <c r="K49" s="12"/>
      <c r="L49" s="12"/>
      <c r="M49" s="62"/>
      <c r="N49" s="13"/>
      <c r="O49" s="8"/>
      <c r="P49" s="13"/>
      <c r="Q49" s="13"/>
      <c r="R49" s="9"/>
      <c r="S49" s="9"/>
    </row>
    <row r="50" spans="1:21" ht="14.55" thickTop="1" x14ac:dyDescent="0.3">
      <c r="A50" s="78"/>
      <c r="B50" s="75">
        <v>2</v>
      </c>
      <c r="C50" s="7" t="s">
        <v>4</v>
      </c>
      <c r="D50" s="7">
        <v>82</v>
      </c>
      <c r="E50" s="7">
        <v>87</v>
      </c>
      <c r="F50" s="64">
        <f t="shared" ref="F50" si="17">(AVERAGEIF(D50:E50,"&gt;0",D50:E50))*10^3*100/8</f>
        <v>1056250</v>
      </c>
      <c r="G50" s="6">
        <v>11</v>
      </c>
      <c r="H50" s="5" t="s">
        <v>23</v>
      </c>
      <c r="J50" s="36"/>
      <c r="K50" s="12"/>
      <c r="L50" s="12"/>
      <c r="M50" s="62"/>
      <c r="N50" s="13"/>
      <c r="O50" s="8"/>
      <c r="P50" s="13"/>
      <c r="Q50" s="13"/>
      <c r="R50" s="9"/>
      <c r="S50" s="9"/>
    </row>
    <row r="51" spans="1:21" x14ac:dyDescent="0.3">
      <c r="A51" s="78"/>
      <c r="B51" s="73"/>
      <c r="C51" s="10" t="s">
        <v>2</v>
      </c>
      <c r="D51" s="10">
        <v>7</v>
      </c>
      <c r="E51" s="10">
        <v>7</v>
      </c>
      <c r="F51" s="65">
        <f t="shared" ref="F51" si="18">(AVERAGEIF(D51:E51,"&gt;0",D51:E51))*10^4*100/8</f>
        <v>875000</v>
      </c>
      <c r="G51" s="6"/>
      <c r="H51" s="5" t="str">
        <f t="array" ref="H51">IFERROR(INDEX($F$2:$F$181,SMALL(IF($G$2:$G$181=13,ROW($A$1:$A$163),""),ROW(A1))),"")</f>
        <v/>
      </c>
      <c r="J51" s="36"/>
      <c r="K51" s="12"/>
      <c r="L51" s="12"/>
      <c r="M51" s="62"/>
      <c r="N51" s="13"/>
      <c r="O51" s="8"/>
      <c r="P51" s="13"/>
      <c r="Q51" s="13"/>
      <c r="R51" s="9"/>
      <c r="S51" s="9"/>
    </row>
    <row r="52" spans="1:21" ht="14.55" thickBot="1" x14ac:dyDescent="0.35">
      <c r="A52" s="78"/>
      <c r="B52" s="74"/>
      <c r="C52" s="31" t="s">
        <v>3</v>
      </c>
      <c r="D52" s="11"/>
      <c r="E52" s="11"/>
      <c r="F52" s="66" t="e">
        <f t="shared" ref="F52" si="19">(AVERAGEIF(D52:E52,"&gt;0",D52:E52))*10^5*100/8</f>
        <v>#DIV/0!</v>
      </c>
      <c r="G52" s="6"/>
      <c r="H52" s="5" t="str">
        <f t="array" ref="H52">IFERROR(INDEX($F$2:$F$181,SMALL(IF($G$2:$G$181=13,ROW($A$1:$A$163),""),ROW(A2))),"")</f>
        <v/>
      </c>
      <c r="J52" s="36"/>
      <c r="K52" s="12"/>
      <c r="L52" s="12"/>
      <c r="M52" s="62"/>
      <c r="N52" s="13"/>
      <c r="O52" s="8"/>
      <c r="P52" s="13"/>
      <c r="Q52" s="13"/>
      <c r="R52" s="9"/>
      <c r="S52" s="9"/>
    </row>
    <row r="53" spans="1:21" ht="14.55" thickTop="1" x14ac:dyDescent="0.3">
      <c r="A53" s="78"/>
      <c r="B53" s="75">
        <v>3</v>
      </c>
      <c r="C53" s="7" t="s">
        <v>4</v>
      </c>
      <c r="D53" s="7">
        <v>86</v>
      </c>
      <c r="E53" s="7">
        <v>88</v>
      </c>
      <c r="F53" s="64">
        <f t="shared" ref="F53" si="20">(AVERAGEIF(D53:E53,"&gt;0",D53:E53))*10^3*100/8</f>
        <v>1087500</v>
      </c>
      <c r="G53" s="6">
        <v>11</v>
      </c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5" t="e">
        <f>STDEV(H51:H53)</f>
        <v>#DIV/0!</v>
      </c>
      <c r="K53" s="12"/>
      <c r="L53" s="12"/>
      <c r="M53" s="62"/>
      <c r="N53" s="13"/>
      <c r="O53" s="8"/>
      <c r="P53" s="13"/>
      <c r="Q53" s="13"/>
      <c r="R53" s="9"/>
      <c r="S53" s="9"/>
    </row>
    <row r="54" spans="1:21" x14ac:dyDescent="0.3">
      <c r="A54" s="78"/>
      <c r="B54" s="73"/>
      <c r="C54" s="10" t="s">
        <v>2</v>
      </c>
      <c r="D54" s="10">
        <v>6</v>
      </c>
      <c r="E54" s="10">
        <v>6</v>
      </c>
      <c r="F54" s="65">
        <f t="shared" ref="F54" si="21">(AVERAGEIF(D54:E54,"&gt;0",D54:E54))*10^4*100/8</f>
        <v>750000</v>
      </c>
      <c r="G54" s="6"/>
      <c r="H54" s="5" t="s">
        <v>24</v>
      </c>
      <c r="J54" s="36"/>
      <c r="K54" s="12"/>
      <c r="L54" s="12"/>
      <c r="M54" s="62"/>
      <c r="N54" s="13"/>
      <c r="O54" s="8"/>
      <c r="P54" s="13"/>
      <c r="Q54" s="13"/>
      <c r="R54" s="9"/>
      <c r="S54" s="9"/>
    </row>
    <row r="55" spans="1:21" ht="14.55" thickBot="1" x14ac:dyDescent="0.35">
      <c r="A55" s="79"/>
      <c r="B55" s="76"/>
      <c r="C55" s="31" t="s">
        <v>3</v>
      </c>
      <c r="D55" s="31"/>
      <c r="E55" s="31"/>
      <c r="F55" s="66" t="e">
        <f t="shared" ref="F55" si="22">(AVERAGEIF(D55:E55,"&gt;0",D55:E55))*10^5*100/8</f>
        <v>#DIV/0!</v>
      </c>
      <c r="G55" s="6"/>
      <c r="H55" s="5" t="str">
        <f t="array" ref="H55">IFERROR(INDEX($F$2:$F$181,SMALL(IF($G$2:$G$181=14,ROW($A$1:$A$163),""),ROW(A1))),"")</f>
        <v/>
      </c>
      <c r="J55" s="36"/>
      <c r="K55" s="12"/>
      <c r="L55" s="12"/>
      <c r="M55" s="62"/>
      <c r="N55" s="13"/>
      <c r="O55" s="8"/>
      <c r="P55" s="13"/>
      <c r="Q55" s="13"/>
      <c r="R55" s="9"/>
      <c r="S55" s="9"/>
    </row>
    <row r="56" spans="1:21" ht="14.55" thickTop="1" x14ac:dyDescent="0.3">
      <c r="A56" s="77" t="s">
        <v>55</v>
      </c>
      <c r="B56" s="72">
        <v>1</v>
      </c>
      <c r="C56" s="26" t="s">
        <v>53</v>
      </c>
      <c r="D56" s="26">
        <v>110</v>
      </c>
      <c r="E56" s="26">
        <v>107</v>
      </c>
      <c r="F56" s="30">
        <f t="shared" ref="F56" si="23">(AVERAGEIF(D56:E56,"&gt;0",D56:E56))*10^2*100/8</f>
        <v>135625</v>
      </c>
      <c r="G56" s="6">
        <v>2</v>
      </c>
      <c r="H56" s="5" t="str">
        <f t="array" ref="H56">IFERROR(INDEX($F$2:$F$181,SMALL(IF($G$2:$G$181=14,ROW($A$1:$A$163),""),ROW(A2))),"")</f>
        <v/>
      </c>
      <c r="J56" s="36"/>
      <c r="K56" s="12"/>
      <c r="L56" s="12"/>
      <c r="M56" s="62"/>
      <c r="N56" s="13"/>
      <c r="O56" s="8"/>
      <c r="P56" s="13"/>
      <c r="Q56" s="13"/>
      <c r="R56" s="9"/>
      <c r="S56" s="9"/>
    </row>
    <row r="57" spans="1:21" x14ac:dyDescent="0.3">
      <c r="A57" s="78"/>
      <c r="B57" s="73"/>
      <c r="C57" s="10" t="s">
        <v>4</v>
      </c>
      <c r="D57" s="10">
        <v>9</v>
      </c>
      <c r="E57" s="10">
        <v>9</v>
      </c>
      <c r="F57" s="28">
        <f t="shared" ref="F57" si="24">(AVERAGEIF(D57:E57,"&gt;0",D57:E57))*10^3*100/8</f>
        <v>112500</v>
      </c>
      <c r="G57" s="6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5" t="e">
        <f>STDEV(H55:H57)</f>
        <v>#DIV/0!</v>
      </c>
      <c r="K57" s="12"/>
      <c r="L57" s="12"/>
      <c r="M57" s="62"/>
      <c r="N57" s="13"/>
      <c r="O57" s="8"/>
      <c r="P57" s="13"/>
      <c r="Q57" s="13"/>
      <c r="R57" s="9"/>
      <c r="S57" s="9"/>
    </row>
    <row r="58" spans="1:21" ht="14.55" thickBot="1" x14ac:dyDescent="0.35">
      <c r="A58" s="78"/>
      <c r="B58" s="74"/>
      <c r="C58" s="11" t="s">
        <v>2</v>
      </c>
      <c r="D58" s="11"/>
      <c r="E58" s="11"/>
      <c r="F58" s="32" t="e">
        <f t="shared" ref="F58" si="25">(AVERAGEIF(D58:E58,"&gt;0",D58:E58))*10^4*100/8</f>
        <v>#DIV/0!</v>
      </c>
      <c r="G58" s="6"/>
      <c r="H58" s="5" t="s">
        <v>25</v>
      </c>
      <c r="J58" s="36"/>
      <c r="K58" s="12"/>
      <c r="L58" s="12"/>
      <c r="M58" s="62"/>
      <c r="N58" s="13"/>
      <c r="O58" s="8"/>
      <c r="P58" s="13"/>
      <c r="Q58" s="13"/>
      <c r="R58" s="9"/>
      <c r="S58" s="9"/>
    </row>
    <row r="59" spans="1:21" ht="14.55" thickTop="1" x14ac:dyDescent="0.3">
      <c r="A59" s="78"/>
      <c r="B59" s="75">
        <v>2</v>
      </c>
      <c r="C59" s="26" t="s">
        <v>53</v>
      </c>
      <c r="D59" s="7">
        <v>103</v>
      </c>
      <c r="E59" s="7">
        <v>139</v>
      </c>
      <c r="F59" s="30">
        <f t="shared" ref="F59" si="26">(AVERAGEIF(D59:E59,"&gt;0",D59:E59))*10^2*100/8</f>
        <v>151250</v>
      </c>
      <c r="G59" s="6">
        <v>2</v>
      </c>
      <c r="H59" s="5" t="str">
        <f t="array" ref="H59">IFERROR(INDEX($F$2:$F$181,SMALL(IF($G$2:$G$181=15,ROW($A$1:$A$163),""),ROW(A1))),"")</f>
        <v/>
      </c>
      <c r="J59" s="36"/>
      <c r="K59" s="12"/>
      <c r="L59" s="12"/>
      <c r="M59" s="62"/>
      <c r="N59" s="13"/>
      <c r="O59" s="8"/>
      <c r="P59" s="13"/>
      <c r="Q59" s="13"/>
      <c r="R59" s="9"/>
      <c r="S59" s="9"/>
    </row>
    <row r="60" spans="1:21" ht="14.55" thickBot="1" x14ac:dyDescent="0.35">
      <c r="A60" s="78"/>
      <c r="B60" s="73"/>
      <c r="C60" s="10" t="s">
        <v>4</v>
      </c>
      <c r="D60" s="10">
        <v>14</v>
      </c>
      <c r="E60" s="10">
        <v>11</v>
      </c>
      <c r="F60" s="28">
        <f t="shared" ref="F60" si="27">(AVERAGEIF(D60:E60,"&gt;0",D60:E60))*10^3*100/8</f>
        <v>156250</v>
      </c>
      <c r="G60" s="6"/>
      <c r="H60" s="5" t="str">
        <f t="array" ref="H60">IFERROR(INDEX($F$2:$F$181,SMALL(IF($G$2:$G$181=15,ROW($A$1:$A$163),""),ROW(A2))),"")</f>
        <v/>
      </c>
      <c r="J60" s="36"/>
      <c r="K60" s="12"/>
      <c r="L60" s="12"/>
      <c r="M60" s="62"/>
      <c r="N60" s="38"/>
      <c r="O60" s="8"/>
      <c r="P60" s="38"/>
      <c r="Q60" s="38"/>
      <c r="R60" s="39"/>
      <c r="S60" s="39"/>
      <c r="T60" s="40"/>
      <c r="U60" s="40"/>
    </row>
    <row r="61" spans="1:21" ht="14.55" thickBot="1" x14ac:dyDescent="0.35">
      <c r="A61" s="78"/>
      <c r="B61" s="74"/>
      <c r="C61" s="11" t="s">
        <v>2</v>
      </c>
      <c r="D61" s="11"/>
      <c r="E61" s="11"/>
      <c r="F61" s="32" t="e">
        <f t="shared" ref="F61" si="28">(AVERAGEIF(D61:E61,"&gt;0",D61:E61))*10^4*100/8</f>
        <v>#DIV/0!</v>
      </c>
      <c r="G61" s="6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5" t="e">
        <f>STDEV(H59:H61)</f>
        <v>#DIV/0!</v>
      </c>
      <c r="K61" s="12"/>
      <c r="L61" s="12"/>
      <c r="M61" s="62"/>
      <c r="N61" s="13"/>
      <c r="O61" s="8"/>
      <c r="P61" s="13"/>
      <c r="Q61" s="13"/>
      <c r="R61" s="9"/>
      <c r="S61" s="9"/>
    </row>
    <row r="62" spans="1:21" ht="14.55" thickTop="1" x14ac:dyDescent="0.3">
      <c r="A62" s="78"/>
      <c r="B62" s="75">
        <v>3</v>
      </c>
      <c r="C62" s="26" t="s">
        <v>53</v>
      </c>
      <c r="D62" s="7">
        <v>101</v>
      </c>
      <c r="E62" s="7">
        <v>99</v>
      </c>
      <c r="F62" s="30">
        <f t="shared" ref="F62" si="29">(AVERAGEIF(D62:E62,"&gt;0",D62:E62))*10^2*100/8</f>
        <v>125000</v>
      </c>
      <c r="G62" s="6">
        <v>2</v>
      </c>
      <c r="H62" s="5" t="s">
        <v>26</v>
      </c>
      <c r="J62" s="36"/>
      <c r="K62" s="12"/>
      <c r="L62" s="12"/>
      <c r="M62" s="62"/>
      <c r="N62" s="13"/>
      <c r="O62" s="8"/>
      <c r="P62" s="13"/>
      <c r="Q62" s="13"/>
      <c r="R62" s="9"/>
      <c r="S62" s="9"/>
    </row>
    <row r="63" spans="1:21" x14ac:dyDescent="0.3">
      <c r="A63" s="78"/>
      <c r="B63" s="73"/>
      <c r="C63" s="10" t="s">
        <v>4</v>
      </c>
      <c r="D63" s="10">
        <v>12</v>
      </c>
      <c r="E63" s="10">
        <v>11</v>
      </c>
      <c r="F63" s="28">
        <f t="shared" ref="F63" si="30">(AVERAGEIF(D63:E63,"&gt;0",D63:E63))*10^3*100/8</f>
        <v>143750</v>
      </c>
      <c r="G63" s="6"/>
      <c r="H63" s="5" t="str">
        <f t="array" ref="H63">IFERROR(INDEX($F$2:$F$181,SMALL(IF($G$2:$G$181=16,ROW($A$1:$A$163),""),ROW(A1))),"")</f>
        <v/>
      </c>
      <c r="J63" s="36"/>
      <c r="K63" s="12"/>
      <c r="L63" s="12"/>
      <c r="M63" s="62"/>
      <c r="N63" s="13"/>
      <c r="O63" s="8"/>
      <c r="P63" s="13"/>
      <c r="Q63" s="13"/>
      <c r="R63" s="9"/>
      <c r="S63" s="9"/>
    </row>
    <row r="64" spans="1:21" ht="14.55" thickBot="1" x14ac:dyDescent="0.35">
      <c r="A64" s="79"/>
      <c r="B64" s="76"/>
      <c r="C64" s="11" t="s">
        <v>2</v>
      </c>
      <c r="D64" s="31"/>
      <c r="E64" s="31"/>
      <c r="F64" s="32" t="e">
        <f t="shared" ref="F64" si="31">(AVERAGEIF(D64:E64,"&gt;0",D64:E64))*10^4*100/8</f>
        <v>#DIV/0!</v>
      </c>
      <c r="G64" s="6"/>
      <c r="H64" s="5" t="str">
        <f t="array" ref="H64">IFERROR(INDEX($F$2:$F$181,SMALL(IF($G$2:$G$181=16,ROW($A$1:$A$163),""),ROW(A2))),"")</f>
        <v/>
      </c>
      <c r="J64" s="36"/>
      <c r="K64" s="12"/>
      <c r="L64" s="12"/>
      <c r="M64" s="62"/>
      <c r="N64" s="13"/>
      <c r="O64" s="8"/>
      <c r="P64" s="13"/>
      <c r="Q64" s="13"/>
      <c r="R64" s="9"/>
      <c r="S64" s="9"/>
    </row>
    <row r="65" spans="1:19" ht="14.55" thickTop="1" x14ac:dyDescent="0.3">
      <c r="A65" s="77" t="s">
        <v>65</v>
      </c>
      <c r="B65" s="72">
        <v>1</v>
      </c>
      <c r="C65" s="26" t="s">
        <v>53</v>
      </c>
      <c r="D65" s="26">
        <v>114</v>
      </c>
      <c r="E65" s="26">
        <v>113</v>
      </c>
      <c r="F65" s="30">
        <f t="shared" ref="F65" si="32">(AVERAGEIF(D65:E65,"&gt;0",D65:E65))*10^2*100/8</f>
        <v>141875</v>
      </c>
      <c r="G65" s="6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5" t="e">
        <f>STDEV(H63:H65)</f>
        <v>#DIV/0!</v>
      </c>
      <c r="K65" s="12"/>
      <c r="L65" s="12"/>
      <c r="M65" s="62"/>
      <c r="N65" s="13"/>
      <c r="O65" s="8"/>
      <c r="P65" s="13"/>
      <c r="Q65" s="13"/>
      <c r="R65" s="9"/>
      <c r="S65" s="9"/>
    </row>
    <row r="66" spans="1:19" x14ac:dyDescent="0.3">
      <c r="A66" s="78"/>
      <c r="B66" s="73"/>
      <c r="C66" s="10" t="s">
        <v>4</v>
      </c>
      <c r="D66" s="10">
        <v>9</v>
      </c>
      <c r="E66" s="10">
        <v>9</v>
      </c>
      <c r="F66" s="28">
        <f t="shared" ref="F66" si="33">(AVERAGEIF(D66:E66,"&gt;0",D66:E66))*10^3*100/8</f>
        <v>112500</v>
      </c>
      <c r="G66" s="6">
        <v>4</v>
      </c>
      <c r="H66" s="5" t="s">
        <v>27</v>
      </c>
      <c r="J66" s="36"/>
      <c r="K66" s="12"/>
      <c r="L66" s="12"/>
      <c r="M66" s="62"/>
      <c r="N66" s="13"/>
      <c r="O66" s="8"/>
      <c r="P66" s="13"/>
      <c r="Q66" s="13"/>
      <c r="R66" s="9"/>
      <c r="S66" s="9"/>
    </row>
    <row r="67" spans="1:19" ht="14.55" thickBot="1" x14ac:dyDescent="0.35">
      <c r="A67" s="78"/>
      <c r="B67" s="74"/>
      <c r="C67" s="11" t="s">
        <v>2</v>
      </c>
      <c r="D67" s="11"/>
      <c r="E67" s="11"/>
      <c r="F67" s="32" t="e">
        <f t="shared" ref="F67" si="34">(AVERAGEIF(D67:E67,"&gt;0",D67:E67))*10^4*100/8</f>
        <v>#DIV/0!</v>
      </c>
      <c r="G67" s="6"/>
      <c r="H67" s="5" t="str">
        <f t="array" ref="H67">IFERROR(INDEX($F$2:$F$181,SMALL(IF($G$2:$G$181=17,ROW($A$1:$A$163),""),ROW(A1))),"")</f>
        <v/>
      </c>
      <c r="J67" s="36"/>
      <c r="K67" s="12"/>
      <c r="L67" s="12"/>
      <c r="M67" s="62"/>
      <c r="N67" s="13"/>
      <c r="O67" s="8"/>
      <c r="P67" s="13"/>
      <c r="Q67" s="13"/>
      <c r="R67" s="9"/>
      <c r="S67" s="9"/>
    </row>
    <row r="68" spans="1:19" ht="14.55" thickTop="1" x14ac:dyDescent="0.3">
      <c r="A68" s="78"/>
      <c r="B68" s="75">
        <v>2</v>
      </c>
      <c r="C68" s="26" t="s">
        <v>53</v>
      </c>
      <c r="D68" s="7">
        <v>73</v>
      </c>
      <c r="E68" s="7">
        <v>63</v>
      </c>
      <c r="F68" s="30">
        <f t="shared" ref="F68" si="35">(AVERAGEIF(D68:E68,"&gt;0",D68:E68))*10^2*100/8</f>
        <v>85000</v>
      </c>
      <c r="G68" s="6">
        <v>4</v>
      </c>
      <c r="H68" s="5" t="str">
        <f t="array" ref="H68">IFERROR(INDEX($F$2:$F$181,SMALL(IF($G$2:$G$181=17,ROW($A$1:$A$163),""),ROW(A2))),"")</f>
        <v/>
      </c>
      <c r="J68" s="36"/>
      <c r="K68" s="12"/>
      <c r="L68" s="12"/>
      <c r="M68" s="62"/>
      <c r="N68" s="13"/>
      <c r="O68" s="8"/>
      <c r="P68" s="13"/>
      <c r="Q68" s="13"/>
      <c r="R68" s="9"/>
      <c r="S68" s="9"/>
    </row>
    <row r="69" spans="1:19" x14ac:dyDescent="0.3">
      <c r="A69" s="78"/>
      <c r="B69" s="73"/>
      <c r="C69" s="10" t="s">
        <v>4</v>
      </c>
      <c r="D69" s="10">
        <v>9</v>
      </c>
      <c r="E69" s="10">
        <v>4</v>
      </c>
      <c r="F69" s="28">
        <f t="shared" ref="F69" si="36">(AVERAGEIF(D69:E69,"&gt;0",D69:E69))*10^3*100/8</f>
        <v>81250</v>
      </c>
      <c r="G69" s="6"/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5" t="e">
        <f>STDEV(H67:H69)</f>
        <v>#DIV/0!</v>
      </c>
      <c r="K69" s="12"/>
      <c r="L69" s="12"/>
      <c r="M69" s="62"/>
      <c r="N69" s="13"/>
      <c r="O69" s="8"/>
      <c r="P69" s="13"/>
      <c r="Q69" s="13"/>
      <c r="R69" s="9"/>
      <c r="S69" s="9"/>
    </row>
    <row r="70" spans="1:19" ht="14.55" thickBot="1" x14ac:dyDescent="0.35">
      <c r="A70" s="78"/>
      <c r="B70" s="74"/>
      <c r="C70" s="11" t="s">
        <v>2</v>
      </c>
      <c r="D70" s="11"/>
      <c r="E70" s="11"/>
      <c r="F70" s="32" t="e">
        <f t="shared" ref="F70" si="37">(AVERAGEIF(D70:E70,"&gt;0",D70:E70))*10^4*100/8</f>
        <v>#DIV/0!</v>
      </c>
      <c r="G70" s="6"/>
      <c r="H70" s="5" t="s">
        <v>28</v>
      </c>
      <c r="J70" s="36"/>
      <c r="K70" s="12"/>
      <c r="L70" s="12"/>
      <c r="M70" s="62"/>
      <c r="N70" s="13"/>
      <c r="O70" s="8"/>
      <c r="P70" s="13"/>
      <c r="Q70" s="13"/>
      <c r="R70" s="9"/>
      <c r="S70" s="9"/>
    </row>
    <row r="71" spans="1:19" ht="14.55" thickTop="1" x14ac:dyDescent="0.3">
      <c r="A71" s="78"/>
      <c r="B71" s="75">
        <v>3</v>
      </c>
      <c r="C71" s="26" t="s">
        <v>53</v>
      </c>
      <c r="D71" s="7">
        <v>54</v>
      </c>
      <c r="E71" s="7">
        <v>54</v>
      </c>
      <c r="F71" s="30">
        <f t="shared" ref="F71" si="38">(AVERAGEIF(D71:E71,"&gt;0",D71:E71))*10^2*100/8</f>
        <v>67500</v>
      </c>
      <c r="G71" s="6"/>
      <c r="H71" s="5" t="str">
        <f t="array" ref="H71">IFERROR(INDEX($F$2:$F$181,SMALL(IF($G$2:$G$181=18,ROW($A$1:$A$180),""),ROW(A1))),"")</f>
        <v/>
      </c>
      <c r="J71" s="36"/>
      <c r="K71" s="12"/>
      <c r="L71" s="12"/>
      <c r="M71" s="62"/>
      <c r="N71" s="13"/>
      <c r="O71" s="8"/>
      <c r="P71" s="13"/>
      <c r="Q71" s="13"/>
      <c r="R71" s="9"/>
      <c r="S71" s="9"/>
    </row>
    <row r="72" spans="1:19" x14ac:dyDescent="0.3">
      <c r="A72" s="78"/>
      <c r="B72" s="73"/>
      <c r="C72" s="10" t="s">
        <v>4</v>
      </c>
      <c r="D72" s="10">
        <v>8</v>
      </c>
      <c r="E72" s="10">
        <v>6</v>
      </c>
      <c r="F72" s="28">
        <f t="shared" ref="F72" si="39">(AVERAGEIF(D72:E72,"&gt;0",D72:E72))*10^3*100/8</f>
        <v>87500</v>
      </c>
      <c r="G72" s="6">
        <v>4</v>
      </c>
      <c r="H72" s="5" t="str">
        <f t="array" ref="H72">IFERROR(INDEX($F$2:$F$181,SMALL(IF($G$2:$G$181=18,ROW($A$1:$A$180),""),ROW(A2))),"")</f>
        <v/>
      </c>
      <c r="J72" s="36"/>
      <c r="K72" s="12"/>
      <c r="L72" s="12"/>
      <c r="M72" s="62"/>
      <c r="N72" s="13"/>
      <c r="O72" s="8"/>
      <c r="P72" s="13"/>
      <c r="Q72" s="13"/>
      <c r="R72" s="9"/>
      <c r="S72" s="9"/>
    </row>
    <row r="73" spans="1:19" ht="14.55" thickBot="1" x14ac:dyDescent="0.35">
      <c r="A73" s="79"/>
      <c r="B73" s="76"/>
      <c r="C73" s="11" t="s">
        <v>2</v>
      </c>
      <c r="D73" s="31"/>
      <c r="E73" s="31"/>
      <c r="F73" s="32" t="e">
        <f t="shared" ref="F73" si="40">(AVERAGEIF(D73:E73,"&gt;0",D73:E73))*10^4*100/8</f>
        <v>#DIV/0!</v>
      </c>
      <c r="G73" s="6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5" t="e">
        <f>STDEV(H71:H73)</f>
        <v>#DIV/0!</v>
      </c>
      <c r="K73" s="12"/>
      <c r="L73" s="12"/>
      <c r="M73" s="62"/>
      <c r="N73" s="13"/>
      <c r="O73" s="8"/>
      <c r="P73" s="13"/>
      <c r="Q73" s="13"/>
      <c r="R73" s="9"/>
      <c r="S73" s="9"/>
    </row>
    <row r="74" spans="1:19" ht="14.55" thickTop="1" x14ac:dyDescent="0.3">
      <c r="A74" s="77" t="s">
        <v>66</v>
      </c>
      <c r="B74" s="72">
        <v>1</v>
      </c>
      <c r="C74" s="26" t="s">
        <v>53</v>
      </c>
      <c r="D74" s="26">
        <v>163</v>
      </c>
      <c r="E74" s="26">
        <v>179</v>
      </c>
      <c r="F74" s="30">
        <f t="shared" ref="F74" si="41">(AVERAGEIF(D74:E74,"&gt;0",D74:E74))*10^2*100/8</f>
        <v>213750</v>
      </c>
      <c r="G74" s="6">
        <v>6</v>
      </c>
      <c r="H74" s="5" t="s">
        <v>29</v>
      </c>
      <c r="J74" s="36"/>
      <c r="K74" s="12"/>
      <c r="L74" s="12"/>
      <c r="M74" s="62"/>
      <c r="N74" s="13"/>
      <c r="O74" s="8"/>
      <c r="P74" s="13"/>
      <c r="Q74" s="13"/>
      <c r="R74" s="9"/>
      <c r="S74" s="9"/>
    </row>
    <row r="75" spans="1:19" x14ac:dyDescent="0.3">
      <c r="A75" s="78"/>
      <c r="B75" s="73"/>
      <c r="C75" s="10" t="s">
        <v>4</v>
      </c>
      <c r="D75" s="10">
        <v>15</v>
      </c>
      <c r="E75" s="10">
        <v>13</v>
      </c>
      <c r="F75" s="28">
        <f t="shared" ref="F75" si="42">(AVERAGEIF(D75:E75,"&gt;0",D75:E75))*10^3*100/8</f>
        <v>175000</v>
      </c>
      <c r="G75" s="6"/>
      <c r="H75" s="5" t="str">
        <f t="array" ref="H75">IFERROR(INDEX($F$2:$F$181,SMALL(IF($G$2:$G$181=19,ROW($A$1:$A$180),""),ROW(A1))),"")</f>
        <v/>
      </c>
      <c r="J75" s="36"/>
      <c r="K75" s="12"/>
      <c r="L75" s="12"/>
      <c r="M75" s="62"/>
      <c r="N75" s="13"/>
      <c r="O75" s="8"/>
      <c r="P75" s="13"/>
      <c r="Q75" s="13"/>
      <c r="R75" s="9"/>
      <c r="S75" s="9"/>
    </row>
    <row r="76" spans="1:19" ht="14.55" thickBot="1" x14ac:dyDescent="0.35">
      <c r="A76" s="78"/>
      <c r="B76" s="74"/>
      <c r="C76" s="11" t="s">
        <v>2</v>
      </c>
      <c r="D76" s="11"/>
      <c r="E76" s="11"/>
      <c r="F76" s="32" t="e">
        <f t="shared" ref="F76" si="43">(AVERAGEIF(D76:E76,"&gt;0",D76:E76))*10^4*100/8</f>
        <v>#DIV/0!</v>
      </c>
      <c r="G76" s="6"/>
      <c r="H76" s="5" t="str">
        <f t="array" ref="H76">IFERROR(INDEX($F$2:$F$181,SMALL(IF($G$2:$G$181=19,ROW($A$1:$A$180),""),ROW(A2))),"")</f>
        <v/>
      </c>
      <c r="J76" s="36"/>
      <c r="K76" s="12"/>
      <c r="L76" s="12"/>
      <c r="M76" s="62"/>
      <c r="N76" s="13"/>
      <c r="O76" s="8"/>
      <c r="P76" s="13"/>
      <c r="Q76" s="13"/>
      <c r="R76" s="9"/>
      <c r="S76" s="9"/>
    </row>
    <row r="77" spans="1:19" ht="14.55" thickTop="1" x14ac:dyDescent="0.3">
      <c r="A77" s="78"/>
      <c r="B77" s="75">
        <v>2</v>
      </c>
      <c r="C77" s="26" t="s">
        <v>53</v>
      </c>
      <c r="D77" s="7"/>
      <c r="E77" s="7"/>
      <c r="F77" s="30" t="e">
        <f t="shared" ref="F77" si="44">(AVERAGEIF(D77:E77,"&gt;0",D77:E77))*10^2*100/8</f>
        <v>#DIV/0!</v>
      </c>
      <c r="G77" s="6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5" t="e">
        <f>STDEV(H75:H77)</f>
        <v>#DIV/0!</v>
      </c>
      <c r="K77" s="12"/>
      <c r="L77" s="12"/>
      <c r="M77" s="62"/>
      <c r="N77" s="13"/>
      <c r="O77" s="8"/>
      <c r="P77" s="13"/>
      <c r="Q77" s="13"/>
      <c r="R77" s="9"/>
      <c r="S77" s="9"/>
    </row>
    <row r="78" spans="1:19" x14ac:dyDescent="0.3">
      <c r="A78" s="78"/>
      <c r="B78" s="73"/>
      <c r="C78" s="10" t="s">
        <v>4</v>
      </c>
      <c r="D78" s="10">
        <v>17</v>
      </c>
      <c r="E78" s="10">
        <v>39</v>
      </c>
      <c r="F78" s="28">
        <f t="shared" ref="F78" si="45">(AVERAGEIF(D78:E78,"&gt;0",D78:E78))*10^3*100/8</f>
        <v>350000</v>
      </c>
      <c r="G78" s="6">
        <v>6</v>
      </c>
      <c r="H78" s="5" t="s">
        <v>30</v>
      </c>
      <c r="J78" s="36"/>
      <c r="K78" s="12"/>
      <c r="L78" s="12"/>
      <c r="M78" s="62"/>
      <c r="N78" s="13"/>
      <c r="O78" s="8"/>
      <c r="P78" s="13"/>
      <c r="Q78" s="13"/>
      <c r="R78" s="9"/>
      <c r="S78" s="9"/>
    </row>
    <row r="79" spans="1:19" ht="14.55" thickBot="1" x14ac:dyDescent="0.35">
      <c r="A79" s="78"/>
      <c r="B79" s="74"/>
      <c r="C79" s="11" t="s">
        <v>2</v>
      </c>
      <c r="D79" s="11"/>
      <c r="E79" s="11"/>
      <c r="F79" s="32" t="e">
        <f t="shared" ref="F79" si="46">(AVERAGEIF(D79:E79,"&gt;0",D79:E79))*10^4*100/8</f>
        <v>#DIV/0!</v>
      </c>
      <c r="G79" s="6"/>
      <c r="H79" s="5" t="str">
        <f t="array" ref="H79">IFERROR(INDEX($F$2:$F$181,SMALL(IF($G$2:$G$181=20,ROW($A$1:$A$180),""),ROW(A1))),"")</f>
        <v/>
      </c>
      <c r="J79" s="36"/>
      <c r="K79" s="12"/>
      <c r="L79" s="12"/>
      <c r="M79" s="62"/>
      <c r="N79" s="13"/>
      <c r="O79" s="8"/>
      <c r="P79" s="13"/>
      <c r="Q79" s="13"/>
      <c r="R79" s="9"/>
      <c r="S79" s="9"/>
    </row>
    <row r="80" spans="1:19" ht="14.55" thickTop="1" x14ac:dyDescent="0.3">
      <c r="A80" s="78"/>
      <c r="B80" s="75">
        <v>3</v>
      </c>
      <c r="C80" s="26" t="s">
        <v>53</v>
      </c>
      <c r="D80" s="7"/>
      <c r="E80" s="7"/>
      <c r="F80" s="30" t="e">
        <f t="shared" ref="F80" si="47">(AVERAGEIF(D80:E80,"&gt;0",D80:E80))*10^2*100/8</f>
        <v>#DIV/0!</v>
      </c>
      <c r="G80" s="6"/>
      <c r="H80" s="5" t="str">
        <f t="array" ref="H80">IFERROR(INDEX($F$2:$F$181,SMALL(IF($G$2:$G$181=20,ROW($A$1:$A$180),""),ROW(A2))),"")</f>
        <v/>
      </c>
      <c r="J80" s="36"/>
      <c r="K80" s="12"/>
      <c r="L80" s="12"/>
      <c r="M80" s="62"/>
      <c r="N80" s="13"/>
      <c r="O80" s="8"/>
      <c r="P80" s="13"/>
      <c r="Q80" s="13"/>
      <c r="R80" s="9"/>
      <c r="S80" s="9"/>
    </row>
    <row r="81" spans="1:22" x14ac:dyDescent="0.3">
      <c r="A81" s="78"/>
      <c r="B81" s="73"/>
      <c r="C81" s="10" t="s">
        <v>4</v>
      </c>
      <c r="D81" s="10">
        <v>49</v>
      </c>
      <c r="E81" s="10">
        <v>64</v>
      </c>
      <c r="F81" s="28">
        <f t="shared" ref="F81" si="48">(AVERAGEIF(D81:E81,"&gt;0",D81:E81))*10^3*100/8</f>
        <v>706250</v>
      </c>
      <c r="G81" s="6">
        <v>6</v>
      </c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5" t="e">
        <f>STDEV(H79:H81)</f>
        <v>#DIV/0!</v>
      </c>
      <c r="K81" s="12"/>
      <c r="L81" s="12"/>
      <c r="M81" s="62"/>
      <c r="N81" s="13"/>
      <c r="O81" s="8"/>
      <c r="P81" s="13"/>
      <c r="Q81" s="13"/>
      <c r="R81" s="9"/>
      <c r="S81" s="9"/>
    </row>
    <row r="82" spans="1:22" ht="14.55" thickBot="1" x14ac:dyDescent="0.35">
      <c r="A82" s="79"/>
      <c r="B82" s="76"/>
      <c r="C82" s="11" t="s">
        <v>2</v>
      </c>
      <c r="D82" s="31"/>
      <c r="E82" s="31"/>
      <c r="F82" s="32" t="e">
        <f t="shared" ref="F82:F109" si="49">(AVERAGEIF(D82:E82,"&gt;0",D82:E82))*10^4*100/8</f>
        <v>#DIV/0!</v>
      </c>
      <c r="G82" s="6"/>
      <c r="J82" s="36"/>
      <c r="K82" s="12"/>
      <c r="L82" s="12"/>
      <c r="M82" s="62"/>
      <c r="N82" s="13"/>
      <c r="O82" s="8"/>
      <c r="P82" s="13"/>
      <c r="Q82" s="13"/>
      <c r="R82" s="9"/>
      <c r="S82" s="9"/>
    </row>
    <row r="83" spans="1:22" ht="14.55" thickTop="1" x14ac:dyDescent="0.3">
      <c r="A83" s="77" t="s">
        <v>67</v>
      </c>
      <c r="B83" s="72">
        <v>1</v>
      </c>
      <c r="C83" s="26" t="s">
        <v>53</v>
      </c>
      <c r="D83" s="26">
        <v>25</v>
      </c>
      <c r="E83" s="26">
        <v>17</v>
      </c>
      <c r="F83" s="30">
        <f t="shared" ref="F83:F107" si="50">(AVERAGEIF(D83:E83,"&gt;0",D83:E83))*10^2*100/8</f>
        <v>26250</v>
      </c>
      <c r="G83" s="6">
        <v>8</v>
      </c>
      <c r="J83" s="36"/>
      <c r="K83" s="12"/>
      <c r="L83" s="12"/>
      <c r="M83" s="62"/>
      <c r="N83" s="13"/>
      <c r="O83" s="8"/>
      <c r="P83" s="13"/>
      <c r="Q83" s="13"/>
      <c r="R83" s="9"/>
      <c r="S83" s="9"/>
      <c r="T83" s="44"/>
      <c r="U83" s="44"/>
      <c r="V83" s="14"/>
    </row>
    <row r="84" spans="1:22" x14ac:dyDescent="0.3">
      <c r="A84" s="78"/>
      <c r="B84" s="73"/>
      <c r="C84" s="10" t="s">
        <v>4</v>
      </c>
      <c r="D84" s="10"/>
      <c r="E84" s="10"/>
      <c r="F84" s="28" t="e">
        <f t="shared" ref="F84:F108" si="51">(AVERAGEIF(D84:E84,"&gt;0",D84:E84))*10^3*100/8</f>
        <v>#DIV/0!</v>
      </c>
      <c r="G84" s="6"/>
      <c r="J84" s="36"/>
      <c r="K84" s="12"/>
      <c r="L84" s="12"/>
      <c r="M84" s="62"/>
      <c r="N84" s="13"/>
      <c r="O84" s="8"/>
      <c r="P84" s="13"/>
      <c r="Q84" s="13"/>
      <c r="R84" s="9"/>
      <c r="S84" s="9"/>
    </row>
    <row r="85" spans="1:22" ht="14.55" thickBot="1" x14ac:dyDescent="0.35">
      <c r="A85" s="78"/>
      <c r="B85" s="74"/>
      <c r="C85" s="11" t="s">
        <v>2</v>
      </c>
      <c r="D85" s="11"/>
      <c r="E85" s="11"/>
      <c r="F85" s="32" t="e">
        <f t="shared" si="49"/>
        <v>#DIV/0!</v>
      </c>
      <c r="G85" s="6"/>
      <c r="J85" s="36"/>
      <c r="K85" s="12"/>
      <c r="L85" s="12"/>
      <c r="M85" s="62"/>
      <c r="N85" s="13"/>
      <c r="O85" s="8"/>
      <c r="P85" s="13"/>
      <c r="Q85" s="13"/>
      <c r="R85" s="9"/>
      <c r="S85" s="9"/>
    </row>
    <row r="86" spans="1:22" ht="14.55" thickTop="1" x14ac:dyDescent="0.3">
      <c r="A86" s="78"/>
      <c r="B86" s="75">
        <v>2</v>
      </c>
      <c r="C86" s="26" t="s">
        <v>53</v>
      </c>
      <c r="D86" s="7">
        <v>35</v>
      </c>
      <c r="E86" s="7">
        <v>29</v>
      </c>
      <c r="F86" s="30">
        <f t="shared" si="50"/>
        <v>40000</v>
      </c>
      <c r="G86" s="6">
        <v>8</v>
      </c>
      <c r="J86" s="36"/>
      <c r="K86" s="12"/>
      <c r="L86" s="12"/>
      <c r="M86" s="62"/>
      <c r="N86" s="13"/>
      <c r="O86" s="8"/>
      <c r="P86" s="13"/>
      <c r="Q86" s="13"/>
      <c r="R86" s="9"/>
      <c r="S86" s="9"/>
    </row>
    <row r="87" spans="1:22" x14ac:dyDescent="0.3">
      <c r="A87" s="78"/>
      <c r="B87" s="73"/>
      <c r="C87" s="10" t="s">
        <v>4</v>
      </c>
      <c r="D87" s="10"/>
      <c r="E87" s="10"/>
      <c r="F87" s="28" t="e">
        <f t="shared" si="51"/>
        <v>#DIV/0!</v>
      </c>
      <c r="G87" s="6"/>
      <c r="J87" s="36"/>
      <c r="K87" s="12"/>
      <c r="L87" s="12"/>
      <c r="M87" s="62"/>
      <c r="N87" s="13"/>
      <c r="O87" s="8"/>
      <c r="P87" s="13"/>
      <c r="Q87" s="13"/>
      <c r="R87" s="9"/>
      <c r="S87" s="9"/>
    </row>
    <row r="88" spans="1:22" ht="14.55" thickBot="1" x14ac:dyDescent="0.35">
      <c r="A88" s="78"/>
      <c r="B88" s="74"/>
      <c r="C88" s="11" t="s">
        <v>2</v>
      </c>
      <c r="D88" s="11"/>
      <c r="E88" s="11"/>
      <c r="F88" s="32" t="e">
        <f t="shared" si="49"/>
        <v>#DIV/0!</v>
      </c>
      <c r="G88" s="6"/>
      <c r="J88" s="36"/>
      <c r="K88" s="12"/>
      <c r="L88" s="12"/>
      <c r="M88" s="62"/>
      <c r="N88" s="13"/>
      <c r="O88" s="8"/>
      <c r="P88" s="13"/>
      <c r="Q88" s="13"/>
      <c r="R88" s="9"/>
      <c r="S88" s="9"/>
    </row>
    <row r="89" spans="1:22" ht="14.55" thickTop="1" x14ac:dyDescent="0.3">
      <c r="A89" s="78"/>
      <c r="B89" s="75">
        <v>3</v>
      </c>
      <c r="C89" s="26" t="s">
        <v>53</v>
      </c>
      <c r="D89" s="7">
        <v>80</v>
      </c>
      <c r="E89" s="7">
        <v>84</v>
      </c>
      <c r="F89" s="30">
        <f t="shared" si="50"/>
        <v>102500</v>
      </c>
      <c r="G89" s="6"/>
      <c r="J89" s="36"/>
      <c r="K89" s="12"/>
      <c r="L89" s="12"/>
      <c r="M89" s="62"/>
      <c r="N89" s="13"/>
      <c r="O89" s="8"/>
      <c r="P89" s="13"/>
      <c r="Q89" s="13"/>
      <c r="R89" s="9"/>
      <c r="S89" s="9"/>
    </row>
    <row r="90" spans="1:22" x14ac:dyDescent="0.3">
      <c r="A90" s="78"/>
      <c r="B90" s="73"/>
      <c r="C90" s="10" t="s">
        <v>4</v>
      </c>
      <c r="D90" s="10">
        <v>7</v>
      </c>
      <c r="E90" s="10">
        <v>7</v>
      </c>
      <c r="F90" s="28">
        <f t="shared" si="51"/>
        <v>87500</v>
      </c>
      <c r="G90" s="6">
        <v>8</v>
      </c>
      <c r="J90" s="36"/>
      <c r="K90" s="12"/>
      <c r="L90" s="12"/>
      <c r="M90" s="62"/>
      <c r="N90" s="13"/>
      <c r="O90" s="8"/>
      <c r="P90" s="13"/>
      <c r="Q90" s="13"/>
      <c r="R90" s="9"/>
      <c r="S90" s="9"/>
    </row>
    <row r="91" spans="1:22" ht="14.55" thickBot="1" x14ac:dyDescent="0.35">
      <c r="A91" s="79"/>
      <c r="B91" s="76"/>
      <c r="C91" s="11" t="s">
        <v>2</v>
      </c>
      <c r="D91" s="31"/>
      <c r="E91" s="31"/>
      <c r="F91" s="32" t="e">
        <f t="shared" si="49"/>
        <v>#DIV/0!</v>
      </c>
      <c r="G91" s="6"/>
      <c r="J91" s="36"/>
      <c r="K91" s="12"/>
      <c r="L91" s="12"/>
      <c r="M91" s="62"/>
      <c r="N91" s="13"/>
      <c r="O91" s="8"/>
      <c r="P91" s="13"/>
      <c r="Q91" s="13"/>
      <c r="R91" s="9"/>
      <c r="S91" s="9"/>
    </row>
    <row r="92" spans="1:22" ht="14.55" thickTop="1" x14ac:dyDescent="0.3">
      <c r="A92" s="80" t="s">
        <v>68</v>
      </c>
      <c r="B92" s="72">
        <v>1</v>
      </c>
      <c r="C92" s="26" t="s">
        <v>53</v>
      </c>
      <c r="D92" s="26"/>
      <c r="E92" s="26"/>
      <c r="F92" s="30" t="e">
        <f t="shared" si="50"/>
        <v>#DIV/0!</v>
      </c>
      <c r="G92" s="6"/>
      <c r="J92" s="36"/>
      <c r="K92" s="12"/>
      <c r="L92" s="12"/>
      <c r="M92" s="62"/>
      <c r="N92" s="13"/>
      <c r="O92" s="8"/>
      <c r="P92" s="13"/>
      <c r="Q92" s="13"/>
      <c r="R92" s="9"/>
      <c r="S92" s="9"/>
    </row>
    <row r="93" spans="1:22" ht="14.55" thickBot="1" x14ac:dyDescent="0.35">
      <c r="A93" s="78"/>
      <c r="B93" s="73"/>
      <c r="C93" s="10" t="s">
        <v>4</v>
      </c>
      <c r="D93" s="10">
        <v>64</v>
      </c>
      <c r="E93" s="10">
        <v>63</v>
      </c>
      <c r="F93" s="28">
        <f t="shared" si="51"/>
        <v>793750</v>
      </c>
      <c r="G93" s="6">
        <v>10</v>
      </c>
      <c r="J93" s="36"/>
      <c r="K93" s="12"/>
      <c r="L93" s="12"/>
      <c r="M93" s="62"/>
      <c r="N93" s="13"/>
      <c r="O93" s="8"/>
      <c r="P93" s="13"/>
      <c r="Q93" s="13"/>
      <c r="R93" s="9"/>
      <c r="S93" s="9"/>
      <c r="T93" s="40"/>
      <c r="U93" s="40"/>
      <c r="V93" s="15"/>
    </row>
    <row r="94" spans="1:22" ht="14.55" thickBot="1" x14ac:dyDescent="0.35">
      <c r="A94" s="78"/>
      <c r="B94" s="74"/>
      <c r="C94" s="11" t="s">
        <v>2</v>
      </c>
      <c r="D94" s="11"/>
      <c r="E94" s="11"/>
      <c r="F94" s="32" t="e">
        <f t="shared" si="49"/>
        <v>#DIV/0!</v>
      </c>
      <c r="G94" s="6"/>
      <c r="J94" s="36"/>
      <c r="K94" s="12"/>
      <c r="L94" s="12"/>
      <c r="M94" s="62"/>
      <c r="N94" s="13"/>
      <c r="O94" s="8"/>
      <c r="P94" s="13"/>
      <c r="Q94" s="13"/>
      <c r="R94" s="9"/>
      <c r="S94" s="9"/>
    </row>
    <row r="95" spans="1:22" ht="14.55" thickTop="1" x14ac:dyDescent="0.3">
      <c r="A95" s="78"/>
      <c r="B95" s="75">
        <v>2</v>
      </c>
      <c r="C95" s="26" t="s">
        <v>53</v>
      </c>
      <c r="D95" s="7"/>
      <c r="E95" s="7"/>
      <c r="F95" s="30" t="e">
        <f t="shared" si="50"/>
        <v>#DIV/0!</v>
      </c>
      <c r="G95" s="6"/>
      <c r="J95" s="36"/>
      <c r="K95" s="12"/>
      <c r="L95" s="12"/>
      <c r="M95" s="62"/>
      <c r="N95" s="13"/>
      <c r="O95" s="8"/>
      <c r="P95" s="13"/>
      <c r="Q95" s="13"/>
      <c r="R95" s="9"/>
      <c r="S95" s="9"/>
    </row>
    <row r="96" spans="1:22" x14ac:dyDescent="0.3">
      <c r="A96" s="78"/>
      <c r="B96" s="73"/>
      <c r="C96" s="10" t="s">
        <v>4</v>
      </c>
      <c r="D96" s="10">
        <v>96</v>
      </c>
      <c r="E96" s="10">
        <v>109</v>
      </c>
      <c r="F96" s="28">
        <f t="shared" si="51"/>
        <v>1281250</v>
      </c>
      <c r="G96" s="6">
        <v>10</v>
      </c>
      <c r="J96" s="36"/>
      <c r="K96" s="12"/>
      <c r="L96" s="12"/>
      <c r="M96" s="62"/>
      <c r="N96" s="13"/>
      <c r="O96" s="8"/>
      <c r="P96" s="13"/>
      <c r="Q96" s="13"/>
      <c r="R96" s="9"/>
      <c r="S96" s="9"/>
    </row>
    <row r="97" spans="1:19" ht="14.55" thickBot="1" x14ac:dyDescent="0.35">
      <c r="A97" s="78"/>
      <c r="B97" s="74"/>
      <c r="C97" s="11" t="s">
        <v>2</v>
      </c>
      <c r="D97" s="11">
        <v>8</v>
      </c>
      <c r="E97" s="11">
        <v>11</v>
      </c>
      <c r="F97" s="32">
        <f t="shared" si="49"/>
        <v>1187500</v>
      </c>
      <c r="G97" s="6"/>
      <c r="J97" s="36"/>
      <c r="K97" s="12"/>
      <c r="L97" s="12"/>
      <c r="M97" s="62"/>
      <c r="N97" s="13"/>
      <c r="O97" s="8"/>
      <c r="P97" s="13"/>
      <c r="Q97" s="13"/>
      <c r="R97" s="9"/>
      <c r="S97" s="9"/>
    </row>
    <row r="98" spans="1:19" ht="14.55" thickTop="1" x14ac:dyDescent="0.3">
      <c r="A98" s="78"/>
      <c r="B98" s="75">
        <v>3</v>
      </c>
      <c r="C98" s="26" t="s">
        <v>53</v>
      </c>
      <c r="D98" s="7"/>
      <c r="E98" s="7"/>
      <c r="F98" s="30" t="e">
        <f t="shared" si="50"/>
        <v>#DIV/0!</v>
      </c>
      <c r="G98" s="6"/>
      <c r="J98" s="36"/>
      <c r="K98" s="12"/>
      <c r="L98" s="12"/>
      <c r="M98" s="62"/>
      <c r="N98" s="13"/>
      <c r="O98" s="8"/>
      <c r="P98" s="13"/>
      <c r="Q98" s="13"/>
      <c r="R98" s="9"/>
      <c r="S98" s="9"/>
    </row>
    <row r="99" spans="1:19" x14ac:dyDescent="0.3">
      <c r="A99" s="78"/>
      <c r="B99" s="73"/>
      <c r="C99" s="10" t="s">
        <v>4</v>
      </c>
      <c r="D99" s="10">
        <v>63</v>
      </c>
      <c r="E99" s="10">
        <v>49</v>
      </c>
      <c r="F99" s="28">
        <f t="shared" si="51"/>
        <v>700000</v>
      </c>
      <c r="G99" s="6">
        <v>10</v>
      </c>
      <c r="J99" s="36"/>
      <c r="K99" s="12"/>
      <c r="L99" s="12"/>
      <c r="M99" s="62"/>
      <c r="N99" s="13"/>
      <c r="O99" s="8"/>
      <c r="P99" s="13"/>
      <c r="Q99" s="13"/>
      <c r="R99" s="9"/>
      <c r="S99" s="9"/>
    </row>
    <row r="100" spans="1:19" ht="14.55" thickBot="1" x14ac:dyDescent="0.35">
      <c r="A100" s="79"/>
      <c r="B100" s="76"/>
      <c r="C100" s="11" t="s">
        <v>2</v>
      </c>
      <c r="D100" s="31"/>
      <c r="E100" s="31"/>
      <c r="F100" s="32" t="e">
        <f t="shared" si="49"/>
        <v>#DIV/0!</v>
      </c>
      <c r="G100" s="6"/>
      <c r="J100" s="36"/>
      <c r="K100" s="12"/>
      <c r="L100" s="12"/>
      <c r="M100" s="62"/>
      <c r="N100" s="13"/>
      <c r="O100" s="8"/>
      <c r="P100" s="13"/>
      <c r="Q100" s="13"/>
      <c r="R100" s="9"/>
      <c r="S100" s="9"/>
    </row>
    <row r="101" spans="1:19" ht="14.55" thickTop="1" x14ac:dyDescent="0.3">
      <c r="A101" s="80" t="s">
        <v>69</v>
      </c>
      <c r="B101" s="72">
        <v>1</v>
      </c>
      <c r="C101" s="26" t="s">
        <v>53</v>
      </c>
      <c r="D101" s="26">
        <v>141</v>
      </c>
      <c r="E101" s="26">
        <v>141</v>
      </c>
      <c r="F101" s="30">
        <f t="shared" si="50"/>
        <v>176250</v>
      </c>
      <c r="G101" s="6">
        <v>12</v>
      </c>
      <c r="J101" s="36"/>
      <c r="K101" s="12"/>
      <c r="L101" s="12"/>
      <c r="M101" s="62"/>
      <c r="N101" s="13"/>
      <c r="O101" s="8"/>
      <c r="P101" s="13"/>
      <c r="Q101" s="13"/>
      <c r="R101" s="9"/>
      <c r="S101" s="9"/>
    </row>
    <row r="102" spans="1:19" x14ac:dyDescent="0.3">
      <c r="A102" s="78"/>
      <c r="B102" s="73"/>
      <c r="C102" s="10" t="s">
        <v>4</v>
      </c>
      <c r="D102" s="10">
        <v>20</v>
      </c>
      <c r="E102" s="10">
        <v>14</v>
      </c>
      <c r="F102" s="28">
        <f t="shared" si="51"/>
        <v>212500</v>
      </c>
      <c r="G102" s="6"/>
      <c r="J102" s="36"/>
      <c r="K102" s="12"/>
      <c r="L102" s="12"/>
      <c r="M102" s="62"/>
      <c r="N102" s="13"/>
      <c r="O102" s="8"/>
      <c r="P102" s="13"/>
      <c r="Q102" s="13"/>
      <c r="R102" s="9"/>
      <c r="S102" s="9"/>
    </row>
    <row r="103" spans="1:19" ht="14.55" thickBot="1" x14ac:dyDescent="0.35">
      <c r="A103" s="78"/>
      <c r="B103" s="74"/>
      <c r="C103" s="11" t="s">
        <v>2</v>
      </c>
      <c r="D103" s="11"/>
      <c r="E103" s="11"/>
      <c r="F103" s="32" t="e">
        <f t="shared" si="49"/>
        <v>#DIV/0!</v>
      </c>
      <c r="G103" s="6"/>
      <c r="J103" s="36"/>
      <c r="K103" s="12"/>
      <c r="L103" s="12"/>
      <c r="M103" s="62"/>
      <c r="N103" s="13"/>
      <c r="O103" s="8"/>
      <c r="P103" s="13"/>
      <c r="Q103" s="13"/>
      <c r="R103" s="9"/>
      <c r="S103" s="9"/>
    </row>
    <row r="104" spans="1:19" ht="14.55" thickTop="1" x14ac:dyDescent="0.3">
      <c r="A104" s="78"/>
      <c r="B104" s="75">
        <v>2</v>
      </c>
      <c r="C104" s="26" t="s">
        <v>53</v>
      </c>
      <c r="D104" s="7">
        <v>167</v>
      </c>
      <c r="E104" s="7">
        <v>177</v>
      </c>
      <c r="F104" s="30">
        <f t="shared" si="50"/>
        <v>215000</v>
      </c>
      <c r="G104" s="6">
        <v>12</v>
      </c>
      <c r="J104" s="36"/>
      <c r="K104" s="12"/>
      <c r="L104" s="12"/>
      <c r="M104" s="62"/>
      <c r="N104" s="13"/>
      <c r="O104" s="8"/>
      <c r="P104" s="13"/>
      <c r="Q104" s="13"/>
      <c r="R104" s="9"/>
      <c r="S104" s="9"/>
    </row>
    <row r="105" spans="1:19" x14ac:dyDescent="0.3">
      <c r="A105" s="78"/>
      <c r="B105" s="73"/>
      <c r="C105" s="10" t="s">
        <v>4</v>
      </c>
      <c r="D105" s="10">
        <v>16</v>
      </c>
      <c r="E105" s="10">
        <v>16</v>
      </c>
      <c r="F105" s="28">
        <f t="shared" si="51"/>
        <v>200000</v>
      </c>
      <c r="G105" s="6"/>
      <c r="J105" s="36"/>
      <c r="K105" s="12"/>
      <c r="L105" s="12"/>
      <c r="M105" s="62"/>
      <c r="N105" s="13"/>
      <c r="O105" s="8"/>
      <c r="P105" s="13"/>
      <c r="Q105" s="13"/>
      <c r="R105" s="9"/>
      <c r="S105" s="9"/>
    </row>
    <row r="106" spans="1:19" ht="14.55" thickBot="1" x14ac:dyDescent="0.35">
      <c r="A106" s="78"/>
      <c r="B106" s="74"/>
      <c r="C106" s="11" t="s">
        <v>2</v>
      </c>
      <c r="D106" s="11">
        <v>3</v>
      </c>
      <c r="E106" s="11">
        <v>2</v>
      </c>
      <c r="F106" s="32">
        <f t="shared" si="49"/>
        <v>312500</v>
      </c>
      <c r="G106" s="6"/>
      <c r="J106" s="36"/>
      <c r="K106" s="12"/>
      <c r="L106" s="12"/>
      <c r="M106" s="62"/>
      <c r="N106" s="13"/>
      <c r="O106" s="8"/>
      <c r="P106" s="13"/>
      <c r="Q106" s="13"/>
      <c r="R106" s="9"/>
      <c r="S106" s="9"/>
    </row>
    <row r="107" spans="1:19" ht="14.55" thickTop="1" x14ac:dyDescent="0.3">
      <c r="A107" s="78"/>
      <c r="B107" s="75">
        <v>3</v>
      </c>
      <c r="C107" s="26" t="s">
        <v>53</v>
      </c>
      <c r="D107" s="7">
        <v>210</v>
      </c>
      <c r="E107" s="7">
        <v>198</v>
      </c>
      <c r="F107" s="30">
        <f t="shared" si="50"/>
        <v>255000</v>
      </c>
      <c r="G107" s="6">
        <v>12</v>
      </c>
      <c r="J107" s="36"/>
      <c r="K107" s="12"/>
      <c r="L107" s="12"/>
      <c r="M107" s="62"/>
      <c r="N107" s="13"/>
      <c r="O107" s="8"/>
      <c r="P107" s="13"/>
      <c r="Q107" s="13"/>
      <c r="R107" s="9"/>
      <c r="S107" s="9"/>
    </row>
    <row r="108" spans="1:19" x14ac:dyDescent="0.3">
      <c r="A108" s="78"/>
      <c r="B108" s="73"/>
      <c r="C108" s="10" t="s">
        <v>4</v>
      </c>
      <c r="D108" s="10">
        <v>15</v>
      </c>
      <c r="E108" s="10">
        <v>16</v>
      </c>
      <c r="F108" s="28">
        <f t="shared" si="51"/>
        <v>193750</v>
      </c>
      <c r="G108" s="6"/>
      <c r="J108" s="36"/>
      <c r="K108" s="12"/>
      <c r="L108" s="12"/>
      <c r="M108" s="62"/>
      <c r="N108" s="13"/>
      <c r="O108" s="8"/>
      <c r="P108" s="13"/>
      <c r="Q108" s="13"/>
      <c r="R108" s="9"/>
      <c r="S108" s="9"/>
    </row>
    <row r="109" spans="1:19" ht="14.55" thickBot="1" x14ac:dyDescent="0.35">
      <c r="A109" s="79"/>
      <c r="B109" s="76"/>
      <c r="C109" s="11" t="s">
        <v>2</v>
      </c>
      <c r="D109" s="31">
        <v>4</v>
      </c>
      <c r="E109" s="31">
        <v>4</v>
      </c>
      <c r="F109" s="32">
        <f t="shared" si="49"/>
        <v>500000</v>
      </c>
      <c r="G109" s="6"/>
      <c r="J109" s="36"/>
      <c r="K109" s="12"/>
      <c r="L109" s="12"/>
      <c r="M109" s="62"/>
      <c r="N109" s="13"/>
      <c r="O109" s="8"/>
      <c r="P109" s="13"/>
      <c r="Q109" s="13"/>
      <c r="R109" s="9"/>
      <c r="S109" s="9"/>
    </row>
    <row r="110" spans="1:19" ht="14.55" thickTop="1" x14ac:dyDescent="0.3">
      <c r="A110" s="45"/>
      <c r="B110" s="72">
        <v>1</v>
      </c>
      <c r="C110" s="26"/>
      <c r="D110" s="26"/>
      <c r="E110" s="26"/>
      <c r="F110" s="27"/>
      <c r="G110" s="6"/>
      <c r="J110" s="36"/>
      <c r="K110" s="12"/>
      <c r="L110" s="12"/>
      <c r="M110" s="62"/>
      <c r="N110" s="13"/>
      <c r="O110" s="8"/>
      <c r="P110" s="13"/>
      <c r="Q110" s="13"/>
      <c r="R110" s="9"/>
      <c r="S110" s="9"/>
    </row>
    <row r="111" spans="1:19" x14ac:dyDescent="0.3">
      <c r="A111" s="46"/>
      <c r="B111" s="73"/>
      <c r="C111" s="10"/>
      <c r="D111" s="10"/>
      <c r="E111" s="10"/>
      <c r="F111" s="28"/>
      <c r="G111" s="6"/>
      <c r="J111" s="36"/>
      <c r="K111" s="12"/>
      <c r="L111" s="12"/>
      <c r="M111" s="62"/>
      <c r="N111" s="13"/>
      <c r="O111" s="8"/>
      <c r="P111" s="13"/>
      <c r="Q111" s="13"/>
      <c r="R111" s="9"/>
      <c r="S111" s="9"/>
    </row>
    <row r="112" spans="1:19" ht="14.55" thickBot="1" x14ac:dyDescent="0.35">
      <c r="A112" s="46"/>
      <c r="B112" s="74"/>
      <c r="C112" s="11"/>
      <c r="D112" s="11"/>
      <c r="E112" s="11"/>
      <c r="F112" s="29"/>
      <c r="G112" s="6"/>
      <c r="J112" s="36"/>
      <c r="K112" s="12"/>
      <c r="L112" s="12"/>
      <c r="M112" s="62"/>
      <c r="N112" s="13"/>
      <c r="O112" s="8"/>
      <c r="P112" s="13"/>
      <c r="Q112" s="13"/>
      <c r="R112" s="9"/>
      <c r="S112" s="9"/>
    </row>
    <row r="113" spans="1:19" x14ac:dyDescent="0.3">
      <c r="A113" s="46"/>
      <c r="B113" s="75">
        <v>2</v>
      </c>
      <c r="C113" s="7"/>
      <c r="D113" s="7"/>
      <c r="E113" s="7"/>
      <c r="F113" s="30"/>
      <c r="G113" s="6"/>
      <c r="J113" s="36"/>
      <c r="K113" s="12"/>
      <c r="L113" s="12"/>
      <c r="M113" s="62"/>
      <c r="N113" s="13"/>
      <c r="O113" s="8"/>
      <c r="P113" s="13"/>
      <c r="Q113" s="13"/>
      <c r="R113" s="9"/>
      <c r="S113" s="9"/>
    </row>
    <row r="114" spans="1:19" x14ac:dyDescent="0.3">
      <c r="A114" s="46"/>
      <c r="B114" s="73"/>
      <c r="C114" s="10"/>
      <c r="D114" s="10"/>
      <c r="E114" s="10"/>
      <c r="F114" s="28"/>
      <c r="G114" s="6"/>
      <c r="J114" s="36"/>
      <c r="K114" s="12"/>
      <c r="L114" s="12"/>
      <c r="M114" s="62"/>
      <c r="N114" s="13"/>
      <c r="O114" s="8"/>
      <c r="P114" s="13"/>
      <c r="Q114" s="13"/>
      <c r="R114" s="9"/>
      <c r="S114" s="9"/>
    </row>
    <row r="115" spans="1:19" ht="14.55" thickBot="1" x14ac:dyDescent="0.35">
      <c r="A115" s="46"/>
      <c r="B115" s="74"/>
      <c r="C115" s="11"/>
      <c r="D115" s="11"/>
      <c r="E115" s="11"/>
      <c r="F115" s="29"/>
      <c r="G115" s="6"/>
      <c r="J115" s="36"/>
      <c r="K115" s="12"/>
      <c r="L115" s="12"/>
      <c r="M115" s="62"/>
      <c r="N115" s="13"/>
      <c r="O115" s="8"/>
      <c r="P115" s="13"/>
      <c r="Q115" s="13"/>
      <c r="R115" s="9"/>
      <c r="S115" s="9"/>
    </row>
    <row r="116" spans="1:19" x14ac:dyDescent="0.3">
      <c r="A116" s="46"/>
      <c r="B116" s="75">
        <v>3</v>
      </c>
      <c r="C116" s="7"/>
      <c r="D116" s="7"/>
      <c r="E116" s="7"/>
      <c r="F116" s="30"/>
      <c r="G116" s="6"/>
      <c r="J116" s="36"/>
      <c r="K116" s="12"/>
      <c r="L116" s="12"/>
      <c r="M116" s="62"/>
      <c r="N116" s="13"/>
      <c r="O116" s="8"/>
      <c r="P116" s="13"/>
      <c r="Q116" s="13"/>
      <c r="R116" s="9"/>
      <c r="S116" s="9"/>
    </row>
    <row r="117" spans="1:19" x14ac:dyDescent="0.3">
      <c r="A117" s="46"/>
      <c r="B117" s="73"/>
      <c r="C117" s="10"/>
      <c r="D117" s="10"/>
      <c r="E117" s="10"/>
      <c r="F117" s="28"/>
      <c r="G117" s="6"/>
      <c r="J117" s="36"/>
      <c r="K117" s="12"/>
      <c r="L117" s="12"/>
      <c r="M117" s="62"/>
      <c r="N117" s="13"/>
      <c r="O117" s="8"/>
      <c r="P117" s="13"/>
      <c r="Q117" s="13"/>
      <c r="R117" s="9"/>
      <c r="S117" s="9"/>
    </row>
    <row r="118" spans="1:19" ht="14.55" thickBot="1" x14ac:dyDescent="0.35">
      <c r="A118" s="47"/>
      <c r="B118" s="76"/>
      <c r="C118" s="31"/>
      <c r="D118" s="31"/>
      <c r="E118" s="31"/>
      <c r="F118" s="32"/>
      <c r="G118" s="6"/>
      <c r="J118" s="36"/>
      <c r="K118" s="12"/>
      <c r="L118" s="12"/>
      <c r="M118" s="62"/>
      <c r="N118" s="13"/>
      <c r="O118" s="8"/>
      <c r="P118" s="13"/>
      <c r="Q118" s="13"/>
      <c r="R118" s="9"/>
      <c r="S118" s="9"/>
    </row>
    <row r="119" spans="1:19" ht="14.55" thickTop="1" x14ac:dyDescent="0.3">
      <c r="A119" s="45"/>
      <c r="B119" s="48"/>
      <c r="C119" s="26"/>
      <c r="D119" s="26"/>
      <c r="E119" s="26"/>
      <c r="F119" s="27"/>
      <c r="G119" s="6"/>
      <c r="J119" s="36"/>
      <c r="K119" s="12"/>
      <c r="L119" s="12"/>
      <c r="M119" s="62"/>
      <c r="N119" s="13"/>
      <c r="O119" s="8"/>
      <c r="P119" s="13"/>
      <c r="Q119" s="13"/>
      <c r="R119" s="9"/>
      <c r="S119" s="9"/>
    </row>
    <row r="120" spans="1:19" x14ac:dyDescent="0.3">
      <c r="A120" s="46"/>
      <c r="B120" s="49"/>
      <c r="C120" s="10"/>
      <c r="D120" s="10"/>
      <c r="E120" s="10"/>
      <c r="F120" s="28"/>
      <c r="G120" s="6"/>
      <c r="J120" s="36"/>
      <c r="K120" s="12"/>
      <c r="L120" s="12"/>
      <c r="M120" s="62"/>
      <c r="N120" s="13"/>
      <c r="O120" s="8"/>
      <c r="P120" s="13"/>
      <c r="Q120" s="13"/>
      <c r="R120" s="9"/>
      <c r="S120" s="9"/>
    </row>
    <row r="121" spans="1:19" ht="14.55" thickBot="1" x14ac:dyDescent="0.35">
      <c r="A121" s="46"/>
      <c r="B121" s="50"/>
      <c r="C121" s="11"/>
      <c r="D121" s="11"/>
      <c r="E121" s="11"/>
      <c r="F121" s="29"/>
      <c r="G121" s="6"/>
      <c r="J121" s="36"/>
      <c r="K121" s="12"/>
      <c r="L121" s="12"/>
      <c r="M121" s="62"/>
      <c r="N121" s="13"/>
      <c r="O121" s="8"/>
      <c r="P121" s="13"/>
      <c r="Q121" s="13"/>
      <c r="R121" s="9"/>
      <c r="S121" s="9"/>
    </row>
    <row r="122" spans="1:19" x14ac:dyDescent="0.3">
      <c r="A122" s="46"/>
      <c r="B122" s="51"/>
      <c r="C122" s="7"/>
      <c r="D122" s="7"/>
      <c r="E122" s="7"/>
      <c r="F122" s="30"/>
      <c r="G122" s="6"/>
      <c r="J122" s="36"/>
      <c r="K122" s="12"/>
      <c r="L122" s="12"/>
      <c r="M122" s="62"/>
      <c r="N122" s="13"/>
      <c r="O122" s="8"/>
      <c r="P122" s="13"/>
      <c r="Q122" s="13"/>
      <c r="R122" s="9"/>
      <c r="S122" s="9"/>
    </row>
    <row r="123" spans="1:19" x14ac:dyDescent="0.3">
      <c r="A123" s="46"/>
      <c r="B123" s="49"/>
      <c r="C123" s="10"/>
      <c r="D123" s="10"/>
      <c r="E123" s="10"/>
      <c r="F123" s="28"/>
      <c r="G123" s="6"/>
      <c r="J123" s="36"/>
      <c r="K123" s="12"/>
      <c r="L123" s="12"/>
      <c r="M123" s="62"/>
      <c r="N123" s="13"/>
      <c r="O123" s="8"/>
      <c r="P123" s="13"/>
      <c r="Q123" s="13"/>
      <c r="R123" s="9"/>
      <c r="S123" s="9"/>
    </row>
    <row r="124" spans="1:19" ht="14.55" thickBot="1" x14ac:dyDescent="0.35">
      <c r="A124" s="46"/>
      <c r="B124" s="50"/>
      <c r="C124" s="11"/>
      <c r="D124" s="11"/>
      <c r="E124" s="11"/>
      <c r="F124" s="29"/>
      <c r="G124" s="6"/>
      <c r="J124" s="36"/>
      <c r="K124" s="12"/>
      <c r="L124" s="12"/>
      <c r="M124" s="62"/>
      <c r="N124" s="13"/>
      <c r="O124" s="8"/>
      <c r="P124" s="13"/>
      <c r="Q124" s="13"/>
      <c r="R124" s="9"/>
      <c r="S124" s="9"/>
    </row>
    <row r="125" spans="1:19" x14ac:dyDescent="0.3">
      <c r="A125" s="46"/>
      <c r="B125" s="51"/>
      <c r="C125" s="7"/>
      <c r="D125" s="7"/>
      <c r="E125" s="7"/>
      <c r="F125" s="30"/>
      <c r="G125" s="6"/>
      <c r="J125" s="36"/>
      <c r="K125" s="12"/>
      <c r="L125" s="12"/>
      <c r="M125" s="62"/>
      <c r="N125" s="13"/>
      <c r="O125" s="8"/>
      <c r="P125" s="13"/>
      <c r="Q125" s="13"/>
      <c r="R125" s="9"/>
      <c r="S125" s="9"/>
    </row>
    <row r="126" spans="1:19" x14ac:dyDescent="0.3">
      <c r="A126" s="46"/>
      <c r="B126" s="49"/>
      <c r="C126" s="10"/>
      <c r="D126" s="10"/>
      <c r="E126" s="10"/>
      <c r="F126" s="28"/>
      <c r="G126" s="6"/>
      <c r="J126" s="36"/>
      <c r="K126" s="12"/>
      <c r="L126" s="12"/>
      <c r="M126" s="62"/>
      <c r="N126" s="13"/>
      <c r="O126" s="8"/>
      <c r="P126" s="13"/>
      <c r="Q126" s="13"/>
      <c r="R126" s="9"/>
      <c r="S126" s="9"/>
    </row>
    <row r="127" spans="1:19" ht="14.55" thickBot="1" x14ac:dyDescent="0.35">
      <c r="A127" s="47"/>
      <c r="B127" s="52"/>
      <c r="C127" s="31"/>
      <c r="D127" s="31"/>
      <c r="E127" s="31"/>
      <c r="F127" s="32"/>
      <c r="G127" s="6"/>
      <c r="J127" s="36"/>
      <c r="K127" s="12"/>
      <c r="L127" s="12"/>
      <c r="M127" s="62"/>
      <c r="N127" s="13"/>
      <c r="O127" s="8"/>
      <c r="P127" s="13"/>
      <c r="Q127" s="13"/>
      <c r="R127" s="9"/>
      <c r="S127" s="9"/>
    </row>
    <row r="128" spans="1:19" ht="14.55" thickTop="1" x14ac:dyDescent="0.3">
      <c r="A128" s="45"/>
      <c r="B128" s="48"/>
      <c r="C128" s="26"/>
      <c r="D128" s="26"/>
      <c r="E128" s="26"/>
      <c r="F128" s="27"/>
      <c r="G128" s="6"/>
      <c r="J128" s="36"/>
      <c r="K128" s="12"/>
      <c r="L128" s="12"/>
      <c r="M128" s="62"/>
      <c r="N128" s="13"/>
      <c r="O128" s="8"/>
      <c r="P128" s="13"/>
      <c r="Q128" s="13"/>
      <c r="R128" s="9"/>
      <c r="S128" s="9"/>
    </row>
    <row r="129" spans="1:19" x14ac:dyDescent="0.3">
      <c r="A129" s="46"/>
      <c r="B129" s="49"/>
      <c r="C129" s="10"/>
      <c r="D129" s="10"/>
      <c r="E129" s="10"/>
      <c r="F129" s="28"/>
      <c r="G129" s="6"/>
      <c r="J129" s="36"/>
      <c r="K129" s="12"/>
      <c r="L129" s="12"/>
      <c r="M129" s="62"/>
      <c r="N129" s="13"/>
      <c r="O129" s="8"/>
      <c r="P129" s="13"/>
      <c r="Q129" s="13"/>
      <c r="R129" s="9"/>
      <c r="S129" s="9"/>
    </row>
    <row r="130" spans="1:19" ht="14.55" thickBot="1" x14ac:dyDescent="0.35">
      <c r="A130" s="46"/>
      <c r="B130" s="50"/>
      <c r="C130" s="11"/>
      <c r="D130" s="11"/>
      <c r="E130" s="11"/>
      <c r="F130" s="29"/>
      <c r="G130" s="6"/>
      <c r="J130" s="36"/>
      <c r="K130" s="12"/>
      <c r="L130" s="12"/>
      <c r="M130" s="62"/>
      <c r="N130" s="13"/>
      <c r="O130" s="8"/>
      <c r="P130" s="13"/>
      <c r="Q130" s="13"/>
      <c r="R130" s="9"/>
      <c r="S130" s="9"/>
    </row>
    <row r="131" spans="1:19" x14ac:dyDescent="0.3">
      <c r="A131" s="46"/>
      <c r="B131" s="51"/>
      <c r="C131" s="7"/>
      <c r="D131" s="16"/>
      <c r="E131" s="16"/>
      <c r="F131" s="30"/>
      <c r="G131" s="6"/>
      <c r="J131" s="36"/>
      <c r="K131" s="12"/>
      <c r="L131" s="12"/>
      <c r="M131" s="62"/>
      <c r="N131" s="13"/>
      <c r="O131" s="8"/>
      <c r="P131" s="13"/>
      <c r="Q131" s="13"/>
      <c r="R131" s="9"/>
      <c r="S131" s="9"/>
    </row>
    <row r="132" spans="1:19" x14ac:dyDescent="0.3">
      <c r="A132" s="46"/>
      <c r="B132" s="49"/>
      <c r="C132" s="10"/>
      <c r="D132" s="10"/>
      <c r="E132" s="10"/>
      <c r="F132" s="28"/>
      <c r="G132" s="6"/>
      <c r="J132" s="36"/>
      <c r="K132" s="12"/>
      <c r="L132" s="12"/>
      <c r="M132" s="62"/>
      <c r="N132" s="13"/>
      <c r="O132" s="8"/>
      <c r="P132" s="13"/>
      <c r="Q132" s="13"/>
      <c r="R132" s="9"/>
      <c r="S132" s="9"/>
    </row>
    <row r="133" spans="1:19" ht="14.55" thickBot="1" x14ac:dyDescent="0.35">
      <c r="A133" s="46"/>
      <c r="B133" s="50"/>
      <c r="C133" s="11"/>
      <c r="D133" s="11"/>
      <c r="E133" s="11"/>
      <c r="F133" s="29"/>
      <c r="G133" s="6"/>
      <c r="J133" s="36"/>
      <c r="K133" s="12"/>
      <c r="L133" s="12"/>
      <c r="M133" s="62"/>
      <c r="N133" s="13"/>
      <c r="O133" s="8"/>
      <c r="P133" s="13"/>
      <c r="Q133" s="13"/>
      <c r="R133" s="9"/>
      <c r="S133" s="9"/>
    </row>
    <row r="134" spans="1:19" x14ac:dyDescent="0.3">
      <c r="A134" s="46"/>
      <c r="B134" s="51"/>
      <c r="C134" s="7"/>
      <c r="D134" s="7"/>
      <c r="E134" s="7"/>
      <c r="F134" s="30"/>
      <c r="G134" s="6"/>
      <c r="J134" s="36"/>
      <c r="K134" s="12"/>
      <c r="L134" s="12"/>
      <c r="M134" s="62"/>
      <c r="N134" s="13"/>
      <c r="O134" s="8"/>
      <c r="P134" s="13"/>
      <c r="Q134" s="13"/>
      <c r="R134" s="9"/>
      <c r="S134" s="9"/>
    </row>
    <row r="135" spans="1:19" x14ac:dyDescent="0.3">
      <c r="A135" s="46"/>
      <c r="B135" s="49"/>
      <c r="C135" s="10"/>
      <c r="D135" s="10"/>
      <c r="E135" s="10"/>
      <c r="F135" s="28"/>
      <c r="G135" s="6"/>
      <c r="J135" s="36"/>
      <c r="K135" s="12"/>
      <c r="L135" s="12"/>
      <c r="M135" s="62"/>
      <c r="N135" s="13"/>
      <c r="O135" s="8"/>
      <c r="P135" s="13"/>
      <c r="Q135" s="13"/>
      <c r="R135" s="9"/>
      <c r="S135" s="9"/>
    </row>
    <row r="136" spans="1:19" ht="14.55" thickBot="1" x14ac:dyDescent="0.35">
      <c r="A136" s="47"/>
      <c r="B136" s="52"/>
      <c r="C136" s="31"/>
      <c r="D136" s="31"/>
      <c r="E136" s="31"/>
      <c r="F136" s="32"/>
      <c r="G136" s="6"/>
      <c r="J136" s="36"/>
      <c r="K136" s="12"/>
      <c r="L136" s="12"/>
      <c r="M136" s="62"/>
      <c r="N136" s="13"/>
      <c r="O136" s="8"/>
      <c r="P136" s="13"/>
      <c r="Q136" s="13"/>
      <c r="R136" s="9"/>
      <c r="S136" s="9"/>
    </row>
    <row r="137" spans="1:19" ht="14.55" thickTop="1" x14ac:dyDescent="0.3">
      <c r="A137" s="45"/>
      <c r="B137" s="48"/>
      <c r="C137" s="26"/>
      <c r="D137" s="26"/>
      <c r="E137" s="26"/>
      <c r="F137" s="27"/>
      <c r="G137" s="6"/>
      <c r="J137" s="36"/>
      <c r="K137" s="12"/>
      <c r="L137" s="12"/>
      <c r="M137" s="62"/>
      <c r="N137" s="13"/>
      <c r="O137" s="8"/>
      <c r="P137" s="13"/>
      <c r="Q137" s="13"/>
      <c r="R137" s="9"/>
      <c r="S137" s="9"/>
    </row>
    <row r="138" spans="1:19" x14ac:dyDescent="0.3">
      <c r="A138" s="46"/>
      <c r="B138" s="49"/>
      <c r="C138" s="10"/>
      <c r="D138" s="10"/>
      <c r="E138" s="10"/>
      <c r="F138" s="28"/>
      <c r="G138" s="6"/>
      <c r="J138" s="36"/>
      <c r="K138" s="12"/>
      <c r="L138" s="12"/>
      <c r="M138" s="62"/>
      <c r="N138" s="13"/>
      <c r="O138" s="8"/>
      <c r="P138" s="13"/>
      <c r="Q138" s="13"/>
      <c r="R138" s="9"/>
      <c r="S138" s="9"/>
    </row>
    <row r="139" spans="1:19" ht="14.55" thickBot="1" x14ac:dyDescent="0.35">
      <c r="A139" s="46"/>
      <c r="B139" s="50"/>
      <c r="C139" s="11"/>
      <c r="D139" s="11"/>
      <c r="E139" s="11"/>
      <c r="F139" s="29"/>
      <c r="G139" s="6"/>
      <c r="J139" s="36"/>
      <c r="K139" s="12"/>
      <c r="L139" s="12"/>
      <c r="M139" s="62"/>
      <c r="N139" s="13"/>
      <c r="O139" s="8"/>
      <c r="P139" s="13"/>
      <c r="Q139" s="13"/>
      <c r="R139" s="9"/>
      <c r="S139" s="9"/>
    </row>
    <row r="140" spans="1:19" x14ac:dyDescent="0.3">
      <c r="A140" s="46"/>
      <c r="B140" s="51"/>
      <c r="C140" s="7"/>
      <c r="D140" s="7"/>
      <c r="E140" s="7"/>
      <c r="F140" s="30"/>
      <c r="G140" s="6"/>
      <c r="J140" s="36"/>
      <c r="K140" s="12"/>
      <c r="L140" s="12"/>
      <c r="M140" s="62"/>
      <c r="N140" s="13"/>
      <c r="O140" s="8"/>
      <c r="P140" s="13"/>
      <c r="Q140" s="13"/>
      <c r="R140" s="9"/>
      <c r="S140" s="9"/>
    </row>
    <row r="141" spans="1:19" x14ac:dyDescent="0.3">
      <c r="A141" s="46"/>
      <c r="B141" s="49"/>
      <c r="C141" s="10"/>
      <c r="D141" s="10"/>
      <c r="E141" s="10"/>
      <c r="F141" s="28"/>
      <c r="G141" s="6"/>
      <c r="J141" s="36"/>
      <c r="K141" s="12"/>
      <c r="L141" s="12"/>
      <c r="M141" s="62"/>
      <c r="N141" s="13"/>
      <c r="O141" s="8"/>
      <c r="P141" s="13"/>
      <c r="Q141" s="13"/>
      <c r="R141" s="9"/>
      <c r="S141" s="9"/>
    </row>
    <row r="142" spans="1:19" ht="14.55" thickBot="1" x14ac:dyDescent="0.35">
      <c r="A142" s="46"/>
      <c r="B142" s="50"/>
      <c r="C142" s="11"/>
      <c r="D142" s="11"/>
      <c r="E142" s="11"/>
      <c r="F142" s="29"/>
      <c r="G142" s="6"/>
      <c r="J142" s="36"/>
      <c r="K142" s="12"/>
      <c r="L142" s="12"/>
      <c r="M142" s="62"/>
      <c r="N142" s="13"/>
      <c r="O142" s="8"/>
      <c r="P142" s="13"/>
      <c r="Q142" s="13"/>
      <c r="R142" s="9"/>
      <c r="S142" s="9"/>
    </row>
    <row r="143" spans="1:19" x14ac:dyDescent="0.3">
      <c r="A143" s="46"/>
      <c r="B143" s="51"/>
      <c r="C143" s="7"/>
      <c r="D143" s="7"/>
      <c r="E143" s="7"/>
      <c r="F143" s="30"/>
      <c r="G143" s="6"/>
      <c r="J143" s="36"/>
      <c r="K143" s="12"/>
      <c r="L143" s="12"/>
      <c r="M143" s="62"/>
      <c r="N143" s="13"/>
      <c r="O143" s="8"/>
      <c r="P143" s="13"/>
      <c r="Q143" s="13"/>
      <c r="R143" s="9"/>
      <c r="S143" s="9"/>
    </row>
    <row r="144" spans="1:19" x14ac:dyDescent="0.3">
      <c r="A144" s="46"/>
      <c r="B144" s="49"/>
      <c r="C144" s="10"/>
      <c r="D144" s="10"/>
      <c r="E144" s="10"/>
      <c r="F144" s="28"/>
      <c r="G144" s="6"/>
      <c r="J144" s="36"/>
      <c r="K144" s="12"/>
      <c r="L144" s="12"/>
      <c r="M144" s="62"/>
      <c r="N144" s="13"/>
      <c r="O144" s="8"/>
      <c r="P144" s="13"/>
      <c r="Q144" s="13"/>
      <c r="R144" s="9"/>
      <c r="S144" s="9"/>
    </row>
    <row r="145" spans="1:19" ht="14.55" thickBot="1" x14ac:dyDescent="0.35">
      <c r="A145" s="47"/>
      <c r="B145" s="52"/>
      <c r="C145" s="31"/>
      <c r="D145" s="31"/>
      <c r="E145" s="31"/>
      <c r="F145" s="32"/>
      <c r="G145" s="6"/>
      <c r="J145" s="36"/>
      <c r="K145" s="12"/>
      <c r="L145" s="12"/>
      <c r="M145" s="62"/>
      <c r="N145" s="13"/>
      <c r="O145" s="8"/>
      <c r="P145" s="13"/>
      <c r="Q145" s="13"/>
      <c r="R145" s="9"/>
      <c r="S145" s="9"/>
    </row>
    <row r="146" spans="1:19" ht="14.55" thickTop="1" x14ac:dyDescent="0.3">
      <c r="A146" s="45"/>
      <c r="B146" s="48"/>
      <c r="C146" s="26"/>
      <c r="D146" s="26"/>
      <c r="E146" s="26"/>
      <c r="F146" s="27"/>
      <c r="G146" s="6"/>
      <c r="J146" s="36"/>
      <c r="K146" s="12"/>
      <c r="L146" s="12"/>
      <c r="M146" s="62"/>
      <c r="N146" s="13"/>
      <c r="O146" s="8"/>
      <c r="P146" s="13"/>
      <c r="Q146" s="13"/>
      <c r="R146" s="9"/>
      <c r="S146" s="9"/>
    </row>
    <row r="147" spans="1:19" x14ac:dyDescent="0.3">
      <c r="A147" s="46"/>
      <c r="B147" s="49"/>
      <c r="C147" s="10"/>
      <c r="D147" s="10"/>
      <c r="E147" s="10"/>
      <c r="F147" s="28"/>
      <c r="G147" s="6"/>
      <c r="J147" s="36"/>
      <c r="K147" s="12"/>
      <c r="L147" s="12"/>
      <c r="M147" s="62"/>
      <c r="N147" s="13"/>
      <c r="O147" s="8"/>
      <c r="P147" s="13"/>
      <c r="Q147" s="13"/>
      <c r="R147" s="9"/>
      <c r="S147" s="9"/>
    </row>
    <row r="148" spans="1:19" ht="14.55" thickBot="1" x14ac:dyDescent="0.35">
      <c r="A148" s="46"/>
      <c r="B148" s="50"/>
      <c r="C148" s="11"/>
      <c r="D148" s="11"/>
      <c r="E148" s="11"/>
      <c r="F148" s="29"/>
      <c r="G148" s="6"/>
      <c r="J148" s="36"/>
      <c r="K148" s="12"/>
      <c r="L148" s="12"/>
      <c r="M148" s="62"/>
      <c r="N148" s="13"/>
      <c r="O148" s="8"/>
      <c r="P148" s="13"/>
      <c r="Q148" s="13"/>
      <c r="R148" s="9"/>
      <c r="S148" s="9"/>
    </row>
    <row r="149" spans="1:19" x14ac:dyDescent="0.3">
      <c r="A149" s="46"/>
      <c r="B149" s="51"/>
      <c r="C149" s="7"/>
      <c r="D149" s="7"/>
      <c r="E149" s="7"/>
      <c r="F149" s="30"/>
      <c r="G149" s="6"/>
      <c r="J149" s="36"/>
      <c r="K149" s="12"/>
      <c r="L149" s="12"/>
      <c r="M149" s="62"/>
      <c r="N149" s="13"/>
      <c r="O149" s="8"/>
      <c r="P149" s="13"/>
      <c r="Q149" s="13"/>
      <c r="R149" s="9"/>
      <c r="S149" s="9"/>
    </row>
    <row r="150" spans="1:19" x14ac:dyDescent="0.3">
      <c r="A150" s="46"/>
      <c r="B150" s="49"/>
      <c r="C150" s="10"/>
      <c r="D150" s="10"/>
      <c r="E150" s="10"/>
      <c r="F150" s="28"/>
      <c r="G150" s="6"/>
      <c r="J150" s="36"/>
      <c r="K150" s="12"/>
      <c r="L150" s="12"/>
      <c r="M150" s="62"/>
      <c r="N150" s="13"/>
      <c r="O150" s="8"/>
      <c r="P150" s="13"/>
      <c r="Q150" s="13"/>
      <c r="R150" s="9"/>
      <c r="S150" s="9"/>
    </row>
    <row r="151" spans="1:19" ht="14.55" thickBot="1" x14ac:dyDescent="0.35">
      <c r="A151" s="46"/>
      <c r="B151" s="50"/>
      <c r="C151" s="11"/>
      <c r="D151" s="11"/>
      <c r="E151" s="11"/>
      <c r="F151" s="29"/>
      <c r="G151" s="6"/>
      <c r="J151" s="36"/>
      <c r="K151" s="12"/>
      <c r="L151" s="12"/>
      <c r="M151" s="62"/>
      <c r="N151" s="13"/>
      <c r="O151" s="8"/>
      <c r="P151" s="13"/>
      <c r="Q151" s="13"/>
      <c r="R151" s="9"/>
      <c r="S151" s="9"/>
    </row>
    <row r="152" spans="1:19" x14ac:dyDescent="0.3">
      <c r="A152" s="46"/>
      <c r="B152" s="51"/>
      <c r="C152" s="7"/>
      <c r="D152" s="7"/>
      <c r="E152" s="7"/>
      <c r="F152" s="30"/>
      <c r="G152" s="6"/>
      <c r="J152" s="36"/>
      <c r="K152" s="12"/>
      <c r="L152" s="12"/>
      <c r="M152" s="62"/>
      <c r="N152" s="13"/>
      <c r="O152" s="8"/>
      <c r="P152" s="13"/>
      <c r="Q152" s="13"/>
      <c r="R152" s="9"/>
      <c r="S152" s="9"/>
    </row>
    <row r="153" spans="1:19" x14ac:dyDescent="0.3">
      <c r="A153" s="46"/>
      <c r="B153" s="49"/>
      <c r="C153" s="10"/>
      <c r="D153" s="10"/>
      <c r="E153" s="10"/>
      <c r="F153" s="28"/>
      <c r="G153" s="6"/>
      <c r="J153" s="36"/>
      <c r="K153" s="12"/>
      <c r="L153" s="12"/>
      <c r="M153" s="62"/>
      <c r="N153" s="13"/>
      <c r="O153" s="8"/>
      <c r="P153" s="13"/>
      <c r="Q153" s="13"/>
      <c r="R153" s="9"/>
      <c r="S153" s="9"/>
    </row>
    <row r="154" spans="1:19" ht="14.55" thickBot="1" x14ac:dyDescent="0.35">
      <c r="A154" s="47"/>
      <c r="B154" s="52"/>
      <c r="C154" s="31"/>
      <c r="D154" s="31"/>
      <c r="E154" s="31"/>
      <c r="F154" s="32"/>
      <c r="G154" s="6"/>
      <c r="J154" s="36"/>
      <c r="K154" s="12"/>
      <c r="L154" s="12"/>
      <c r="M154" s="62"/>
      <c r="N154" s="13"/>
      <c r="O154" s="8"/>
      <c r="P154" s="13"/>
      <c r="Q154" s="13"/>
      <c r="R154" s="9"/>
      <c r="S154" s="9"/>
    </row>
    <row r="155" spans="1:19" ht="14.55" thickTop="1" x14ac:dyDescent="0.3">
      <c r="A155" s="45"/>
      <c r="B155" s="48"/>
      <c r="C155" s="26"/>
      <c r="D155" s="33"/>
      <c r="E155" s="33"/>
      <c r="F155" s="27"/>
      <c r="G155" s="6"/>
      <c r="J155" s="36"/>
      <c r="K155" s="12"/>
      <c r="L155" s="12"/>
      <c r="M155" s="62"/>
      <c r="N155" s="13"/>
      <c r="O155" s="8"/>
      <c r="P155" s="13"/>
      <c r="Q155" s="13"/>
      <c r="R155" s="9"/>
      <c r="S155" s="9"/>
    </row>
    <row r="156" spans="1:19" x14ac:dyDescent="0.3">
      <c r="A156" s="46"/>
      <c r="B156" s="49"/>
      <c r="C156" s="10"/>
      <c r="D156" s="10"/>
      <c r="E156" s="10"/>
      <c r="F156" s="28"/>
      <c r="G156" s="6"/>
      <c r="J156" s="36"/>
      <c r="K156" s="12"/>
      <c r="L156" s="12"/>
      <c r="M156" s="62"/>
      <c r="N156" s="13"/>
      <c r="O156" s="8"/>
      <c r="P156" s="13"/>
      <c r="Q156" s="13"/>
      <c r="R156" s="9"/>
      <c r="S156" s="9"/>
    </row>
    <row r="157" spans="1:19" ht="14.55" thickBot="1" x14ac:dyDescent="0.35">
      <c r="A157" s="46"/>
      <c r="B157" s="50"/>
      <c r="C157" s="11"/>
      <c r="D157" s="11"/>
      <c r="E157" s="11"/>
      <c r="F157" s="29"/>
      <c r="G157" s="6"/>
      <c r="J157" s="36"/>
      <c r="K157" s="12"/>
      <c r="L157" s="12"/>
      <c r="M157" s="62"/>
      <c r="N157" s="13"/>
      <c r="O157" s="8"/>
      <c r="P157" s="13"/>
      <c r="Q157" s="13"/>
      <c r="R157" s="9"/>
      <c r="S157" s="9"/>
    </row>
    <row r="158" spans="1:19" x14ac:dyDescent="0.3">
      <c r="A158" s="46"/>
      <c r="B158" s="51"/>
      <c r="C158" s="7"/>
      <c r="D158" s="16"/>
      <c r="E158" s="16"/>
      <c r="F158" s="30"/>
      <c r="G158" s="6"/>
      <c r="J158" s="36"/>
      <c r="K158" s="12"/>
      <c r="L158" s="12"/>
      <c r="M158" s="62"/>
      <c r="N158" s="13"/>
      <c r="O158" s="8"/>
      <c r="P158" s="13"/>
      <c r="Q158" s="13"/>
      <c r="R158" s="9"/>
      <c r="S158" s="9"/>
    </row>
    <row r="159" spans="1:19" x14ac:dyDescent="0.3">
      <c r="A159" s="46"/>
      <c r="B159" s="49"/>
      <c r="C159" s="10"/>
      <c r="D159" s="10"/>
      <c r="E159" s="10"/>
      <c r="F159" s="28"/>
      <c r="G159" s="6"/>
      <c r="J159" s="36"/>
      <c r="K159" s="12"/>
      <c r="L159" s="12"/>
      <c r="M159" s="62"/>
      <c r="N159" s="13"/>
      <c r="O159" s="8"/>
      <c r="P159" s="13"/>
      <c r="Q159" s="13"/>
      <c r="R159" s="9"/>
      <c r="S159" s="9"/>
    </row>
    <row r="160" spans="1:19" ht="14.55" thickBot="1" x14ac:dyDescent="0.35">
      <c r="A160" s="46"/>
      <c r="B160" s="50"/>
      <c r="C160" s="11"/>
      <c r="D160" s="11"/>
      <c r="E160" s="11"/>
      <c r="F160" s="29"/>
      <c r="G160" s="6"/>
      <c r="J160" s="36"/>
      <c r="K160" s="12"/>
      <c r="L160" s="12"/>
      <c r="M160" s="62"/>
      <c r="N160" s="13"/>
      <c r="O160" s="8"/>
      <c r="P160" s="13"/>
      <c r="Q160" s="13"/>
      <c r="R160" s="9"/>
      <c r="S160" s="9"/>
    </row>
    <row r="161" spans="1:19" x14ac:dyDescent="0.3">
      <c r="A161" s="46"/>
      <c r="B161" s="51"/>
      <c r="C161" s="7"/>
      <c r="D161" s="7"/>
      <c r="E161" s="7"/>
      <c r="F161" s="30"/>
      <c r="G161" s="6"/>
      <c r="J161" s="36"/>
      <c r="K161" s="12"/>
      <c r="L161" s="12"/>
      <c r="M161" s="62"/>
      <c r="N161" s="13"/>
      <c r="O161" s="8"/>
      <c r="P161" s="13"/>
      <c r="Q161" s="13"/>
      <c r="R161" s="9"/>
      <c r="S161" s="9"/>
    </row>
    <row r="162" spans="1:19" x14ac:dyDescent="0.3">
      <c r="A162" s="46"/>
      <c r="B162" s="49"/>
      <c r="C162" s="10"/>
      <c r="D162" s="10"/>
      <c r="E162" s="10"/>
      <c r="F162" s="28"/>
      <c r="G162" s="6"/>
      <c r="J162" s="36"/>
      <c r="K162" s="12"/>
      <c r="L162" s="12"/>
      <c r="M162" s="62"/>
      <c r="N162" s="13"/>
      <c r="O162" s="8"/>
      <c r="P162" s="13"/>
      <c r="Q162" s="13"/>
      <c r="R162" s="9"/>
      <c r="S162" s="9"/>
    </row>
    <row r="163" spans="1:19" ht="14.55" thickBot="1" x14ac:dyDescent="0.35">
      <c r="A163" s="47"/>
      <c r="B163" s="52"/>
      <c r="C163" s="31"/>
      <c r="D163" s="31"/>
      <c r="E163" s="31"/>
      <c r="F163" s="32"/>
      <c r="G163" s="6"/>
      <c r="J163" s="36"/>
      <c r="K163" s="12"/>
      <c r="L163" s="12"/>
      <c r="M163" s="62"/>
      <c r="N163" s="13"/>
      <c r="O163" s="8"/>
      <c r="P163" s="13"/>
      <c r="Q163" s="13"/>
      <c r="R163" s="9"/>
      <c r="S163" s="9"/>
    </row>
    <row r="164" spans="1:19" ht="14.55" thickTop="1" x14ac:dyDescent="0.3">
      <c r="A164" s="45"/>
      <c r="B164" s="48"/>
      <c r="C164" s="26"/>
      <c r="D164" s="26"/>
      <c r="E164" s="26"/>
      <c r="F164" s="27"/>
      <c r="G164" s="6"/>
      <c r="J164" s="36"/>
      <c r="K164" s="12"/>
      <c r="L164" s="12"/>
      <c r="M164" s="62"/>
      <c r="N164" s="13"/>
      <c r="O164" s="8"/>
      <c r="P164" s="17"/>
      <c r="Q164" s="17"/>
      <c r="R164" s="9"/>
      <c r="S164" s="9"/>
    </row>
    <row r="165" spans="1:19" x14ac:dyDescent="0.3">
      <c r="A165" s="46"/>
      <c r="B165" s="49"/>
      <c r="C165" s="10"/>
      <c r="D165" s="10"/>
      <c r="E165" s="10"/>
      <c r="F165" s="28"/>
      <c r="G165" s="6"/>
      <c r="J165" s="36"/>
      <c r="K165" s="12"/>
      <c r="L165" s="12"/>
      <c r="M165" s="62"/>
      <c r="N165" s="13"/>
      <c r="O165" s="8"/>
      <c r="P165" s="17"/>
      <c r="Q165" s="17"/>
      <c r="R165" s="9"/>
      <c r="S165" s="9"/>
    </row>
    <row r="166" spans="1:19" ht="14.55" thickBot="1" x14ac:dyDescent="0.35">
      <c r="A166" s="46"/>
      <c r="B166" s="50"/>
      <c r="C166" s="11"/>
      <c r="D166" s="11"/>
      <c r="E166" s="11"/>
      <c r="F166" s="29"/>
      <c r="G166" s="6"/>
      <c r="J166" s="36"/>
      <c r="K166" s="12"/>
      <c r="L166" s="12"/>
      <c r="M166" s="62"/>
      <c r="N166" s="13"/>
      <c r="O166" s="8"/>
      <c r="P166" s="17"/>
      <c r="Q166" s="17"/>
      <c r="R166" s="9"/>
      <c r="S166" s="9"/>
    </row>
    <row r="167" spans="1:19" x14ac:dyDescent="0.3">
      <c r="A167" s="46"/>
      <c r="B167" s="51"/>
      <c r="C167" s="7"/>
      <c r="D167" s="7"/>
      <c r="E167" s="7"/>
      <c r="F167" s="30"/>
      <c r="G167" s="6"/>
      <c r="J167" s="36"/>
      <c r="K167" s="12"/>
      <c r="L167" s="12"/>
      <c r="M167" s="62"/>
      <c r="N167" s="13"/>
      <c r="O167" s="8"/>
      <c r="P167" s="17"/>
      <c r="Q167" s="17"/>
      <c r="R167" s="9"/>
      <c r="S167" s="9"/>
    </row>
    <row r="168" spans="1:19" x14ac:dyDescent="0.3">
      <c r="A168" s="46"/>
      <c r="B168" s="49"/>
      <c r="C168" s="10"/>
      <c r="D168" s="10"/>
      <c r="E168" s="10"/>
      <c r="F168" s="28"/>
      <c r="G168" s="6"/>
      <c r="J168" s="36"/>
      <c r="K168" s="12"/>
      <c r="L168" s="12"/>
      <c r="M168" s="62"/>
      <c r="N168" s="13"/>
      <c r="O168" s="8"/>
      <c r="P168" s="17"/>
      <c r="Q168" s="17"/>
      <c r="R168" s="9"/>
      <c r="S168" s="9"/>
    </row>
    <row r="169" spans="1:19" ht="14.55" thickBot="1" x14ac:dyDescent="0.35">
      <c r="A169" s="46"/>
      <c r="B169" s="50"/>
      <c r="C169" s="11"/>
      <c r="D169" s="11"/>
      <c r="E169" s="11"/>
      <c r="F169" s="29"/>
      <c r="G169" s="6"/>
      <c r="J169" s="36"/>
      <c r="K169" s="12"/>
      <c r="L169" s="12"/>
      <c r="M169" s="62"/>
      <c r="N169" s="13"/>
      <c r="O169" s="8"/>
      <c r="P169" s="17"/>
      <c r="Q169" s="17"/>
      <c r="R169" s="9"/>
      <c r="S169" s="9"/>
    </row>
    <row r="170" spans="1:19" x14ac:dyDescent="0.3">
      <c r="A170" s="46"/>
      <c r="B170" s="51"/>
      <c r="C170" s="7"/>
      <c r="D170" s="7"/>
      <c r="E170" s="7"/>
      <c r="F170" s="30"/>
      <c r="G170" s="6"/>
      <c r="J170" s="36"/>
      <c r="K170" s="12"/>
      <c r="L170" s="12"/>
      <c r="M170" s="62"/>
      <c r="N170" s="13"/>
      <c r="O170" s="8"/>
      <c r="P170" s="17"/>
      <c r="Q170" s="17"/>
      <c r="R170" s="9"/>
      <c r="S170" s="9"/>
    </row>
    <row r="171" spans="1:19" x14ac:dyDescent="0.3">
      <c r="A171" s="46"/>
      <c r="B171" s="49"/>
      <c r="C171" s="10"/>
      <c r="D171" s="10"/>
      <c r="E171" s="10"/>
      <c r="F171" s="28"/>
      <c r="G171" s="6"/>
      <c r="J171" s="36"/>
      <c r="K171" s="12"/>
      <c r="L171" s="12"/>
      <c r="M171" s="62"/>
      <c r="N171" s="13"/>
      <c r="O171" s="8"/>
      <c r="P171" s="17"/>
      <c r="Q171" s="17"/>
      <c r="R171" s="9"/>
      <c r="S171" s="9"/>
    </row>
    <row r="172" spans="1:19" ht="14.55" thickBot="1" x14ac:dyDescent="0.35">
      <c r="A172" s="47"/>
      <c r="B172" s="52"/>
      <c r="C172" s="31"/>
      <c r="D172" s="31"/>
      <c r="E172" s="31"/>
      <c r="F172" s="32"/>
      <c r="G172" s="6"/>
      <c r="J172" s="36"/>
      <c r="K172" s="12"/>
      <c r="L172" s="12"/>
      <c r="M172" s="62"/>
      <c r="N172" s="13"/>
      <c r="O172" s="8"/>
      <c r="P172" s="17"/>
      <c r="Q172" s="17"/>
      <c r="R172" s="9"/>
      <c r="S172" s="9"/>
    </row>
    <row r="173" spans="1:19" ht="14.55" thickTop="1" x14ac:dyDescent="0.3">
      <c r="A173" s="45"/>
      <c r="B173" s="48"/>
      <c r="C173" s="26"/>
      <c r="D173" s="26"/>
      <c r="E173" s="26"/>
      <c r="F173" s="27"/>
      <c r="G173" s="6"/>
      <c r="J173" s="17"/>
      <c r="K173" s="18"/>
      <c r="L173" s="18"/>
      <c r="M173" s="63"/>
      <c r="O173" s="8"/>
      <c r="P173" s="17"/>
      <c r="Q173" s="17"/>
      <c r="R173" s="9"/>
      <c r="S173" s="9"/>
    </row>
    <row r="174" spans="1:19" x14ac:dyDescent="0.3">
      <c r="A174" s="46"/>
      <c r="B174" s="49"/>
      <c r="C174" s="10"/>
      <c r="D174" s="10"/>
      <c r="E174" s="10"/>
      <c r="F174" s="28"/>
      <c r="G174" s="6"/>
      <c r="J174" s="17"/>
      <c r="K174" s="18"/>
      <c r="L174" s="18"/>
      <c r="M174" s="63"/>
      <c r="O174" s="8"/>
      <c r="P174" s="17"/>
      <c r="Q174" s="17"/>
      <c r="R174" s="9"/>
      <c r="S174" s="9"/>
    </row>
    <row r="175" spans="1:19" ht="14.55" thickBot="1" x14ac:dyDescent="0.35">
      <c r="A175" s="46"/>
      <c r="B175" s="50"/>
      <c r="C175" s="11"/>
      <c r="D175" s="11"/>
      <c r="E175" s="11"/>
      <c r="F175" s="29"/>
      <c r="G175" s="6"/>
      <c r="J175" s="17"/>
      <c r="K175" s="18"/>
      <c r="L175" s="18"/>
      <c r="M175" s="63"/>
      <c r="O175" s="8"/>
      <c r="P175" s="17"/>
      <c r="Q175" s="17"/>
      <c r="R175" s="9"/>
      <c r="S175" s="9"/>
    </row>
    <row r="176" spans="1:19" x14ac:dyDescent="0.3">
      <c r="A176" s="46"/>
      <c r="B176" s="51"/>
      <c r="C176" s="7"/>
      <c r="D176" s="7"/>
      <c r="E176" s="7"/>
      <c r="F176" s="30"/>
      <c r="G176" s="6"/>
      <c r="J176" s="17"/>
      <c r="K176" s="18"/>
      <c r="L176" s="18"/>
      <c r="M176" s="63"/>
      <c r="O176" s="8"/>
      <c r="P176" s="17"/>
      <c r="Q176" s="17"/>
    </row>
    <row r="177" spans="1:17" x14ac:dyDescent="0.3">
      <c r="A177" s="46"/>
      <c r="B177" s="49"/>
      <c r="C177" s="10"/>
      <c r="D177" s="10"/>
      <c r="E177" s="10"/>
      <c r="F177" s="28"/>
      <c r="G177" s="6"/>
      <c r="J177" s="17"/>
      <c r="K177" s="18"/>
      <c r="L177" s="18"/>
      <c r="M177" s="63"/>
      <c r="O177" s="8"/>
      <c r="P177" s="17"/>
      <c r="Q177" s="17"/>
    </row>
    <row r="178" spans="1:17" ht="14.55" thickBot="1" x14ac:dyDescent="0.35">
      <c r="A178" s="46"/>
      <c r="B178" s="50"/>
      <c r="C178" s="11"/>
      <c r="D178" s="11"/>
      <c r="E178" s="11"/>
      <c r="F178" s="29"/>
      <c r="G178" s="6"/>
      <c r="J178" s="17"/>
      <c r="K178" s="18"/>
      <c r="L178" s="18"/>
      <c r="M178" s="63"/>
      <c r="O178" s="8"/>
      <c r="P178" s="17"/>
      <c r="Q178" s="17"/>
    </row>
    <row r="179" spans="1:17" x14ac:dyDescent="0.3">
      <c r="A179" s="46"/>
      <c r="B179" s="51"/>
      <c r="C179" s="7"/>
      <c r="D179" s="7"/>
      <c r="E179" s="7"/>
      <c r="F179" s="30"/>
      <c r="G179" s="6"/>
      <c r="J179" s="17"/>
      <c r="K179" s="18"/>
      <c r="L179" s="18"/>
      <c r="M179" s="63"/>
      <c r="O179" s="8"/>
      <c r="P179" s="17"/>
      <c r="Q179" s="17"/>
    </row>
    <row r="180" spans="1:17" x14ac:dyDescent="0.3">
      <c r="A180" s="46"/>
      <c r="B180" s="49"/>
      <c r="C180" s="10"/>
      <c r="D180" s="10"/>
      <c r="E180" s="10"/>
      <c r="F180" s="28"/>
      <c r="G180" s="6"/>
      <c r="J180" s="17"/>
      <c r="K180" s="18"/>
      <c r="L180" s="18"/>
      <c r="M180" s="63"/>
      <c r="O180" s="8"/>
      <c r="P180" s="17"/>
      <c r="Q180" s="17"/>
    </row>
    <row r="181" spans="1:17" ht="14.55" thickBot="1" x14ac:dyDescent="0.35">
      <c r="A181" s="47"/>
      <c r="B181" s="52"/>
      <c r="C181" s="31"/>
      <c r="D181" s="31"/>
      <c r="E181" s="31"/>
      <c r="F181" s="32"/>
      <c r="G181" s="6"/>
      <c r="J181" s="17"/>
      <c r="K181" s="18"/>
      <c r="L181" s="18"/>
      <c r="M181" s="63"/>
      <c r="O181" s="8"/>
      <c r="P181" s="17"/>
      <c r="Q181" s="17"/>
    </row>
    <row r="182" spans="1:17" ht="14.55" thickTop="1" x14ac:dyDescent="0.3">
      <c r="G182" s="24"/>
      <c r="O182" s="8"/>
    </row>
  </sheetData>
  <mergeCells count="57">
    <mergeCell ref="N1:O1"/>
    <mergeCell ref="X1:Y1"/>
    <mergeCell ref="V1:W1"/>
    <mergeCell ref="T1:U1"/>
    <mergeCell ref="R1:S1"/>
    <mergeCell ref="P1:Q1"/>
    <mergeCell ref="A2:A10"/>
    <mergeCell ref="B2:B4"/>
    <mergeCell ref="B5:B7"/>
    <mergeCell ref="B8:B10"/>
    <mergeCell ref="A11:A19"/>
    <mergeCell ref="B11:B13"/>
    <mergeCell ref="B14:B16"/>
    <mergeCell ref="B17:B19"/>
    <mergeCell ref="A20:A28"/>
    <mergeCell ref="B20:B22"/>
    <mergeCell ref="B23:B25"/>
    <mergeCell ref="B26:B28"/>
    <mergeCell ref="A29:A37"/>
    <mergeCell ref="B29:B31"/>
    <mergeCell ref="B32:B34"/>
    <mergeCell ref="B35:B37"/>
    <mergeCell ref="A38:A46"/>
    <mergeCell ref="B38:B40"/>
    <mergeCell ref="B41:B43"/>
    <mergeCell ref="B44:B46"/>
    <mergeCell ref="A47:A55"/>
    <mergeCell ref="B47:B49"/>
    <mergeCell ref="B50:B52"/>
    <mergeCell ref="B53:B55"/>
    <mergeCell ref="A56:A64"/>
    <mergeCell ref="B56:B58"/>
    <mergeCell ref="B59:B61"/>
    <mergeCell ref="B62:B64"/>
    <mergeCell ref="A65:A73"/>
    <mergeCell ref="B65:B67"/>
    <mergeCell ref="B68:B70"/>
    <mergeCell ref="B71:B73"/>
    <mergeCell ref="A74:A82"/>
    <mergeCell ref="B74:B76"/>
    <mergeCell ref="B77:B79"/>
    <mergeCell ref="B80:B82"/>
    <mergeCell ref="A83:A91"/>
    <mergeCell ref="B83:B85"/>
    <mergeCell ref="B86:B88"/>
    <mergeCell ref="B89:B91"/>
    <mergeCell ref="B110:B112"/>
    <mergeCell ref="B113:B115"/>
    <mergeCell ref="B116:B118"/>
    <mergeCell ref="A92:A100"/>
    <mergeCell ref="B92:B94"/>
    <mergeCell ref="B95:B97"/>
    <mergeCell ref="B98:B100"/>
    <mergeCell ref="A101:A109"/>
    <mergeCell ref="B101:B103"/>
    <mergeCell ref="B104:B106"/>
    <mergeCell ref="B107:B109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DEE2-C21D-440B-BDB9-53185392F2C2}">
  <dimension ref="A1:Y182"/>
  <sheetViews>
    <sheetView topLeftCell="K21" zoomScale="72" zoomScaleNormal="115" workbookViewId="0">
      <selection activeCell="N4" sqref="N4:U6"/>
    </sheetView>
  </sheetViews>
  <sheetFormatPr defaultColWidth="9.19921875" defaultRowHeight="14" x14ac:dyDescent="0.3"/>
  <cols>
    <col min="1" max="1" width="10.69921875" style="19" customWidth="1"/>
    <col min="2" max="2" width="10.69921875" style="20" customWidth="1"/>
    <col min="3" max="3" width="12.69921875" style="21" bestFit="1" customWidth="1"/>
    <col min="4" max="4" width="20.296875" style="21" customWidth="1"/>
    <col min="5" max="5" width="21" style="21" customWidth="1"/>
    <col min="6" max="6" width="11.5" style="5" customWidth="1"/>
    <col min="7" max="7" width="11.5" style="25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6" customWidth="1"/>
    <col min="14" max="15" width="12.69921875" style="17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6" customWidth="1"/>
    <col min="23" max="23" width="11.5" style="6" customWidth="1"/>
    <col min="24" max="25" width="14.5" style="6" bestFit="1" customWidth="1"/>
    <col min="26" max="16384" width="9.19921875" style="6"/>
  </cols>
  <sheetData>
    <row r="1" spans="1:25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3" t="s">
        <v>10</v>
      </c>
      <c r="H1" s="22" t="s">
        <v>31</v>
      </c>
      <c r="I1" s="22" t="s">
        <v>32</v>
      </c>
      <c r="J1" s="22" t="s">
        <v>9</v>
      </c>
      <c r="K1" s="22" t="s">
        <v>33</v>
      </c>
      <c r="L1" s="22" t="s">
        <v>34</v>
      </c>
      <c r="M1" s="58"/>
      <c r="N1" s="86" t="s">
        <v>70</v>
      </c>
      <c r="O1" s="86"/>
      <c r="P1" s="71" t="s">
        <v>72</v>
      </c>
      <c r="Q1" s="71"/>
      <c r="R1" s="71" t="s">
        <v>73</v>
      </c>
      <c r="S1" s="71"/>
      <c r="T1" s="86" t="s">
        <v>74</v>
      </c>
      <c r="U1" s="86"/>
      <c r="V1" s="86" t="s">
        <v>71</v>
      </c>
      <c r="W1" s="86"/>
      <c r="X1" s="86" t="s">
        <v>75</v>
      </c>
      <c r="Y1" s="86"/>
    </row>
    <row r="2" spans="1:25" ht="15.75" customHeight="1" thickTop="1" x14ac:dyDescent="0.3">
      <c r="A2" s="77" t="s">
        <v>54</v>
      </c>
      <c r="B2" s="81">
        <v>1</v>
      </c>
      <c r="C2" s="26" t="s">
        <v>4</v>
      </c>
      <c r="D2" s="53"/>
      <c r="E2" s="53"/>
      <c r="F2" s="67" t="e">
        <f>(AVERAGEIF(D2:E2,"&gt;0",D2:E2))*10^3*100/8</f>
        <v>#DIV/0!</v>
      </c>
      <c r="G2" s="6"/>
      <c r="H2" s="5" t="s">
        <v>11</v>
      </c>
      <c r="J2" s="34"/>
      <c r="K2" s="37">
        <f t="array" ref="K2">IFERROR(INDEX($I$2:$I$81,SMALL(IF(ISNUMBER($I$2:$I$81),ROW($A$1:$A$80),""),ROW(A1))),"")</f>
        <v>9833333.333333334</v>
      </c>
      <c r="L2" s="37">
        <f t="array" ref="L2">IFERROR(INDEX($J$2:$J$81,SMALL(IF(ISNUMBER($J$2:$J$81),ROW($A$1:$A$80),""),ROW(A1))),"")</f>
        <v>1880547.3493994623</v>
      </c>
      <c r="M2" s="59" t="s">
        <v>51</v>
      </c>
      <c r="N2" s="55">
        <v>1</v>
      </c>
      <c r="O2" s="55">
        <v>2</v>
      </c>
      <c r="P2" s="6">
        <v>5</v>
      </c>
      <c r="Q2" s="6">
        <v>6</v>
      </c>
      <c r="R2" s="56">
        <v>7</v>
      </c>
      <c r="S2" s="57">
        <v>8</v>
      </c>
      <c r="T2">
        <v>9</v>
      </c>
      <c r="U2">
        <v>10</v>
      </c>
      <c r="V2">
        <v>3</v>
      </c>
      <c r="W2">
        <v>4</v>
      </c>
      <c r="X2">
        <v>11</v>
      </c>
      <c r="Y2">
        <v>12</v>
      </c>
    </row>
    <row r="3" spans="1:25" x14ac:dyDescent="0.3">
      <c r="A3" s="78"/>
      <c r="B3" s="82"/>
      <c r="C3" s="10" t="s">
        <v>2</v>
      </c>
      <c r="D3" s="10">
        <v>70</v>
      </c>
      <c r="E3" s="10">
        <v>68</v>
      </c>
      <c r="F3" s="68">
        <f>(AVERAGEIF(D3:E3,"&gt;0",D3:E3))*10^4*100/8</f>
        <v>8625000</v>
      </c>
      <c r="G3" s="6">
        <v>1</v>
      </c>
      <c r="H3" s="5">
        <f t="array" ref="H3">IFERROR(INDEX($F$2:$F$181,SMALL(IF($G$2:$G$181=1,ROW($A$1:$A$163),""),ROW(A1))),"")</f>
        <v>8625000</v>
      </c>
      <c r="J3" s="35"/>
      <c r="K3" s="37">
        <f t="array" ref="K3">IFERROR(INDEX($I$2:$I$81,SMALL(IF(ISNUMBER($I$2:$I$81),ROW($A$1:$A$80),""),ROW(A2))),"")</f>
        <v>679166.66666666663</v>
      </c>
      <c r="L3" s="37">
        <f t="array" ref="L3">IFERROR(INDEX($J$2:$J$81,SMALL(IF(ISNUMBER($J$2:$J$81),ROW($A$1:$A$80),""),ROW(A2))),"")</f>
        <v>330738.59894686221</v>
      </c>
      <c r="M3" s="59" t="s">
        <v>52</v>
      </c>
      <c r="N3" s="55">
        <v>1</v>
      </c>
      <c r="O3" s="55">
        <v>2</v>
      </c>
      <c r="P3" s="6">
        <v>5</v>
      </c>
      <c r="Q3" s="6">
        <v>6</v>
      </c>
      <c r="R3" s="56">
        <v>7</v>
      </c>
      <c r="S3" s="57">
        <v>8</v>
      </c>
      <c r="T3">
        <v>9</v>
      </c>
      <c r="U3">
        <v>10</v>
      </c>
      <c r="V3">
        <v>3</v>
      </c>
      <c r="W3">
        <v>4</v>
      </c>
      <c r="X3">
        <v>11</v>
      </c>
      <c r="Y3">
        <v>12</v>
      </c>
    </row>
    <row r="4" spans="1:25" ht="14.55" thickBot="1" x14ac:dyDescent="0.35">
      <c r="A4" s="78"/>
      <c r="B4" s="83"/>
      <c r="C4" s="11" t="s">
        <v>3</v>
      </c>
      <c r="D4" s="11">
        <v>5</v>
      </c>
      <c r="E4" s="11">
        <v>6</v>
      </c>
      <c r="F4" s="69">
        <f>(AVERAGEIF(D4:E4,"&gt;0",D4:E4))*10^5*100/8</f>
        <v>6875000</v>
      </c>
      <c r="G4" s="6"/>
      <c r="H4" s="5">
        <f t="array" ref="H4">IFERROR(INDEX($F$2:$F$181,SMALL(IF($G$2:$G$181=1,ROW($A$1:$A$163),""),ROW(A2))),"")</f>
        <v>8875000</v>
      </c>
      <c r="J4" s="35"/>
      <c r="K4" s="37">
        <f t="array" ref="K4">IFERROR(INDEX($I$2:$I$81,SMALL(IF(ISNUMBER($I$2:$I$81),ROW($A$1:$A$80),""),ROW(A3))),"")</f>
        <v>5208333.333333333</v>
      </c>
      <c r="L4" s="37">
        <f t="array" ref="L4">IFERROR(INDEX($J$2:$J$81,SMALL(IF(ISNUMBER($J$2:$J$81),ROW($A$1:$A$80),""),ROW(A3))),"")</f>
        <v>308305.1788947655</v>
      </c>
      <c r="M4" s="60"/>
      <c r="N4" s="8">
        <f t="array" ref="N4">IFERROR(INDEX($F$2:$F$181,SMALL(_xlfn.IFS($G$2:$G$181&lt;$N$2,"",$G$2:$G$181&gt;$N$3,"",ISNUMBER($G$2:$G$181),ROW($A$1:$A$180)),ROW(A1))),"")</f>
        <v>8625000</v>
      </c>
      <c r="O4" s="8">
        <f t="array" ref="O4">IFERROR(INDEX($F$2:$F$181,SMALL(_xlfn.IFS($G$2:$G$181&lt;$O$2,"",$G$2:$G$181&gt;$O$3,"",ISNUMBER($G$2:$G$181),ROW($A$1:$A$180)),ROW(A1))),"")</f>
        <v>1031250</v>
      </c>
      <c r="P4" s="8">
        <f t="array" ref="P4">IFERROR(INDEX($F$2:$F$181,SMALL(_xlfn.IFS($G$2:$G$181&lt;$P$2,"",$G$2:$G$181&gt;$P$3,"",ISNUMBER($G$2:$G$181),ROW($A$1:$A$180)),ROW(A1))),"")</f>
        <v>3812500</v>
      </c>
      <c r="Q4" s="8">
        <f t="array" ref="Q4">IFERROR(INDEX($F$2:$F$181,SMALL(_xlfn.IFS($G$2:$G$181&lt;$Q$2,"",$G$2:$G$181&gt;$Q$3,"",ISNUMBER($G$2:$G$181),ROW($A$1:$A$180)),ROW(A1))),"")</f>
        <v>62500</v>
      </c>
      <c r="R4" s="8">
        <f t="array" ref="R4">IFERROR(INDEX($F$2:$F$181,SMALL(_xlfn.IFS($G$2:$G$181&lt;$R$2,"",$G$2:$G$181&gt;$R$3,"",ISNUMBER($G$2:$G$181),ROW($A$1:$A$180)),ROW(A1))),"")</f>
        <v>5625000</v>
      </c>
      <c r="S4" s="9">
        <f t="array" ref="S4">IFERROR(INDEX($F$2:$F$181,SMALL(_xlfn.IFS($G$2:$G$181&lt;$S$2,"",$G$2:$G$181&gt;$S$3,"",ISNUMBER($G$2:$G$181),ROW($A$1:$A$180)),ROW(A1))),"")</f>
        <v>215000</v>
      </c>
      <c r="T4" s="5">
        <f t="array" ref="T4">IFERROR(INDEX($F$2:$F$181,SMALL(_xlfn.IFS($G$2:$G$181&lt;$T$2,"",$G$2:$G$181&gt;$T$3,"",ISNUMBER($G$2:$G$181),ROW($A$1:$A$180)),ROW(A1))),"")</f>
        <v>13125000</v>
      </c>
      <c r="U4" s="5" cm="1">
        <f t="array" ref="U4">IFERROR(INDEX($F$2:$F$181,SMALL(_xlfn.IFS($G$2:$G$181&lt;U$2,"",$G$2:$G$181&gt;U$3,"",ISNUMBER($G$2:$G$181),ROW($A$1:$A$180)),ROW(A1))),"")</f>
        <v>1275000</v>
      </c>
      <c r="V4" s="5" cm="1">
        <f t="array" ref="V4">IFERROR(INDEX($F$2:$F$181,SMALL(_xlfn.IFS($G$2:$G$181&lt;V$2,"",$G$2:$G$181&gt;V$3,"",ISNUMBER($G$2:$G$181),ROW($A$1:$A$180)),ROW(B1))),"")</f>
        <v>5000000</v>
      </c>
      <c r="W4" s="5" cm="1">
        <f t="array" ref="W4">IFERROR(INDEX($F$2:$F$181,SMALL(_xlfn.IFS($G$2:$G$181&lt;W$2,"",$G$2:$G$181&gt;W$3,"",ISNUMBER($G$2:$G$181),ROW($A$1:$A$180)),ROW(C1))),"")</f>
        <v>693750</v>
      </c>
      <c r="X4" s="5" cm="1">
        <f t="array" ref="X4">IFERROR(INDEX($F$2:$F$181,SMALL(_xlfn.IFS($G$2:$G$181&lt;X$2,"",$G$2:$G$181&gt;X$3,"",ISNUMBER($G$2:$G$181),ROW($A$1:$A$180)),ROW(D1))),"")</f>
        <v>3937500</v>
      </c>
      <c r="Y4" s="5" cm="1">
        <f t="array" ref="Y4">IFERROR(INDEX($F$2:$F$181,SMALL(_xlfn.IFS($G$2:$G$181&lt;Y$2,"",$G$2:$G$181&gt;Y$3,"",ISNUMBER($G$2:$G$181),ROW($A$1:$A$180)),ROW(E1))),"")</f>
        <v>425000</v>
      </c>
    </row>
    <row r="5" spans="1:25" ht="14.55" thickTop="1" x14ac:dyDescent="0.3">
      <c r="A5" s="78"/>
      <c r="B5" s="84">
        <v>2</v>
      </c>
      <c r="C5" s="7" t="s">
        <v>4</v>
      </c>
      <c r="D5" s="54"/>
      <c r="E5" s="54"/>
      <c r="F5" s="67" t="e">
        <f t="shared" ref="F5" si="0">(AVERAGEIF(D5:E5,"&gt;0",D5:E5))*10^3*100/8</f>
        <v>#DIV/0!</v>
      </c>
      <c r="G5" s="6"/>
      <c r="H5" s="5">
        <f t="array" ref="H5">IFERROR(INDEX($F$2:$F$181,SMALL(IF($G$2:$G$181=1,ROW($A$1:$A$163),""),ROW(A3))),"")</f>
        <v>12000000</v>
      </c>
      <c r="I5" s="5">
        <f>AVERAGE(H3:H5)</f>
        <v>9833333.333333334</v>
      </c>
      <c r="J5" s="35">
        <f>STDEV(H3:H5)</f>
        <v>1880547.3493994623</v>
      </c>
      <c r="K5" s="37">
        <f t="array" ref="K5">IFERROR(INDEX($I$2:$I$81,SMALL(IF(ISNUMBER($I$2:$I$81),ROW($A$1:$A$80),""),ROW(A4))),"")</f>
        <v>614583.33333333337</v>
      </c>
      <c r="L5" s="37">
        <f t="array" ref="L5">IFERROR(INDEX($J$2:$J$81,SMALL(IF(ISNUMBER($J$2:$J$81),ROW($A$1:$A$80),""),ROW(A4))),"")</f>
        <v>247197.83743660335</v>
      </c>
      <c r="M5" s="60"/>
      <c r="N5" s="8">
        <f t="array" ref="N5">IFERROR(INDEX($F$2:$F$181,SMALL(_xlfn.IFS($G$2:$G$181&lt;$N$2,"",$G$2:$G$181&gt;$N$3,"",ISNUMBER($G$2:$G$181),ROW($A$1:$A$180)),ROW(A2))),"")</f>
        <v>8875000</v>
      </c>
      <c r="O5" s="8">
        <f t="array" ref="O5">IFERROR(INDEX($F$2:$F$181,SMALL(_xlfn.IFS($G$2:$G$181&lt;$O$2,"",$G$2:$G$181&gt;$O$3,"",ISNUMBER($G$2:$G$181),ROW($A$1:$A$180)),ROW(A2))),"")</f>
        <v>631250</v>
      </c>
      <c r="P5" s="8">
        <f t="array" ref="P5">IFERROR(INDEX($F$2:$F$181,SMALL(_xlfn.IFS($G$2:$G$181&lt;$P$2,"",$G$2:$G$181&gt;$P$3,"",ISNUMBER($G$2:$G$181),ROW($A$1:$A$180)),ROW(A2))),"")</f>
        <v>5000000</v>
      </c>
      <c r="Q5" s="8">
        <f t="array" ref="Q5">IFERROR(INDEX($F$2:$F$181,SMALL(_xlfn.IFS($G$2:$G$181&lt;$Q$2,"",$G$2:$G$181&gt;$Q$3,"",ISNUMBER($G$2:$G$181),ROW($A$1:$A$180)),ROW(A2))),"")</f>
        <v>185625</v>
      </c>
      <c r="R5" s="8">
        <f t="array" ref="R5">IFERROR(INDEX($F$2:$F$181,SMALL(_xlfn.IFS($G$2:$G$181&lt;$R$2,"",$G$2:$G$181&gt;$R$3,"",ISNUMBER($G$2:$G$181),ROW($A$1:$A$180)),ROW(A2))),"")</f>
        <v>2062500</v>
      </c>
      <c r="S5" s="9">
        <f t="array" ref="S5">IFERROR(INDEX($F$2:$F$181,SMALL(_xlfn.IFS($G$2:$G$181&lt;$S$2,"",$G$2:$G$181&gt;$S$3,"",ISNUMBER($G$2:$G$181),ROW($A$1:$A$180)),ROW(A2))),"")</f>
        <v>26875</v>
      </c>
      <c r="T5" s="5">
        <f t="array" ref="T5">IFERROR(INDEX($F$2:$F$181,SMALL(_xlfn.IFS($G$2:$G$181&lt;$T$2,"",$G$2:$G$181&gt;$T$3,"",ISNUMBER($G$2:$G$181),ROW($A$1:$A$180)),ROW(A2))),"")</f>
        <v>9375000</v>
      </c>
      <c r="U5" s="5">
        <f t="array" ref="U5">IFERROR(INDEX($F$2:$F$181,SMALL(_xlfn.IFS($G$2:$G$181&lt;$U$2,"",$G$2:$G$181&gt;$U$3,"",ISNUMBER($G$2:$G$181),ROW($A$1:$A$180)),ROW(A2))),"")</f>
        <v>1206250</v>
      </c>
      <c r="V5" s="5" cm="1">
        <f t="array" ref="V5">IFERROR(INDEX($F$2:$F$181,SMALL(_xlfn.IFS($G$2:$G$181&lt;V$2,"",$G$2:$G$181&gt;V$3,"",ISNUMBER($G$2:$G$181),ROW($A$1:$A$180)),ROW(B2))),"")</f>
        <v>5062500</v>
      </c>
      <c r="W5" s="5" cm="1">
        <f t="array" ref="W5">IFERROR(INDEX($F$2:$F$181,SMALL(_xlfn.IFS($G$2:$G$181&lt;W$2,"",$G$2:$G$181&gt;W$3,"",ISNUMBER($G$2:$G$181),ROW($A$1:$A$180)),ROW(C2))),"")</f>
        <v>337500</v>
      </c>
      <c r="X5" s="5" cm="1">
        <f t="array" ref="X5">IFERROR(INDEX($F$2:$F$181,SMALL(_xlfn.IFS($G$2:$G$181&lt;X$2,"",$G$2:$G$181&gt;X$3,"",ISNUMBER($G$2:$G$181),ROW($A$1:$A$180)),ROW(D2))),"")</f>
        <v>1062500</v>
      </c>
      <c r="Y5" s="5" cm="1">
        <f t="array" ref="Y5">IFERROR(INDEX($F$2:$F$181,SMALL(_xlfn.IFS($G$2:$G$181&lt;Y$2,"",$G$2:$G$181&gt;Y$3,"",ISNUMBER($G$2:$G$181),ROW($A$1:$A$180)),ROW(E2))),"")</f>
        <v>156250</v>
      </c>
    </row>
    <row r="6" spans="1:25" x14ac:dyDescent="0.3">
      <c r="A6" s="78"/>
      <c r="B6" s="82"/>
      <c r="C6" s="10" t="s">
        <v>2</v>
      </c>
      <c r="D6" s="10">
        <v>73</v>
      </c>
      <c r="E6" s="10">
        <v>69</v>
      </c>
      <c r="F6" s="68">
        <f t="shared" ref="F6" si="1">(AVERAGEIF(D6:E6,"&gt;0",D6:E6))*10^4*100/8</f>
        <v>8875000</v>
      </c>
      <c r="G6" s="6">
        <v>1</v>
      </c>
      <c r="H6" s="5" t="s">
        <v>12</v>
      </c>
      <c r="J6" s="35"/>
      <c r="K6" s="37">
        <f t="array" ref="K6">IFERROR(INDEX($I$2:$I$81,SMALL(IF(ISNUMBER($I$2:$I$81),ROW($A$1:$A$80),""),ROW(A5))),"")</f>
        <v>5437500</v>
      </c>
      <c r="L6" s="37">
        <f t="array" ref="L6">IFERROR(INDEX($J$2:$J$81,SMALL(IF(ISNUMBER($J$2:$J$81),ROW($A$1:$A$80),""),ROW(A5))),"")</f>
        <v>1882277.5432969497</v>
      </c>
      <c r="M6" s="60"/>
      <c r="N6" s="8">
        <f t="array" ref="N6">IFERROR(INDEX($F$2:$F$181,SMALL(_xlfn.IFS($G$2:$G$181&lt;$N$2,"",$G$2:$G$181&gt;$N$3,"",ISNUMBER($G$2:$G$181),ROW($A$1:$A$180)),ROW(A3))),"")</f>
        <v>12000000</v>
      </c>
      <c r="O6" s="8">
        <f t="array" ref="O6">IFERROR(INDEX($F$2:$F$181,SMALL(_xlfn.IFS($G$2:$G$181&lt;$O$2,"",$G$2:$G$181&gt;$O$3,"",ISNUMBER($G$2:$G$181),ROW($A$1:$A$180)),ROW(A3))),"")</f>
        <v>375000</v>
      </c>
      <c r="P6" s="8">
        <f t="array" ref="P6">IFERROR(INDEX($F$2:$F$181,SMALL(_xlfn.IFS($G$2:$G$181&lt;$P$2,"",$G$2:$G$181&gt;$P$3,"",ISNUMBER($G$2:$G$181),ROW($A$1:$A$180)),ROW(A3))),"")</f>
        <v>7500000</v>
      </c>
      <c r="Q6" s="8">
        <f t="array" ref="Q6">IFERROR(INDEX($F$2:$F$181,SMALL(_xlfn.IFS($G$2:$G$181&lt;$Q$2,"",$G$2:$G$181&gt;$Q$3,"",ISNUMBER($G$2:$G$181),ROW($A$1:$A$180)),ROW(A3))),"")</f>
        <v>268750</v>
      </c>
      <c r="R6" s="8">
        <f t="array" ref="R6">IFERROR(INDEX($F$2:$F$181,SMALL(_xlfn.IFS($G$2:$G$181&lt;$R$2,"",$G$2:$G$181&gt;$R$3,"",ISNUMBER($G$2:$G$181),ROW($A$1:$A$180)),ROW(A3))),"")</f>
        <v>1125000</v>
      </c>
      <c r="S6" s="9">
        <f t="array" ref="S6">IFERROR(INDEX($F$2:$F$181,SMALL(_xlfn.IFS($G$2:$G$181&lt;$S$2,"",$G$2:$G$181&gt;$S$3,"",ISNUMBER($G$2:$G$181),ROW($A$1:$A$180)),ROW(A3))),"")</f>
        <v>325000</v>
      </c>
      <c r="T6" s="5">
        <f t="array" ref="T6">IFERROR(INDEX($F$2:$F$181,SMALL(_xlfn.IFS($G$2:$G$181&lt;$T$2,"",$G$2:$G$181&gt;$T$3,"",ISNUMBER($G$2:$G$181),ROW($A$1:$A$180)),ROW(A3))),"")</f>
        <v>6437500</v>
      </c>
      <c r="U6" s="5">
        <f t="array" ref="U6">IFERROR(INDEX($F$2:$F$181,SMALL(_xlfn.IFS($G$2:$G$181&lt;$U$2,"",$G$2:$G$181&gt;$U$3,"",ISNUMBER($G$2:$G$181),ROW($A$1:$A$180)),ROW(A3))),"")</f>
        <v>868750</v>
      </c>
      <c r="V6" s="5" cm="1">
        <f t="array" ref="V6">IFERROR(INDEX($F$2:$F$181,SMALL(_xlfn.IFS($G$2:$G$181&lt;V$2,"",$G$2:$G$181&gt;V$3,"",ISNUMBER($G$2:$G$181),ROW($A$1:$A$180)),ROW(B3))),"")</f>
        <v>5562500</v>
      </c>
      <c r="W6" s="5" cm="1">
        <f t="array" ref="W6">IFERROR(INDEX($F$2:$F$181,SMALL(_xlfn.IFS($G$2:$G$181&lt;W$2,"",$G$2:$G$181&gt;W$3,"",ISNUMBER($G$2:$G$181),ROW($A$1:$A$180)),ROW(C3))),"")</f>
        <v>812500</v>
      </c>
      <c r="X6" s="5" cm="1">
        <f t="array" ref="X6">IFERROR(INDEX($F$2:$F$181,SMALL(_xlfn.IFS($G$2:$G$181&lt;X$2,"",$G$2:$G$181&gt;X$3,"",ISNUMBER($G$2:$G$181),ROW($A$1:$A$180)),ROW(D3))),"")</f>
        <v>2187500</v>
      </c>
      <c r="Y6" s="5" t="str" cm="1">
        <f t="array" ref="Y6">IFERROR(INDEX($F$2:$F$181,SMALL(_xlfn.IFS($G$2:$G$181&lt;Y$2,"",$G$2:$G$181&gt;Y$3,"",ISNUMBER($G$2:$G$181),ROW($A$1:$A$180)),ROW(E3))),"")</f>
        <v/>
      </c>
    </row>
    <row r="7" spans="1:25" ht="14.55" thickBot="1" x14ac:dyDescent="0.35">
      <c r="A7" s="78"/>
      <c r="B7" s="83"/>
      <c r="C7" s="11" t="s">
        <v>3</v>
      </c>
      <c r="D7" s="11">
        <v>10</v>
      </c>
      <c r="E7" s="11">
        <v>9</v>
      </c>
      <c r="F7" s="69">
        <f t="shared" ref="F7" si="2">(AVERAGEIF(D7:E7,"&gt;0",D7:E7))*10^5*100/8</f>
        <v>11875000</v>
      </c>
      <c r="G7" s="6"/>
      <c r="H7" s="5">
        <f t="array" ref="H7">IFERROR(INDEX($F$2:$F$181,SMALL(IF($G$2:$G$181=2,ROW($A$1:$A$163),""),ROW(A1))),"")</f>
        <v>1031250</v>
      </c>
      <c r="J7" s="35"/>
      <c r="K7" s="37">
        <f t="array" ref="K7">IFERROR(INDEX($I$2:$I$81,SMALL(IF(ISNUMBER($I$2:$I$81),ROW($A$1:$A$80),""),ROW(A6))),"")</f>
        <v>172291.66666666666</v>
      </c>
      <c r="L7" s="37">
        <f t="array" ref="L7">IFERROR(INDEX($J$2:$J$81,SMALL(IF(ISNUMBER($J$2:$J$81),ROW($A$1:$A$80),""),ROW(A6))),"")</f>
        <v>103769.4509879152</v>
      </c>
      <c r="M7" s="60"/>
      <c r="N7" s="8" t="str">
        <f t="array" ref="N7">IFERROR(INDEX($F$2:$F$181,SMALL(_xlfn.IFS($G$2:$G$181&lt;$N$2,"",$G$2:$G$181&gt;$N$3,"",ISNUMBER($G$2:$G$181),ROW($A$1:$A$180)),ROW(A4))),"")</f>
        <v/>
      </c>
      <c r="O7" s="8" t="str">
        <f t="array" ref="O7">IFERROR(INDEX($F$2:$F$181,SMALL(_xlfn.IFS($G$2:$G$181&lt;$O$2,"",$G$2:$G$181&gt;$O$3,"",ISNUMBER($G$2:$G$181),ROW($A$1:$A$180)),ROW(A4))),"")</f>
        <v/>
      </c>
      <c r="P7" s="8" t="str">
        <f t="array" ref="P7">IFERROR(INDEX($F$2:$F$181,SMALL(_xlfn.IFS($G$2:$G$181&lt;$P$2,"",$G$2:$G$181&gt;$P$3,"",ISNUMBER($G$2:$G$181),ROW($A$1:$A$180)),ROW(A4))),"")</f>
        <v/>
      </c>
      <c r="Q7" s="8" t="str">
        <f t="array" ref="Q7">IFERROR(INDEX($F$2:$F$181,SMALL(_xlfn.IFS($G$2:$G$181&lt;$Q$2,"",$G$2:$G$181&gt;$Q$3,"",ISNUMBER($G$2:$G$181),ROW($A$1:$A$180)),ROW(A4))),"")</f>
        <v/>
      </c>
      <c r="R7" s="8" t="str">
        <f t="array" ref="R7">IFERROR(INDEX($F$2:$F$181,SMALL(_xlfn.IFS($G$2:$G$181&lt;$R$2,"",$G$2:$G$181&gt;$R$3,"",ISNUMBER($G$2:$G$181),ROW($A$1:$A$180)),ROW(A4))),"")</f>
        <v/>
      </c>
      <c r="S7" s="9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  <c r="V7" s="5" t="str" cm="1">
        <f t="array" ref="V7">IFERROR(INDEX($F$2:$F$181,SMALL(_xlfn.IFS($G$2:$G$181&lt;V$2,"",$G$2:$G$181&gt;V$3,"",ISNUMBER($G$2:$G$181),ROW($A$1:$A$180)),ROW(B4))),"")</f>
        <v/>
      </c>
      <c r="W7" s="5" t="str" cm="1">
        <f t="array" ref="W7">IFERROR(INDEX($F$2:$F$181,SMALL(_xlfn.IFS($G$2:$G$181&lt;W$2,"",$G$2:$G$181&gt;W$3,"",ISNUMBER($G$2:$G$181),ROW($A$1:$A$180)),ROW(C4))),"")</f>
        <v/>
      </c>
      <c r="X7" s="5" t="str" cm="1">
        <f t="array" ref="X7">IFERROR(INDEX($F$2:$F$181,SMALL(_xlfn.IFS($G$2:$G$181&lt;X$2,"",$G$2:$G$181&gt;X$3,"",ISNUMBER($G$2:$G$181),ROW($A$1:$A$180)),ROW(D4))),"")</f>
        <v/>
      </c>
      <c r="Y7" s="5" t="str" cm="1">
        <f t="array" ref="Y7">IFERROR(INDEX($F$2:$F$181,SMALL(_xlfn.IFS($G$2:$G$181&lt;Y$2,"",$G$2:$G$181&gt;Y$3,"",ISNUMBER($G$2:$G$181),ROW($A$1:$A$180)),ROW(E4))),"")</f>
        <v/>
      </c>
    </row>
    <row r="8" spans="1:25" ht="14.55" thickTop="1" x14ac:dyDescent="0.3">
      <c r="A8" s="78"/>
      <c r="B8" s="84">
        <v>3</v>
      </c>
      <c r="C8" s="7" t="s">
        <v>4</v>
      </c>
      <c r="D8" s="54"/>
      <c r="E8" s="54"/>
      <c r="F8" s="67" t="e">
        <f t="shared" ref="F8" si="3">(AVERAGEIF(D8:E8,"&gt;0",D8:E8))*10^3*100/8</f>
        <v>#DIV/0!</v>
      </c>
      <c r="G8" s="6"/>
      <c r="H8" s="5">
        <f t="array" ref="H8">IFERROR(INDEX($F$2:$F$181,SMALL(IF($G$2:$G$181=2,ROW($A$1:$A$163),""),ROW(A2))),"")</f>
        <v>631250</v>
      </c>
      <c r="J8" s="35"/>
      <c r="K8" s="37">
        <f t="array" ref="K8">IFERROR(INDEX($I$2:$I$81,SMALL(IF(ISNUMBER($I$2:$I$81),ROW($A$1:$A$80),""),ROW(A7))),"")</f>
        <v>2937500</v>
      </c>
      <c r="L8" s="37">
        <f t="array" ref="L8">IFERROR(INDEX($J$2:$J$81,SMALL(IF(ISNUMBER($J$2:$J$81),ROW($A$1:$A$80),""),ROW(A7))),"")</f>
        <v>2374177.4891528222</v>
      </c>
      <c r="M8" s="60"/>
      <c r="N8" s="8" t="str">
        <f t="array" ref="N8">IFERROR(INDEX($F$2:$F$181,SMALL(_xlfn.IFS($G$2:$G$181&lt;$N$2,"",$G$2:$G$181&gt;$N$3,"",ISNUMBER($G$2:$G$181),ROW($A$1:$A$180)),ROW(A5))),"")</f>
        <v/>
      </c>
      <c r="O8" s="8" t="str">
        <f t="array" ref="O8">IFERROR(INDEX($F$2:$F$181,SMALL(_xlfn.IFS($G$2:$G$181&lt;$O$2,"",$G$2:$G$181&gt;$O$3,"",ISNUMBER($G$2:$G$181),ROW($A$1:$A$180)),ROW(A5))),"")</f>
        <v/>
      </c>
      <c r="P8" s="8" t="str">
        <f t="array" ref="P8">IFERROR(INDEX($F$2:$F$181,SMALL(_xlfn.IFS($G$2:$G$181&lt;$P$2,"",$G$2:$G$181&gt;$P$3,"",ISNUMBER($G$2:$G$181),ROW($A$1:$A$180)),ROW(A5))),"")</f>
        <v/>
      </c>
      <c r="Q8" s="8" t="str">
        <f t="array" ref="Q8">IFERROR(INDEX($F$2:$F$181,SMALL(_xlfn.IFS($G$2:$G$181&lt;$Q$2,"",$G$2:$G$181&gt;$Q$3,"",ISNUMBER($G$2:$G$181),ROW($A$1:$A$180)),ROW(A5))),"")</f>
        <v/>
      </c>
      <c r="R8" s="8" t="str">
        <f t="array" ref="R8">IFERROR(INDEX($F$2:$F$181,SMALL(_xlfn.IFS($G$2:$G$181&lt;$R$2,"",$G$2:$G$181&gt;$R$3,"",ISNUMBER($G$2:$G$181),ROW($A$1:$A$180)),ROW(A5))),"")</f>
        <v/>
      </c>
      <c r="S8" s="9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  <c r="V8" s="5" t="str" cm="1">
        <f t="array" ref="V8">IFERROR(INDEX($F$2:$F$181,SMALL(_xlfn.IFS($G$2:$G$181&lt;V$2,"",$G$2:$G$181&gt;V$3,"",ISNUMBER($G$2:$G$181),ROW($A$1:$A$180)),ROW(B5))),"")</f>
        <v/>
      </c>
      <c r="W8" s="5" t="str" cm="1">
        <f t="array" ref="W8">IFERROR(INDEX($F$2:$F$181,SMALL(_xlfn.IFS($G$2:$G$181&lt;W$2,"",$G$2:$G$181&gt;W$3,"",ISNUMBER($G$2:$G$181),ROW($A$1:$A$180)),ROW(C5))),"")</f>
        <v/>
      </c>
      <c r="X8" s="5" t="str" cm="1">
        <f t="array" ref="X8">IFERROR(INDEX($F$2:$F$181,SMALL(_xlfn.IFS($G$2:$G$181&lt;X$2,"",$G$2:$G$181&gt;X$3,"",ISNUMBER($G$2:$G$181),ROW($A$1:$A$180)),ROW(D5))),"")</f>
        <v/>
      </c>
      <c r="Y8" s="5" t="str" cm="1">
        <f t="array" ref="Y8">IFERROR(INDEX($F$2:$F$181,SMALL(_xlfn.IFS($G$2:$G$181&lt;Y$2,"",$G$2:$G$181&gt;Y$3,"",ISNUMBER($G$2:$G$181),ROW($A$1:$A$180)),ROW(E5))),"")</f>
        <v/>
      </c>
    </row>
    <row r="9" spans="1:25" x14ac:dyDescent="0.3">
      <c r="A9" s="78"/>
      <c r="B9" s="82"/>
      <c r="C9" s="10" t="s">
        <v>2</v>
      </c>
      <c r="D9" s="10">
        <v>100</v>
      </c>
      <c r="E9" s="10">
        <v>92</v>
      </c>
      <c r="F9" s="68">
        <f t="shared" ref="F9" si="4">(AVERAGEIF(D9:E9,"&gt;0",D9:E9))*10^4*100/8</f>
        <v>12000000</v>
      </c>
      <c r="G9" s="6">
        <v>1</v>
      </c>
      <c r="H9" s="5">
        <f t="array" ref="H9">IFERROR(INDEX($F$2:$F$181,SMALL(IF($G$2:$G$181=2,ROW($A$1:$A$163),""),ROW(A3))),"")</f>
        <v>375000</v>
      </c>
      <c r="I9" s="5">
        <f>AVERAGE(H7:H9)</f>
        <v>679166.66666666663</v>
      </c>
      <c r="J9" s="35">
        <f>STDEV(H7:H9)</f>
        <v>330738.59894686221</v>
      </c>
      <c r="K9" s="37">
        <f t="array" ref="K9">IFERROR(INDEX($I$2:$I$81,SMALL(IF(ISNUMBER($I$2:$I$81),ROW($A$1:$A$80),""),ROW(A8))),"")</f>
        <v>188958.33333333334</v>
      </c>
      <c r="L9" s="37">
        <f t="array" ref="L9">IFERROR(INDEX($J$2:$J$81,SMALL(IF(ISNUMBER($J$2:$J$81),ROW($A$1:$A$80),""),ROW(A8))),"")</f>
        <v>150758.93077470845</v>
      </c>
      <c r="M9" s="60"/>
      <c r="N9" s="8" t="str">
        <f t="array" ref="N9">IFERROR(INDEX($F$2:$F$181,SMALL(_xlfn.IFS($G$2:$G$181&lt;$N$2,"",$G$2:$G$181&gt;$N$3,"",ISNUMBER($G$2:$G$181),ROW($A$1:$A$180)),ROW(A6))),"")</f>
        <v/>
      </c>
      <c r="O9" s="8" t="str">
        <f t="array" ref="O9">IFERROR(INDEX($F$2:$F$181,SMALL(_xlfn.IFS($G$2:$G$181&lt;$O$2,"",$G$2:$G$181&gt;$O$3,"",ISNUMBER($G$2:$G$181),ROW($A$1:$A$180)),ROW(A6))),"")</f>
        <v/>
      </c>
      <c r="P9" s="8" t="str">
        <f t="array" ref="P9">IFERROR(INDEX($F$2:$F$181,SMALL(_xlfn.IFS($G$2:$G$181&lt;$P$2,"",$G$2:$G$181&gt;$P$3,"",ISNUMBER($G$2:$G$181),ROW($A$1:$A$180)),ROW(A6))),"")</f>
        <v/>
      </c>
      <c r="Q9" s="8" t="str">
        <f t="array" ref="Q9">IFERROR(INDEX($F$2:$F$181,SMALL(_xlfn.IFS($G$2:$G$181&lt;$Q$2,"",$G$2:$G$181&gt;$Q$3,"",ISNUMBER($G$2:$G$181),ROW($A$1:$A$180)),ROW(A6))),"")</f>
        <v/>
      </c>
      <c r="R9" s="8" t="str">
        <f t="array" ref="R9">IFERROR(INDEX($F$2:$F$181,SMALL(_xlfn.IFS($G$2:$G$181&lt;$R$2,"",$G$2:$G$181&gt;$R$3,"",ISNUMBER($G$2:$G$181),ROW($A$1:$A$180)),ROW(A6))),"")</f>
        <v/>
      </c>
      <c r="S9" s="9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  <c r="V9" s="5" t="str" cm="1">
        <f t="array" ref="V9">IFERROR(INDEX($F$2:$F$181,SMALL(_xlfn.IFS($G$2:$G$181&lt;V$2,"",$G$2:$G$181&gt;V$3,"",ISNUMBER($G$2:$G$181),ROW($A$1:$A$180)),ROW(B6))),"")</f>
        <v/>
      </c>
      <c r="W9" s="5" t="str" cm="1">
        <f t="array" ref="W9">IFERROR(INDEX($F$2:$F$181,SMALL(_xlfn.IFS($G$2:$G$181&lt;W$2,"",$G$2:$G$181&gt;W$3,"",ISNUMBER($G$2:$G$181),ROW($A$1:$A$180)),ROW(C6))),"")</f>
        <v/>
      </c>
      <c r="X9" s="5" t="str" cm="1">
        <f t="array" ref="X9">IFERROR(INDEX($F$2:$F$181,SMALL(_xlfn.IFS($G$2:$G$181&lt;X$2,"",$G$2:$G$181&gt;X$3,"",ISNUMBER($G$2:$G$181),ROW($A$1:$A$180)),ROW(D6))),"")</f>
        <v/>
      </c>
      <c r="Y9" s="5" t="str" cm="1">
        <f t="array" ref="Y9">IFERROR(INDEX($F$2:$F$181,SMALL(_xlfn.IFS($G$2:$G$181&lt;Y$2,"",$G$2:$G$181&gt;Y$3,"",ISNUMBER($G$2:$G$181),ROW($A$1:$A$180)),ROW(E6))),"")</f>
        <v/>
      </c>
    </row>
    <row r="10" spans="1:25" ht="14.55" thickBot="1" x14ac:dyDescent="0.35">
      <c r="A10" s="79"/>
      <c r="B10" s="85"/>
      <c r="C10" s="31" t="s">
        <v>3</v>
      </c>
      <c r="D10" s="31">
        <v>8</v>
      </c>
      <c r="E10" s="31"/>
      <c r="F10" s="69">
        <f t="shared" ref="F10" si="5">(AVERAGEIF(D10:E10,"&gt;0",D10:E10))*10^5*100/8</f>
        <v>10000000</v>
      </c>
      <c r="G10" s="6"/>
      <c r="H10" s="5" t="s">
        <v>13</v>
      </c>
      <c r="J10" s="35"/>
      <c r="K10" s="37">
        <f t="array" ref="K10">IFERROR(INDEX($I$2:$I$81,SMALL(IF(ISNUMBER($I$2:$I$81),ROW($A$1:$A$80),""),ROW(A9))),"")</f>
        <v>9645833.333333334</v>
      </c>
      <c r="L10" s="37">
        <f t="array" ref="L10">IFERROR(INDEX($J$2:$J$81,SMALL(IF(ISNUMBER($J$2:$J$81),ROW($A$1:$A$80),""),ROW(A9))),"")</f>
        <v>3351966.15187763</v>
      </c>
      <c r="M10" s="60"/>
      <c r="N10" s="8" t="str">
        <f t="array" ref="N10">IFERROR(INDEX($F$2:$F$181,SMALL(_xlfn.IFS($G$2:$G$181&lt;$N$2,"",$G$2:$G$181&gt;$N$3,"",ISNUMBER($G$2:$G$181),ROW($A$1:$A$180)),ROW(A7))),"")</f>
        <v/>
      </c>
      <c r="O10" s="8" t="str">
        <f t="array" ref="O10">IFERROR(INDEX($F$2:$F$181,SMALL(_xlfn.IFS($G$2:$G$181&lt;$O$2,"",$G$2:$G$181&gt;$O$3,"",ISNUMBER($G$2:$G$181),ROW($A$1:$A$180)),ROW(A7))),"")</f>
        <v/>
      </c>
      <c r="P10" s="8" t="str">
        <f t="array" ref="P10">IFERROR(INDEX($F$2:$F$181,SMALL(_xlfn.IFS($G$2:$G$181&lt;$P$2,"",$G$2:$G$181&gt;$P$3,"",ISNUMBER($G$2:$G$181),ROW($A$1:$A$180)),ROW(A7))),"")</f>
        <v/>
      </c>
      <c r="Q10" s="8" t="str">
        <f t="array" ref="Q10">IFERROR(INDEX($F$2:$F$181,SMALL(_xlfn.IFS($G$2:$G$181&lt;$Q$2,"",$G$2:$G$181&gt;$Q$3,"",ISNUMBER($G$2:$G$181),ROW($A$1:$A$180)),ROW(A7))),"")</f>
        <v/>
      </c>
      <c r="R10" s="8" t="str">
        <f t="array" ref="R10">IFERROR(INDEX($F$2:$F$181,SMALL(_xlfn.IFS($G$2:$G$181&lt;$R$2,"",$G$2:$G$181&gt;$R$3,"",ISNUMBER($G$2:$G$181),ROW($A$1:$A$180)),ROW(A7))),"")</f>
        <v/>
      </c>
      <c r="S10" s="9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  <c r="V10" s="5" t="str" cm="1">
        <f t="array" ref="V10">IFERROR(INDEX($F$2:$F$181,SMALL(_xlfn.IFS($G$2:$G$181&lt;V$2,"",$G$2:$G$181&gt;V$3,"",ISNUMBER($G$2:$G$181),ROW($A$1:$A$180)),ROW(B7))),"")</f>
        <v/>
      </c>
      <c r="W10" s="5" t="str" cm="1">
        <f t="array" ref="W10">IFERROR(INDEX($F$2:$F$181,SMALL(_xlfn.IFS($G$2:$G$181&lt;W$2,"",$G$2:$G$181&gt;W$3,"",ISNUMBER($G$2:$G$181),ROW($A$1:$A$180)),ROW(C7))),"")</f>
        <v/>
      </c>
      <c r="X10" s="5" t="str" cm="1">
        <f t="array" ref="X10">IFERROR(INDEX($F$2:$F$181,SMALL(_xlfn.IFS($G$2:$G$181&lt;X$2,"",$G$2:$G$181&gt;X$3,"",ISNUMBER($G$2:$G$181),ROW($A$1:$A$180)),ROW(D7))),"")</f>
        <v/>
      </c>
      <c r="Y10" s="5" t="str" cm="1">
        <f t="array" ref="Y10">IFERROR(INDEX($F$2:$F$181,SMALL(_xlfn.IFS($G$2:$G$181&lt;Y$2,"",$G$2:$G$181&gt;Y$3,"",ISNUMBER($G$2:$G$181),ROW($A$1:$A$180)),ROW(E7))),"")</f>
        <v/>
      </c>
    </row>
    <row r="11" spans="1:25" ht="16.55" customHeight="1" thickTop="1" x14ac:dyDescent="0.3">
      <c r="A11" s="77" t="s">
        <v>58</v>
      </c>
      <c r="B11" s="81">
        <v>1</v>
      </c>
      <c r="C11" s="26" t="s">
        <v>4</v>
      </c>
      <c r="D11" s="26"/>
      <c r="E11" s="26"/>
      <c r="F11" s="67" t="e">
        <f t="shared" ref="F11" si="6">(AVERAGEIF(D11:E11,"&gt;0",D11:E11))*10^3*100/8</f>
        <v>#DIV/0!</v>
      </c>
      <c r="G11" s="6"/>
      <c r="H11" s="5">
        <f t="array" ref="H11">IFERROR(INDEX($F$2:$F$181,SMALL(IF($G$2:$G$181=3,ROW($A$1:$A$163),""),ROW(A1))),"")</f>
        <v>5000000</v>
      </c>
      <c r="J11" s="35"/>
      <c r="K11" s="37">
        <f t="array" ref="K11">IFERROR(INDEX($I$2:$I$81,SMALL(IF(ISNUMBER($I$2:$I$81),ROW($A$1:$A$80),""),ROW(A10))),"")</f>
        <v>1116666.6666666667</v>
      </c>
      <c r="L11" s="37">
        <f t="array" ref="L11">IFERROR(INDEX($J$2:$J$81,SMALL(IF(ISNUMBER($J$2:$J$81),ROW($A$1:$A$80),""),ROW(A10))),"")</f>
        <v>217436.53288565206</v>
      </c>
      <c r="M11" s="60"/>
      <c r="N11" s="8" t="str">
        <f t="array" ref="N11">IFERROR(INDEX($F$2:$F$181,SMALL(_xlfn.IFS($G$2:$G$181&lt;$N$2,"",$G$2:$G$181&gt;$N$3,"",ISNUMBER($G$2:$G$181),ROW($A$1:$A$180)),ROW(A8))),"")</f>
        <v/>
      </c>
      <c r="O11" s="8" t="str">
        <f t="array" ref="O11">IFERROR(INDEX($F$2:$F$181,SMALL(_xlfn.IFS($G$2:$G$181&lt;$O$2,"",$G$2:$G$181&gt;$O$3,"",ISNUMBER($G$2:$G$181),ROW($A$1:$A$180)),ROW(A8))),"")</f>
        <v/>
      </c>
      <c r="P11" s="8" t="str">
        <f t="array" ref="P11">IFERROR(INDEX($F$2:$F$181,SMALL(_xlfn.IFS($G$2:$G$181&lt;$P$2,"",$G$2:$G$181&gt;$P$3,"",ISNUMBER($G$2:$G$181),ROW($A$1:$A$180)),ROW(A8))),"")</f>
        <v/>
      </c>
      <c r="Q11" s="8" t="str">
        <f t="array" ref="Q11">IFERROR(INDEX($F$2:$F$181,SMALL(_xlfn.IFS($G$2:$G$181&lt;$Q$2,"",$G$2:$G$181&gt;$Q$3,"",ISNUMBER($G$2:$G$181),ROW($A$1:$A$180)),ROW(A8))),"")</f>
        <v/>
      </c>
      <c r="R11" s="8" t="str">
        <f t="array" ref="R11">IFERROR(INDEX($F$2:$F$181,SMALL(_xlfn.IFS($G$2:$G$181&lt;$R$2,"",$G$2:$G$181&gt;$R$3,"",ISNUMBER($G$2:$G$181),ROW($A$1:$A$180)),ROW(A8))),"")</f>
        <v/>
      </c>
      <c r="S11" s="9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  <c r="V11" s="5" t="str" cm="1">
        <f t="array" ref="V11">IFERROR(INDEX($F$2:$F$181,SMALL(_xlfn.IFS($G$2:$G$181&lt;V$2,"",$G$2:$G$181&gt;V$3,"",ISNUMBER($G$2:$G$181),ROW($A$1:$A$180)),ROW(B8))),"")</f>
        <v/>
      </c>
      <c r="W11" s="5" t="str" cm="1">
        <f t="array" ref="W11">IFERROR(INDEX($F$2:$F$181,SMALL(_xlfn.IFS($G$2:$G$181&lt;W$2,"",$G$2:$G$181&gt;W$3,"",ISNUMBER($G$2:$G$181),ROW($A$1:$A$180)),ROW(C8))),"")</f>
        <v/>
      </c>
      <c r="X11" s="5" t="str" cm="1">
        <f t="array" ref="X11">IFERROR(INDEX($F$2:$F$181,SMALL(_xlfn.IFS($G$2:$G$181&lt;X$2,"",$G$2:$G$181&gt;X$3,"",ISNUMBER($G$2:$G$181),ROW($A$1:$A$180)),ROW(D8))),"")</f>
        <v/>
      </c>
      <c r="Y11" s="5" t="str" cm="1">
        <f t="array" ref="Y11">IFERROR(INDEX($F$2:$F$181,SMALL(_xlfn.IFS($G$2:$G$181&lt;Y$2,"",$G$2:$G$181&gt;Y$3,"",ISNUMBER($G$2:$G$181),ROW($A$1:$A$180)),ROW(E8))),"")</f>
        <v/>
      </c>
    </row>
    <row r="12" spans="1:25" x14ac:dyDescent="0.3">
      <c r="A12" s="78"/>
      <c r="B12" s="82"/>
      <c r="C12" s="10" t="s">
        <v>2</v>
      </c>
      <c r="D12" s="10">
        <v>21</v>
      </c>
      <c r="E12" s="10">
        <v>36</v>
      </c>
      <c r="F12" s="68">
        <f t="shared" ref="F12" si="7">(AVERAGEIF(D12:E12,"&gt;0",D12:E12))*10^4*100/8</f>
        <v>3562500</v>
      </c>
      <c r="G12" s="6"/>
      <c r="H12" s="5">
        <f t="array" ref="H12">IFERROR(INDEX($F$2:$F$181,SMALL(IF($G$2:$G$181=3,ROW($A$1:$A$163),""),ROW(A2))),"")</f>
        <v>5062500</v>
      </c>
      <c r="J12" s="35"/>
      <c r="K12" s="37">
        <f t="array" ref="K12">IFERROR(INDEX($I$2:$I$81,SMALL(IF(ISNUMBER($I$2:$I$81),ROW($A$1:$A$80),""),ROW(A11))),"")</f>
        <v>2395833.3333333335</v>
      </c>
      <c r="L12" s="37">
        <f t="array" ref="L12">IFERROR(INDEX($J$2:$J$81,SMALL(IF(ISNUMBER($J$2:$J$81),ROW($A$1:$A$80),""),ROW(A11))),"")</f>
        <v>1448778.2208928091</v>
      </c>
      <c r="M12" s="60"/>
      <c r="N12" s="8" t="str">
        <f t="array" ref="N12">IFERROR(INDEX($F$2:$F$181,SMALL(_xlfn.IFS($G$2:$G$181&lt;$N$2,"",$G$2:$G$181&gt;$N$3,"",ISNUMBER($G$2:$G$181),ROW($A$1:$A$180)),ROW(A9))),"")</f>
        <v/>
      </c>
      <c r="O12" s="8" t="str">
        <f t="array" ref="O12">IFERROR(INDEX($F$2:$F$181,SMALL(_xlfn.IFS($G$2:$G$181&lt;$O$2,"",$G$2:$G$181&gt;$O$3,"",ISNUMBER($G$2:$G$181),ROW($A$1:$A$180)),ROW(A9))),"")</f>
        <v/>
      </c>
      <c r="P12" s="8" t="str">
        <f t="array" ref="P12">IFERROR(INDEX($F$2:$F$181,SMALL(_xlfn.IFS($G$2:$G$181&lt;$P$2,"",$G$2:$G$181&gt;$P$3,"",ISNUMBER($G$2:$G$181),ROW($A$1:$A$180)),ROW(A9))),"")</f>
        <v/>
      </c>
      <c r="Q12" s="8" t="str">
        <f t="array" ref="Q12">IFERROR(INDEX($F$2:$F$181,SMALL(_xlfn.IFS($G$2:$G$181&lt;$Q$2,"",$G$2:$G$181&gt;$Q$3,"",ISNUMBER($G$2:$G$181),ROW($A$1:$A$180)),ROW(A9))),"")</f>
        <v/>
      </c>
      <c r="R12" s="8" t="str">
        <f t="array" ref="R12">IFERROR(INDEX($F$2:$F$181,SMALL(_xlfn.IFS($G$2:$G$181&lt;$R$2,"",$G$2:$G$181&gt;$R$3,"",ISNUMBER($G$2:$G$181),ROW($A$1:$A$180)),ROW(A9))),"")</f>
        <v/>
      </c>
      <c r="S12" s="9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  <c r="V12" s="5" t="str" cm="1">
        <f t="array" ref="V12">IFERROR(INDEX($F$2:$F$181,SMALL(_xlfn.IFS($G$2:$G$181&lt;V$2,"",$G$2:$G$181&gt;V$3,"",ISNUMBER($G$2:$G$181),ROW($A$1:$A$180)),ROW(B9))),"")</f>
        <v/>
      </c>
      <c r="W12" s="5" t="str" cm="1">
        <f t="array" ref="W12">IFERROR(INDEX($F$2:$F$181,SMALL(_xlfn.IFS($G$2:$G$181&lt;W$2,"",$G$2:$G$181&gt;W$3,"",ISNUMBER($G$2:$G$181),ROW($A$1:$A$180)),ROW(C9))),"")</f>
        <v/>
      </c>
      <c r="X12" s="5" t="str" cm="1">
        <f t="array" ref="X12">IFERROR(INDEX($F$2:$F$181,SMALL(_xlfn.IFS($G$2:$G$181&lt;X$2,"",$G$2:$G$181&gt;X$3,"",ISNUMBER($G$2:$G$181),ROW($A$1:$A$180)),ROW(D9))),"")</f>
        <v/>
      </c>
      <c r="Y12" s="5" t="str" cm="1">
        <f t="array" ref="Y12">IFERROR(INDEX($F$2:$F$181,SMALL(_xlfn.IFS($G$2:$G$181&lt;Y$2,"",$G$2:$G$181&gt;Y$3,"",ISNUMBER($G$2:$G$181),ROW($A$1:$A$180)),ROW(E9))),"")</f>
        <v/>
      </c>
    </row>
    <row r="13" spans="1:25" ht="14.55" thickBot="1" x14ac:dyDescent="0.35">
      <c r="A13" s="78"/>
      <c r="B13" s="83"/>
      <c r="C13" s="11" t="s">
        <v>3</v>
      </c>
      <c r="D13" s="11">
        <v>4</v>
      </c>
      <c r="E13" s="11">
        <v>4</v>
      </c>
      <c r="F13" s="69">
        <f t="shared" ref="F13" si="8">(AVERAGEIF(D13:E13,"&gt;0",D13:E13))*10^5*100/8</f>
        <v>5000000</v>
      </c>
      <c r="G13" s="6">
        <v>3</v>
      </c>
      <c r="H13" s="5">
        <f t="array" ref="H13">IFERROR(INDEX($F$2:$F$181,SMALL(IF($G$2:$G$181=3,ROW($A$1:$A$163),""),ROW(A3))),"")</f>
        <v>5562500</v>
      </c>
      <c r="I13" s="5">
        <f>AVERAGE(H11:H13)</f>
        <v>5208333.333333333</v>
      </c>
      <c r="J13" s="35">
        <f>STDEV(H11:H13)</f>
        <v>308305.1788947655</v>
      </c>
      <c r="K13" s="37">
        <f t="array" ref="K13">IFERROR(INDEX($I$2:$I$81,SMALL(IF(ISNUMBER($I$2:$I$81),ROW($A$1:$A$80),""),ROW(A12))),"")</f>
        <v>290625</v>
      </c>
      <c r="L13" s="37">
        <f t="array" ref="L13">IFERROR(INDEX($J$2:$J$81,SMALL(IF(ISNUMBER($J$2:$J$81),ROW($A$1:$A$80),""),ROW(A12))),"")</f>
        <v>190034.94744388465</v>
      </c>
      <c r="M13" s="60"/>
      <c r="N13" s="8" t="str">
        <f t="array" ref="N13">IFERROR(INDEX($F$2:$F$181,SMALL(_xlfn.IFS($G$2:$G$181&lt;$N$2,"",$G$2:$G$181&gt;$N$3,"",ISNUMBER($G$2:$G$181),ROW($A$1:$A$180)),ROW(A10))),"")</f>
        <v/>
      </c>
      <c r="O13" s="8" t="str">
        <f t="array" ref="O13">IFERROR(INDEX($F$2:$F$181,SMALL(_xlfn.IFS($G$2:$G$181&lt;$O$2,"",$G$2:$G$181&gt;$O$3,"",ISNUMBER($G$2:$G$181),ROW($A$1:$A$180)),ROW(A10))),"")</f>
        <v/>
      </c>
      <c r="P13" s="8" t="str">
        <f t="array" ref="P13">IFERROR(INDEX($F$2:$F$181,SMALL(_xlfn.IFS($G$2:$G$181&lt;$P$2,"",$G$2:$G$181&gt;$P$3,"",ISNUMBER($G$2:$G$181),ROW($A$1:$A$180)),ROW(A10))),"")</f>
        <v/>
      </c>
      <c r="Q13" s="8" t="str">
        <f t="array" ref="Q13">IFERROR(INDEX($F$2:$F$181,SMALL(_xlfn.IFS($G$2:$G$181&lt;$Q$2,"",$G$2:$G$181&gt;$Q$3,"",ISNUMBER($G$2:$G$181),ROW($A$1:$A$180)),ROW(A10))),"")</f>
        <v/>
      </c>
      <c r="R13" s="8" t="str">
        <f t="array" ref="R13">IFERROR(INDEX($F$2:$F$181,SMALL(_xlfn.IFS($G$2:$G$181&lt;$R$2,"",$G$2:$G$181&gt;$R$3,"",ISNUMBER($G$2:$G$181),ROW($A$1:$A$180)),ROW(A10))),"")</f>
        <v/>
      </c>
      <c r="S13" s="9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  <c r="V13" s="5" t="str" cm="1">
        <f t="array" ref="V13">IFERROR(INDEX($F$2:$F$181,SMALL(_xlfn.IFS($G$2:$G$181&lt;V$2,"",$G$2:$G$181&gt;V$3,"",ISNUMBER($G$2:$G$181),ROW($A$1:$A$180)),ROW(B10))),"")</f>
        <v/>
      </c>
      <c r="W13" s="5" t="str" cm="1">
        <f t="array" ref="W13">IFERROR(INDEX($F$2:$F$181,SMALL(_xlfn.IFS($G$2:$G$181&lt;W$2,"",$G$2:$G$181&gt;W$3,"",ISNUMBER($G$2:$G$181),ROW($A$1:$A$180)),ROW(C10))),"")</f>
        <v/>
      </c>
      <c r="X13" s="5" t="str" cm="1">
        <f t="array" ref="X13">IFERROR(INDEX($F$2:$F$181,SMALL(_xlfn.IFS($G$2:$G$181&lt;X$2,"",$G$2:$G$181&gt;X$3,"",ISNUMBER($G$2:$G$181),ROW($A$1:$A$180)),ROW(D10))),"")</f>
        <v/>
      </c>
      <c r="Y13" s="5" t="str" cm="1">
        <f t="array" ref="Y13">IFERROR(INDEX($F$2:$F$181,SMALL(_xlfn.IFS($G$2:$G$181&lt;Y$2,"",$G$2:$G$181&gt;Y$3,"",ISNUMBER($G$2:$G$181),ROW($A$1:$A$180)),ROW(E10))),"")</f>
        <v/>
      </c>
    </row>
    <row r="14" spans="1:25" ht="14.55" thickTop="1" x14ac:dyDescent="0.3">
      <c r="A14" s="78"/>
      <c r="B14" s="84">
        <v>2</v>
      </c>
      <c r="C14" s="7" t="s">
        <v>4</v>
      </c>
      <c r="D14" s="7"/>
      <c r="E14" s="7"/>
      <c r="F14" s="67" t="e">
        <f t="shared" ref="F14" si="9">(AVERAGEIF(D14:E14,"&gt;0",D14:E14))*10^3*100/8</f>
        <v>#DIV/0!</v>
      </c>
      <c r="G14" s="6"/>
      <c r="H14" s="5" t="s">
        <v>14</v>
      </c>
      <c r="J14" s="36"/>
      <c r="K14" s="37" t="str">
        <f t="array" ref="K14">IFERROR(INDEX($I$2:$I$81,SMALL(IF(ISNUMBER($I$2:$I$81),ROW($A$1:$A$80),""),ROW(A13))),"")</f>
        <v/>
      </c>
      <c r="L14" s="37" t="str">
        <f t="array" ref="L14">IFERROR(INDEX($J$2:$J$81,SMALL(IF(ISNUMBER($J$2:$J$81),ROW($A$1:$A$80),""),ROW(A13))),"")</f>
        <v/>
      </c>
      <c r="M14" s="60"/>
      <c r="N14" s="8" t="str">
        <f t="array" ref="N14">IFERROR(INDEX($F$2:$F$181,SMALL(_xlfn.IFS($G$2:$G$181&lt;$N$2,"",$G$2:$G$181&gt;$N$3,"",ISNUMBER($G$2:$G$181),ROW($A$1:$A$180)),ROW(A11))),"")</f>
        <v/>
      </c>
      <c r="O14" s="8" t="str">
        <f t="array" ref="O14">IFERROR(INDEX($F$2:$F$181,SMALL(_xlfn.IFS($G$2:$G$181&lt;$O$2,"",$G$2:$G$181&gt;$O$3,"",ISNUMBER($G$2:$G$181),ROW($A$1:$A$180)),ROW(A11))),"")</f>
        <v/>
      </c>
      <c r="P14" s="8" t="str">
        <f t="array" ref="P14">IFERROR(INDEX($F$2:$F$181,SMALL(_xlfn.IFS($G$2:$G$181&lt;$P$2,"",$G$2:$G$181&gt;$P$3,"",ISNUMBER($G$2:$G$181),ROW($A$1:$A$180)),ROW(A11))),"")</f>
        <v/>
      </c>
      <c r="Q14" s="8" t="str">
        <f t="array" ref="Q14">IFERROR(INDEX($F$2:$F$181,SMALL(_xlfn.IFS($G$2:$G$181&lt;$Q$2,"",$G$2:$G$181&gt;$Q$3,"",ISNUMBER($G$2:$G$181),ROW($A$1:$A$180)),ROW(A11))),"")</f>
        <v/>
      </c>
      <c r="R14" s="8" t="str">
        <f t="array" ref="R14">IFERROR(INDEX($F$2:$F$181,SMALL(_xlfn.IFS($G$2:$G$181&lt;$R$2,"",$G$2:$G$181&gt;$R$3,"",ISNUMBER($G$2:$G$181),ROW($A$1:$A$180)),ROW(A11))),"")</f>
        <v/>
      </c>
      <c r="S14" s="9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  <c r="V14" s="5" t="str" cm="1">
        <f t="array" ref="V14">IFERROR(INDEX($F$2:$F$181,SMALL(_xlfn.IFS($G$2:$G$181&lt;V$2,"",$G$2:$G$181&gt;V$3,"",ISNUMBER($G$2:$G$181),ROW($A$1:$A$180)),ROW(B11))),"")</f>
        <v/>
      </c>
      <c r="W14" s="5" t="str" cm="1">
        <f t="array" ref="W14">IFERROR(INDEX($F$2:$F$181,SMALL(_xlfn.IFS($G$2:$G$181&lt;W$2,"",$G$2:$G$181&gt;W$3,"",ISNUMBER($G$2:$G$181),ROW($A$1:$A$180)),ROW(C11))),"")</f>
        <v/>
      </c>
      <c r="X14" s="5" t="str" cm="1">
        <f t="array" ref="X14">IFERROR(INDEX($F$2:$F$181,SMALL(_xlfn.IFS($G$2:$G$181&lt;X$2,"",$G$2:$G$181&gt;X$3,"",ISNUMBER($G$2:$G$181),ROW($A$1:$A$180)),ROW(D11))),"")</f>
        <v/>
      </c>
      <c r="Y14" s="5" t="str" cm="1">
        <f t="array" ref="Y14">IFERROR(INDEX($F$2:$F$181,SMALL(_xlfn.IFS($G$2:$G$181&lt;Y$2,"",$G$2:$G$181&gt;Y$3,"",ISNUMBER($G$2:$G$181),ROW($A$1:$A$180)),ROW(E11))),"")</f>
        <v/>
      </c>
    </row>
    <row r="15" spans="1:25" x14ac:dyDescent="0.3">
      <c r="A15" s="78"/>
      <c r="B15" s="82"/>
      <c r="C15" s="10" t="s">
        <v>2</v>
      </c>
      <c r="D15" s="10">
        <v>41</v>
      </c>
      <c r="E15" s="10">
        <v>40</v>
      </c>
      <c r="F15" s="68">
        <f t="shared" ref="F15" si="10">(AVERAGEIF(D15:E15,"&gt;0",D15:E15))*10^4*100/8</f>
        <v>5062500</v>
      </c>
      <c r="G15" s="6">
        <v>3</v>
      </c>
      <c r="H15" s="5">
        <f t="array" ref="H15">IFERROR(INDEX($F$2:$F$181,SMALL(IF($G$2:$G$181=4,ROW($A$1:$A$163),""),ROW(A1))),"")</f>
        <v>693750</v>
      </c>
      <c r="J15" s="36"/>
      <c r="K15" s="37" t="str">
        <f t="array" ref="K15">IFERROR(INDEX($I$2:$I$81,SMALL(IF(ISNUMBER($I$2:$I$81),ROW($A$1:$A$80),""),ROW(A14))),"")</f>
        <v/>
      </c>
      <c r="L15" s="37" t="str">
        <f t="array" ref="L15">IFERROR(INDEX($J$2:$J$81,SMALL(IF(ISNUMBER($J$2:$J$81),ROW($A$1:$A$80),""),ROW(A14))),"")</f>
        <v/>
      </c>
      <c r="M15" s="60"/>
      <c r="N15" s="8" t="str">
        <f t="array" ref="N15">IFERROR(INDEX($F$2:$F$181,SMALL(_xlfn.IFS($G$2:$G$181&lt;$N$2,"",$G$2:$G$181&gt;$N$3,"",ISNUMBER($G$2:$G$181),ROW($A$1:$A$180)),ROW(A12))),"")</f>
        <v/>
      </c>
      <c r="O15" s="8" t="str">
        <f t="array" ref="O15">IFERROR(INDEX($F$2:$F$181,SMALL(_xlfn.IFS($G$2:$G$181&lt;$O$2,"",$G$2:$G$181&gt;$O$3,"",ISNUMBER($G$2:$G$181),ROW($A$1:$A$180)),ROW(A12))),"")</f>
        <v/>
      </c>
      <c r="P15" s="8" t="str">
        <f t="array" ref="P15">IFERROR(INDEX($F$2:$F$181,SMALL(_xlfn.IFS($G$2:$G$181&lt;$P$2,"",$G$2:$G$181&gt;$P$3,"",ISNUMBER($G$2:$G$181),ROW($A$1:$A$180)),ROW(A12))),"")</f>
        <v/>
      </c>
      <c r="Q15" s="8" t="str">
        <f t="array" ref="Q15">IFERROR(INDEX($F$2:$F$181,SMALL(_xlfn.IFS($G$2:$G$181&lt;$Q$2,"",$G$2:$G$181&gt;$Q$3,"",ISNUMBER($G$2:$G$181),ROW($A$1:$A$180)),ROW(A12))),"")</f>
        <v/>
      </c>
      <c r="R15" s="8" t="str">
        <f t="array" ref="R15">IFERROR(INDEX($F$2:$F$181,SMALL(_xlfn.IFS($G$2:$G$181&lt;$R$2,"",$G$2:$G$181&gt;$R$3,"",ISNUMBER($G$2:$G$181),ROW($A$1:$A$180)),ROW(A12))),"")</f>
        <v/>
      </c>
      <c r="S15" s="9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  <c r="V15" s="5" t="str" cm="1">
        <f t="array" ref="V15">IFERROR(INDEX($F$2:$F$181,SMALL(_xlfn.IFS($G$2:$G$181&lt;V$2,"",$G$2:$G$181&gt;V$3,"",ISNUMBER($G$2:$G$181),ROW($A$1:$A$180)),ROW(B12))),"")</f>
        <v/>
      </c>
      <c r="W15" s="5" t="str" cm="1">
        <f t="array" ref="W15">IFERROR(INDEX($F$2:$F$181,SMALL(_xlfn.IFS($G$2:$G$181&lt;W$2,"",$G$2:$G$181&gt;W$3,"",ISNUMBER($G$2:$G$181),ROW($A$1:$A$180)),ROW(C12))),"")</f>
        <v/>
      </c>
      <c r="X15" s="5" t="str" cm="1">
        <f t="array" ref="X15">IFERROR(INDEX($F$2:$F$181,SMALL(_xlfn.IFS($G$2:$G$181&lt;X$2,"",$G$2:$G$181&gt;X$3,"",ISNUMBER($G$2:$G$181),ROW($A$1:$A$180)),ROW(D12))),"")</f>
        <v/>
      </c>
      <c r="Y15" s="5" t="str" cm="1">
        <f t="array" ref="Y15">IFERROR(INDEX($F$2:$F$181,SMALL(_xlfn.IFS($G$2:$G$181&lt;Y$2,"",$G$2:$G$181&gt;Y$3,"",ISNUMBER($G$2:$G$181),ROW($A$1:$A$180)),ROW(E12))),"")</f>
        <v/>
      </c>
    </row>
    <row r="16" spans="1:25" ht="14.55" thickBot="1" x14ac:dyDescent="0.35">
      <c r="A16" s="78"/>
      <c r="B16" s="83"/>
      <c r="C16" s="11" t="s">
        <v>3</v>
      </c>
      <c r="D16" s="11">
        <v>1</v>
      </c>
      <c r="E16" s="11">
        <v>1</v>
      </c>
      <c r="F16" s="69">
        <f t="shared" ref="F16" si="11">(AVERAGEIF(D16:E16,"&gt;0",D16:E16))*10^5*100/8</f>
        <v>1250000</v>
      </c>
      <c r="G16" s="6"/>
      <c r="H16" s="5">
        <f t="array" ref="H16">IFERROR(INDEX($F$2:$F$181,SMALL(IF($G$2:$G$181=4,ROW($A$1:$A$163),""),ROW(A2))),"")</f>
        <v>337500</v>
      </c>
      <c r="J16" s="36"/>
      <c r="K16" s="37" t="str">
        <f t="array" ref="K16">IFERROR(INDEX($I$2:$I$81,SMALL(IF(ISNUMBER($I$2:$I$81),ROW($A$1:$A$80),""),ROW(A15))),"")</f>
        <v/>
      </c>
      <c r="L16" s="37" t="str">
        <f t="array" ref="L16">IFERROR(INDEX($J$2:$J$81,SMALL(IF(ISNUMBER($J$2:$J$81),ROW($A$1:$A$80),""),ROW(A15))),"")</f>
        <v/>
      </c>
      <c r="M16" s="60"/>
      <c r="N16" s="8" t="str">
        <f t="array" ref="N16">IFERROR(INDEX($F$2:$F$181,SMALL(_xlfn.IFS($G$2:$G$181&lt;$N$2,"",$G$2:$G$181&gt;$N$3,"",ISNUMBER($G$2:$G$181),ROW($A$1:$A$180)),ROW(A13))),"")</f>
        <v/>
      </c>
      <c r="O16" s="8" t="str">
        <f t="array" ref="O16">IFERROR(INDEX($F$2:$F$181,SMALL(_xlfn.IFS($G$2:$G$181&lt;$O$2,"",$G$2:$G$181&gt;$O$3,"",ISNUMBER($G$2:$G$181),ROW($A$1:$A$180)),ROW(A13))),"")</f>
        <v/>
      </c>
      <c r="P16" s="8" t="str">
        <f t="array" ref="P16">IFERROR(INDEX($F$2:$F$181,SMALL(_xlfn.IFS($G$2:$G$181&lt;$P$2,"",$G$2:$G$181&gt;$P$3,"",ISNUMBER($G$2:$G$181),ROW($A$1:$A$180)),ROW(A13))),"")</f>
        <v/>
      </c>
      <c r="Q16" s="8" t="str">
        <f t="array" ref="Q16">IFERROR(INDEX($F$2:$F$181,SMALL(_xlfn.IFS($G$2:$G$181&lt;$Q$2,"",$G$2:$G$181&gt;$Q$3,"",ISNUMBER($G$2:$G$181),ROW($A$1:$A$180)),ROW(A13))),"")</f>
        <v/>
      </c>
      <c r="R16" s="8" t="str">
        <f t="array" ref="R16">IFERROR(INDEX($F$2:$F$181,SMALL(_xlfn.IFS($G$2:$G$181&lt;$R$2,"",$G$2:$G$181&gt;$R$3,"",ISNUMBER($G$2:$G$181),ROW($A$1:$A$180)),ROW(A13))),"")</f>
        <v/>
      </c>
      <c r="S16" s="9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  <c r="V16" s="5" t="str" cm="1">
        <f t="array" ref="V16">IFERROR(INDEX($F$2:$F$181,SMALL(_xlfn.IFS($G$2:$G$181&lt;V$2,"",$G$2:$G$181&gt;V$3,"",ISNUMBER($G$2:$G$181),ROW($A$1:$A$180)),ROW(B13))),"")</f>
        <v/>
      </c>
      <c r="W16" s="5" t="str" cm="1">
        <f t="array" ref="W16">IFERROR(INDEX($F$2:$F$181,SMALL(_xlfn.IFS($G$2:$G$181&lt;W$2,"",$G$2:$G$181&gt;W$3,"",ISNUMBER($G$2:$G$181),ROW($A$1:$A$180)),ROW(C13))),"")</f>
        <v/>
      </c>
      <c r="X16" s="5" t="str" cm="1">
        <f t="array" ref="X16">IFERROR(INDEX($F$2:$F$181,SMALL(_xlfn.IFS($G$2:$G$181&lt;X$2,"",$G$2:$G$181&gt;X$3,"",ISNUMBER($G$2:$G$181),ROW($A$1:$A$180)),ROW(D13))),"")</f>
        <v/>
      </c>
      <c r="Y16" s="5" t="str" cm="1">
        <f t="array" ref="Y16">IFERROR(INDEX($F$2:$F$181,SMALL(_xlfn.IFS($G$2:$G$181&lt;Y$2,"",$G$2:$G$181&gt;Y$3,"",ISNUMBER($G$2:$G$181),ROW($A$1:$A$180)),ROW(E13))),"")</f>
        <v/>
      </c>
    </row>
    <row r="17" spans="1:25" ht="14.55" thickTop="1" x14ac:dyDescent="0.3">
      <c r="A17" s="78"/>
      <c r="B17" s="84">
        <v>3</v>
      </c>
      <c r="C17" s="7" t="s">
        <v>4</v>
      </c>
      <c r="D17" s="7"/>
      <c r="E17" s="7"/>
      <c r="F17" s="67" t="e">
        <f t="shared" ref="F17" si="12">(AVERAGEIF(D17:E17,"&gt;0",D17:E17))*10^3*100/8</f>
        <v>#DIV/0!</v>
      </c>
      <c r="G17" s="6"/>
      <c r="H17" s="5">
        <f t="array" ref="H17">IFERROR(INDEX($F$2:$F$181,SMALL(IF($G$2:$G$181=4,ROW($A$1:$A$163),""),ROW(A3))),"")</f>
        <v>812500</v>
      </c>
      <c r="I17" s="5">
        <f>AVERAGE(H15:H17)</f>
        <v>614583.33333333337</v>
      </c>
      <c r="J17" s="35">
        <f>STDEV(H15:H17)</f>
        <v>247197.83743660335</v>
      </c>
      <c r="K17" s="37" t="str">
        <f t="array" ref="K17">IFERROR(INDEX($I$2:$I$81,SMALL(IF(ISNUMBER($I$2:$I$81),ROW($A$1:$A$80),""),ROW(A16))),"")</f>
        <v/>
      </c>
      <c r="L17" s="37" t="str">
        <f t="array" ref="L17">IFERROR(INDEX($J$2:$J$81,SMALL(IF(ISNUMBER($J$2:$J$81),ROW($A$1:$A$80),""),ROW(A16))),"")</f>
        <v/>
      </c>
      <c r="M17" s="60"/>
      <c r="N17" s="8" t="str">
        <f t="array" ref="N17">IFERROR(INDEX($F$2:$F$181,SMALL(_xlfn.IFS($G$2:$G$181&lt;$N$2,"",$G$2:$G$181&gt;$N$3,"",ISNUMBER($G$2:$G$181),ROW($A$1:$A$180)),ROW(A14))),"")</f>
        <v/>
      </c>
      <c r="O17" s="8" t="str">
        <f t="array" ref="O17">IFERROR(INDEX($F$2:$F$181,SMALL(_xlfn.IFS($G$2:$G$181&lt;$O$2,"",$G$2:$G$181&gt;$O$3,"",ISNUMBER($G$2:$G$181),ROW($A$1:$A$180)),ROW(A14))),"")</f>
        <v/>
      </c>
      <c r="P17" s="8" t="str">
        <f t="array" ref="P17">IFERROR(INDEX($F$2:$F$181,SMALL(_xlfn.IFS($G$2:$G$181&lt;$P$2,"",$G$2:$G$181&gt;$P$3,"",ISNUMBER($G$2:$G$181),ROW($A$1:$A$180)),ROW(A14))),"")</f>
        <v/>
      </c>
      <c r="Q17" s="8" t="str">
        <f t="array" ref="Q17">IFERROR(INDEX($F$2:$F$181,SMALL(_xlfn.IFS($G$2:$G$181&lt;$Q$2,"",$G$2:$G$181&gt;$Q$3,"",ISNUMBER($G$2:$G$181),ROW($A$1:$A$180)),ROW(A14))),"")</f>
        <v/>
      </c>
      <c r="R17" s="8" t="str">
        <f t="array" ref="R17">IFERROR(INDEX($F$2:$F$181,SMALL(_xlfn.IFS($G$2:$G$181&lt;$R$2,"",$G$2:$G$181&gt;$R$3,"",ISNUMBER($G$2:$G$181),ROW($A$1:$A$180)),ROW(A14))),"")</f>
        <v/>
      </c>
      <c r="S17" s="9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  <c r="V17" s="5" t="str" cm="1">
        <f t="array" ref="V17">IFERROR(INDEX($F$2:$F$181,SMALL(_xlfn.IFS($G$2:$G$181&lt;V$2,"",$G$2:$G$181&gt;V$3,"",ISNUMBER($G$2:$G$181),ROW($A$1:$A$180)),ROW(B14))),"")</f>
        <v/>
      </c>
      <c r="W17" s="5" t="str" cm="1">
        <f t="array" ref="W17">IFERROR(INDEX($F$2:$F$181,SMALL(_xlfn.IFS($G$2:$G$181&lt;W$2,"",$G$2:$G$181&gt;W$3,"",ISNUMBER($G$2:$G$181),ROW($A$1:$A$180)),ROW(C14))),"")</f>
        <v/>
      </c>
      <c r="X17" s="5" t="str" cm="1">
        <f t="array" ref="X17">IFERROR(INDEX($F$2:$F$181,SMALL(_xlfn.IFS($G$2:$G$181&lt;X$2,"",$G$2:$G$181&gt;X$3,"",ISNUMBER($G$2:$G$181),ROW($A$1:$A$180)),ROW(D14))),"")</f>
        <v/>
      </c>
      <c r="Y17" s="5" t="str" cm="1">
        <f t="array" ref="Y17">IFERROR(INDEX($F$2:$F$181,SMALL(_xlfn.IFS($G$2:$G$181&lt;Y$2,"",$G$2:$G$181&gt;Y$3,"",ISNUMBER($G$2:$G$181),ROW($A$1:$A$180)),ROW(E14))),"")</f>
        <v/>
      </c>
    </row>
    <row r="18" spans="1:25" x14ac:dyDescent="0.3">
      <c r="A18" s="78"/>
      <c r="B18" s="82"/>
      <c r="C18" s="10" t="s">
        <v>2</v>
      </c>
      <c r="D18" s="10">
        <v>46</v>
      </c>
      <c r="E18" s="10">
        <v>43</v>
      </c>
      <c r="F18" s="68">
        <f t="shared" ref="F18" si="13">(AVERAGEIF(D18:E18,"&gt;0",D18:E18))*10^4*100/8</f>
        <v>5562500</v>
      </c>
      <c r="G18" s="6">
        <v>3</v>
      </c>
      <c r="H18" s="5" t="s">
        <v>15</v>
      </c>
      <c r="J18" s="36"/>
      <c r="K18" s="37" t="str">
        <f t="array" ref="K18">IFERROR(INDEX($I$2:$I$81,SMALL(IF(ISNUMBER($I$2:$I$81),ROW($A$1:$A$80),""),ROW(A17))),"")</f>
        <v/>
      </c>
      <c r="L18" s="37" t="str">
        <f t="array" ref="L18">IFERROR(INDEX($J$2:$J$81,SMALL(IF(ISNUMBER($J$2:$J$81),ROW($A$1:$A$80),""),ROW(A17))),"")</f>
        <v/>
      </c>
      <c r="M18" s="60"/>
      <c r="N18" s="8" t="str">
        <f t="array" ref="N18">IFERROR(INDEX($F$2:$F$181,SMALL(_xlfn.IFS($G$2:$G$181&lt;$N$2,"",$G$2:$G$181&gt;$N$3,"",ISNUMBER($G$2:$G$181),ROW($A$1:$A$180)),ROW(A15))),"")</f>
        <v/>
      </c>
      <c r="O18" s="8" t="str">
        <f t="array" ref="O18">IFERROR(INDEX($F$2:$F$181,SMALL(_xlfn.IFS($G$2:$G$181&lt;$O$2,"",$G$2:$G$181&gt;$O$3,"",ISNUMBER($G$2:$G$181),ROW($A$1:$A$180)),ROW(A15))),"")</f>
        <v/>
      </c>
      <c r="P18" s="8" t="str">
        <f t="array" ref="P18">IFERROR(INDEX($F$2:$F$181,SMALL(_xlfn.IFS($G$2:$G$181&lt;$P$2,"",$G$2:$G$181&gt;$P$3,"",ISNUMBER($G$2:$G$181),ROW($A$1:$A$180)),ROW(A15))),"")</f>
        <v/>
      </c>
      <c r="Q18" s="8" t="str">
        <f t="array" ref="Q18">IFERROR(INDEX($F$2:$F$181,SMALL(_xlfn.IFS($G$2:$G$181&lt;$Q$2,"",$G$2:$G$181&gt;$Q$3,"",ISNUMBER($G$2:$G$181),ROW($A$1:$A$180)),ROW(A15))),"")</f>
        <v/>
      </c>
      <c r="R18" s="8" t="str">
        <f t="array" ref="R18">IFERROR(INDEX($F$2:$F$181,SMALL(_xlfn.IFS($G$2:$G$181&lt;$R$2,"",$G$2:$G$181&gt;$R$3,"",ISNUMBER($G$2:$G$181),ROW($A$1:$A$180)),ROW(A15))),"")</f>
        <v/>
      </c>
      <c r="S18" s="9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  <c r="V18" s="5" t="str" cm="1">
        <f t="array" ref="V18">IFERROR(INDEX($F$2:$F$181,SMALL(_xlfn.IFS($G$2:$G$181&lt;V$2,"",$G$2:$G$181&gt;V$3,"",ISNUMBER($G$2:$G$181),ROW($A$1:$A$180)),ROW(B15))),"")</f>
        <v/>
      </c>
      <c r="W18" s="5" t="str" cm="1">
        <f t="array" ref="W18">IFERROR(INDEX($F$2:$F$181,SMALL(_xlfn.IFS($G$2:$G$181&lt;W$2,"",$G$2:$G$181&gt;W$3,"",ISNUMBER($G$2:$G$181),ROW($A$1:$A$180)),ROW(C15))),"")</f>
        <v/>
      </c>
      <c r="X18" s="5" t="str" cm="1">
        <f t="array" ref="X18">IFERROR(INDEX($F$2:$F$181,SMALL(_xlfn.IFS($G$2:$G$181&lt;X$2,"",$G$2:$G$181&gt;X$3,"",ISNUMBER($G$2:$G$181),ROW($A$1:$A$180)),ROW(D15))),"")</f>
        <v/>
      </c>
      <c r="Y18" s="5" t="str" cm="1">
        <f t="array" ref="Y18">IFERROR(INDEX($F$2:$F$181,SMALL(_xlfn.IFS($G$2:$G$181&lt;Y$2,"",$G$2:$G$181&gt;Y$3,"",ISNUMBER($G$2:$G$181),ROW($A$1:$A$180)),ROW(E15))),"")</f>
        <v/>
      </c>
    </row>
    <row r="19" spans="1:25" ht="14.55" thickBot="1" x14ac:dyDescent="0.35">
      <c r="A19" s="79"/>
      <c r="B19" s="85"/>
      <c r="C19" s="31" t="s">
        <v>3</v>
      </c>
      <c r="D19" s="31">
        <v>1</v>
      </c>
      <c r="E19" s="31"/>
      <c r="F19" s="69">
        <f t="shared" ref="F19" si="14">(AVERAGEIF(D19:E19,"&gt;0",D19:E19))*10^5*100/8</f>
        <v>1250000</v>
      </c>
      <c r="G19" s="6"/>
      <c r="H19" s="5">
        <f t="array" ref="H19">IFERROR(INDEX($F$2:$F$181,SMALL(IF($G$2:$G$181=5,ROW($A$1:$A$163),""),ROW(A1))),"")</f>
        <v>3812500</v>
      </c>
      <c r="J19" s="36"/>
      <c r="K19" s="37" t="str">
        <f t="array" ref="K19">IFERROR(INDEX($I$2:$I$81,SMALL(IF(ISNUMBER($I$2:$I$81),ROW($A$1:$A$80),""),ROW(A18))),"")</f>
        <v/>
      </c>
      <c r="L19" s="37" t="str">
        <f t="array" ref="L19">IFERROR(INDEX($J$2:$J$81,SMALL(IF(ISNUMBER($J$2:$J$81),ROW($A$1:$A$80),""),ROW(A18))),"")</f>
        <v/>
      </c>
      <c r="M19" s="60"/>
      <c r="N19" s="8" t="str">
        <f t="array" ref="N19">IFERROR(INDEX($F$2:$F$181,SMALL(_xlfn.IFS($G$2:$G$181&lt;$N$2,"",$G$2:$G$181&gt;$N$3,"",ISNUMBER($G$2:$G$181),ROW($A$1:$A$180)),ROW(A16))),"")</f>
        <v/>
      </c>
      <c r="O19" s="8" t="str">
        <f t="array" ref="O19">IFERROR(INDEX($F$2:$F$181,SMALL(_xlfn.IFS($G$2:$G$181&lt;$O$2,"",$G$2:$G$181&gt;$O$3,"",ISNUMBER($G$2:$G$181),ROW($A$1:$A$180)),ROW(A16))),"")</f>
        <v/>
      </c>
      <c r="P19" s="8" t="str">
        <f t="array" ref="P19">IFERROR(INDEX($F$2:$F$181,SMALL(_xlfn.IFS($G$2:$G$181&lt;$P$2,"",$G$2:$G$181&gt;$P$3,"",ISNUMBER($G$2:$G$181),ROW($A$1:$A$180)),ROW(A16))),"")</f>
        <v/>
      </c>
      <c r="Q19" s="8" t="str">
        <f t="array" ref="Q19">IFERROR(INDEX($F$2:$F$181,SMALL(_xlfn.IFS($G$2:$G$181&lt;$Q$2,"",$G$2:$G$181&gt;$Q$3,"",ISNUMBER($G$2:$G$181),ROW($A$1:$A$180)),ROW(A16))),"")</f>
        <v/>
      </c>
      <c r="R19" s="8" t="str">
        <f t="array" ref="R19">IFERROR(INDEX($F$2:$F$181,SMALL(_xlfn.IFS($G$2:$G$181&lt;$R$2,"",$G$2:$G$181&gt;$R$3,"",ISNUMBER($G$2:$G$181),ROW($A$1:$A$180)),ROW(A16))),"")</f>
        <v/>
      </c>
      <c r="S19" s="9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  <c r="V19" s="5" t="str" cm="1">
        <f t="array" ref="V19">IFERROR(INDEX($F$2:$F$181,SMALL(_xlfn.IFS($G$2:$G$181&lt;V$2,"",$G$2:$G$181&gt;V$3,"",ISNUMBER($G$2:$G$181),ROW($A$1:$A$180)),ROW(B16))),"")</f>
        <v/>
      </c>
      <c r="W19" s="5" t="str" cm="1">
        <f t="array" ref="W19">IFERROR(INDEX($F$2:$F$181,SMALL(_xlfn.IFS($G$2:$G$181&lt;W$2,"",$G$2:$G$181&gt;W$3,"",ISNUMBER($G$2:$G$181),ROW($A$1:$A$180)),ROW(C16))),"")</f>
        <v/>
      </c>
      <c r="X19" s="5" t="str" cm="1">
        <f t="array" ref="X19">IFERROR(INDEX($F$2:$F$181,SMALL(_xlfn.IFS($G$2:$G$181&lt;X$2,"",$G$2:$G$181&gt;X$3,"",ISNUMBER($G$2:$G$181),ROW($A$1:$A$180)),ROW(D16))),"")</f>
        <v/>
      </c>
      <c r="Y19" s="5" t="str" cm="1">
        <f t="array" ref="Y19">IFERROR(INDEX($F$2:$F$181,SMALL(_xlfn.IFS($G$2:$G$181&lt;Y$2,"",$G$2:$G$181&gt;Y$3,"",ISNUMBER($G$2:$G$181),ROW($A$1:$A$180)),ROW(E16))),"")</f>
        <v/>
      </c>
    </row>
    <row r="20" spans="1:25" ht="14.55" thickTop="1" x14ac:dyDescent="0.3">
      <c r="A20" s="77" t="s">
        <v>59</v>
      </c>
      <c r="B20" s="81">
        <v>1</v>
      </c>
      <c r="C20" s="26" t="s">
        <v>4</v>
      </c>
      <c r="D20" s="53"/>
      <c r="E20" s="53"/>
      <c r="F20" s="67" t="e">
        <f t="shared" ref="F20" si="15">(AVERAGEIF(D20:E20,"&gt;0",D20:E20))*10^3*100/8</f>
        <v>#DIV/0!</v>
      </c>
      <c r="G20" s="6"/>
      <c r="H20" s="5">
        <f t="array" ref="H20">IFERROR(INDEX($F$2:$F$181,SMALL(IF($G$2:$G$181=5,ROW($A$1:$A$163),""),ROW(A2))),"")</f>
        <v>5000000</v>
      </c>
      <c r="J20" s="36"/>
      <c r="K20" s="37" t="str">
        <f t="array" ref="K20">IFERROR(INDEX($I$2:$I$81,SMALL(IF(ISNUMBER($I$2:$I$81),ROW($A$1:$A$80),""),ROW(A19))),"")</f>
        <v/>
      </c>
      <c r="L20" s="37" t="str">
        <f t="array" ref="L20">IFERROR(INDEX($J$2:$J$81,SMALL(IF(ISNUMBER($J$2:$J$81),ROW($A$1:$A$80),""),ROW(A19))),"")</f>
        <v/>
      </c>
      <c r="M20" s="60"/>
      <c r="N20" s="8" t="str">
        <f t="array" ref="N20">IFERROR(INDEX($F$2:$F$181,SMALL(_xlfn.IFS($G$2:$G$181&lt;$N$2,"",$G$2:$G$181&gt;$N$3,"",ISNUMBER($G$2:$G$181),ROW($A$1:$A$180)),ROW(A17))),"")</f>
        <v/>
      </c>
      <c r="O20" s="8" t="str">
        <f t="array" ref="O20">IFERROR(INDEX($F$2:$F$181,SMALL(_xlfn.IFS($G$2:$G$181&lt;$O$2,"",$G$2:$G$181&gt;$O$3,"",ISNUMBER($G$2:$G$181),ROW($A$1:$A$180)),ROW(A17))),"")</f>
        <v/>
      </c>
      <c r="P20" s="8" t="str">
        <f t="array" ref="P20">IFERROR(INDEX($F$2:$F$181,SMALL(_xlfn.IFS($G$2:$G$181&lt;$P$2,"",$G$2:$G$181&gt;$P$3,"",ISNUMBER($G$2:$G$181),ROW($A$1:$A$180)),ROW(A17))),"")</f>
        <v/>
      </c>
      <c r="Q20" s="8" t="str">
        <f t="array" ref="Q20">IFERROR(INDEX($F$2:$F$181,SMALL(_xlfn.IFS($G$2:$G$181&lt;$Q$2,"",$G$2:$G$181&gt;$Q$3,"",ISNUMBER($G$2:$G$181),ROW($A$1:$A$180)),ROW(A17))),"")</f>
        <v/>
      </c>
      <c r="R20" s="8" t="str">
        <f t="array" ref="R20">IFERROR(INDEX($F$2:$F$181,SMALL(_xlfn.IFS($G$2:$G$181&lt;$R$2,"",$G$2:$G$181&gt;$R$3,"",ISNUMBER($G$2:$G$181),ROW($A$1:$A$180)),ROW(A17))),"")</f>
        <v/>
      </c>
      <c r="S20" s="9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  <c r="V20" s="5" t="str" cm="1">
        <f t="array" ref="V20">IFERROR(INDEX($F$2:$F$181,SMALL(_xlfn.IFS($G$2:$G$181&lt;V$2,"",$G$2:$G$181&gt;V$3,"",ISNUMBER($G$2:$G$181),ROW($A$1:$A$180)),ROW(B17))),"")</f>
        <v/>
      </c>
      <c r="W20" s="5" t="str" cm="1">
        <f t="array" ref="W20">IFERROR(INDEX($F$2:$F$181,SMALL(_xlfn.IFS($G$2:$G$181&lt;W$2,"",$G$2:$G$181&gt;W$3,"",ISNUMBER($G$2:$G$181),ROW($A$1:$A$180)),ROW(C17))),"")</f>
        <v/>
      </c>
      <c r="X20" s="5" t="str" cm="1">
        <f t="array" ref="X20">IFERROR(INDEX($F$2:$F$181,SMALL(_xlfn.IFS($G$2:$G$181&lt;X$2,"",$G$2:$G$181&gt;X$3,"",ISNUMBER($G$2:$G$181),ROW($A$1:$A$180)),ROW(D17))),"")</f>
        <v/>
      </c>
      <c r="Y20" s="5" t="str" cm="1">
        <f t="array" ref="Y20">IFERROR(INDEX($F$2:$F$181,SMALL(_xlfn.IFS($G$2:$G$181&lt;Y$2,"",$G$2:$G$181&gt;Y$3,"",ISNUMBER($G$2:$G$181),ROW($A$1:$A$180)),ROW(E17))),"")</f>
        <v/>
      </c>
    </row>
    <row r="21" spans="1:25" x14ac:dyDescent="0.3">
      <c r="A21" s="78"/>
      <c r="B21" s="82"/>
      <c r="C21" s="10" t="s">
        <v>2</v>
      </c>
      <c r="D21" s="10">
        <v>26</v>
      </c>
      <c r="E21" s="10">
        <v>35</v>
      </c>
      <c r="F21" s="68">
        <f t="shared" ref="F21" si="16">(AVERAGEIF(D21:E21,"&gt;0",D21:E21))*10^4*100/8</f>
        <v>3812500</v>
      </c>
      <c r="G21" s="6">
        <v>5</v>
      </c>
      <c r="H21" s="5">
        <f t="array" ref="H21">IFERROR(INDEX($F$2:$F$181,SMALL(IF($G$2:$G$181=5,ROW($A$1:$A$163),""),ROW(A3))),"")</f>
        <v>7500000</v>
      </c>
      <c r="I21" s="5">
        <f>AVERAGE(H19:H21)</f>
        <v>5437500</v>
      </c>
      <c r="J21" s="35">
        <f>STDEV(H19:H21)</f>
        <v>1882277.5432969497</v>
      </c>
      <c r="K21" s="37" t="str">
        <f t="array" ref="K21">IFERROR(INDEX($I$2:$I$81,SMALL(IF(ISNUMBER($I$2:$I$81),ROW($A$1:$A$80),""),ROW(A20))),"")</f>
        <v/>
      </c>
      <c r="L21" s="37" t="str">
        <f t="array" ref="L21">IFERROR(INDEX($J$2:$J$81,SMALL(IF(ISNUMBER($J$2:$J$81),ROW($A$1:$A$80),""),ROW(A20))),"")</f>
        <v/>
      </c>
      <c r="M21" s="60"/>
      <c r="N21" s="8" t="str">
        <f t="array" ref="N21">IFERROR(INDEX($F$2:$F$181,SMALL(_xlfn.IFS($G$2:$G$181&lt;$N$2,"",$G$2:$G$181&gt;$N$3,"",ISNUMBER($G$2:$G$181),ROW($A$1:$A$180)),ROW(A18))),"")</f>
        <v/>
      </c>
      <c r="O21" s="8" t="str">
        <f t="array" ref="O21">IFERROR(INDEX($F$2:$F$181,SMALL(_xlfn.IFS($G$2:$G$181&lt;$O$2,"",$G$2:$G$181&gt;$O$3,"",ISNUMBER($G$2:$G$181),ROW($A$1:$A$180)),ROW(A18))),"")</f>
        <v/>
      </c>
      <c r="P21" s="8" t="str">
        <f t="array" ref="P21">IFERROR(INDEX($F$2:$F$181,SMALL(_xlfn.IFS($G$2:$G$181&lt;$P$2,"",$G$2:$G$181&gt;$P$3,"",ISNUMBER($G$2:$G$181),ROW($A$1:$A$180)),ROW(A18))),"")</f>
        <v/>
      </c>
      <c r="Q21" s="8" t="str">
        <f t="array" ref="Q21">IFERROR(INDEX($F$2:$F$181,SMALL(_xlfn.IFS($G$2:$G$181&lt;$Q$2,"",$G$2:$G$181&gt;$Q$3,"",ISNUMBER($G$2:$G$181),ROW($A$1:$A$180)),ROW(A18))),"")</f>
        <v/>
      </c>
      <c r="R21" s="8" t="str">
        <f t="array" ref="R21">IFERROR(INDEX($F$2:$F$181,SMALL(_xlfn.IFS($G$2:$G$181&lt;$R$2,"",$G$2:$G$181&gt;$R$3,"",ISNUMBER($G$2:$G$181),ROW($A$1:$A$180)),ROW(A18))),"")</f>
        <v/>
      </c>
      <c r="S21" s="9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  <c r="V21" s="5" t="str" cm="1">
        <f t="array" ref="V21">IFERROR(INDEX($F$2:$F$181,SMALL(_xlfn.IFS($G$2:$G$181&lt;V$2,"",$G$2:$G$181&gt;V$3,"",ISNUMBER($G$2:$G$181),ROW($A$1:$A$180)),ROW(B18))),"")</f>
        <v/>
      </c>
      <c r="W21" s="5" t="str" cm="1">
        <f t="array" ref="W21">IFERROR(INDEX($F$2:$F$181,SMALL(_xlfn.IFS($G$2:$G$181&lt;W$2,"",$G$2:$G$181&gt;W$3,"",ISNUMBER($G$2:$G$181),ROW($A$1:$A$180)),ROW(C18))),"")</f>
        <v/>
      </c>
      <c r="X21" s="5" t="str" cm="1">
        <f t="array" ref="X21">IFERROR(INDEX($F$2:$F$181,SMALL(_xlfn.IFS($G$2:$G$181&lt;X$2,"",$G$2:$G$181&gt;X$3,"",ISNUMBER($G$2:$G$181),ROW($A$1:$A$180)),ROW(D18))),"")</f>
        <v/>
      </c>
      <c r="Y21" s="5" t="str" cm="1">
        <f t="array" ref="Y21">IFERROR(INDEX($F$2:$F$181,SMALL(_xlfn.IFS($G$2:$G$181&lt;Y$2,"",$G$2:$G$181&gt;Y$3,"",ISNUMBER($G$2:$G$181),ROW($A$1:$A$180)),ROW(E18))),"")</f>
        <v/>
      </c>
    </row>
    <row r="22" spans="1:25" ht="14.55" thickBot="1" x14ac:dyDescent="0.35">
      <c r="A22" s="78"/>
      <c r="B22" s="83"/>
      <c r="C22" s="11" t="s">
        <v>3</v>
      </c>
      <c r="D22" s="11">
        <v>3</v>
      </c>
      <c r="E22" s="11"/>
      <c r="F22" s="69">
        <f t="shared" ref="F22" si="17">(AVERAGEIF(D22:E22,"&gt;0",D22:E22))*10^5*100/8</f>
        <v>3750000</v>
      </c>
      <c r="G22" s="6"/>
      <c r="H22" s="5" t="s">
        <v>16</v>
      </c>
      <c r="J22" s="36"/>
      <c r="K22" s="37" t="str">
        <f t="array" ref="K22">IFERROR(INDEX($I$2:$I$81,SMALL(IF(ISNUMBER($I$2:$I$81),ROW($A$1:$A$80),""),ROW(A21))),"")</f>
        <v/>
      </c>
      <c r="L22" s="37" t="str">
        <f t="array" ref="L22">IFERROR(INDEX($J$2:$J$81,SMALL(IF(ISNUMBER($J$2:$J$81),ROW($A$1:$A$80),""),ROW(A21))),"")</f>
        <v/>
      </c>
      <c r="M22" s="61"/>
      <c r="N22" s="42" t="s">
        <v>35</v>
      </c>
      <c r="O22" s="42" t="s">
        <v>36</v>
      </c>
      <c r="P22" s="42" t="s">
        <v>37</v>
      </c>
      <c r="Q22" s="42" t="s">
        <v>38</v>
      </c>
      <c r="R22" s="43" t="s">
        <v>39</v>
      </c>
      <c r="S22" s="43" t="s">
        <v>40</v>
      </c>
      <c r="T22" s="41" t="s">
        <v>41</v>
      </c>
      <c r="U22" s="41" t="s">
        <v>42</v>
      </c>
      <c r="V22" s="41" t="s">
        <v>42</v>
      </c>
      <c r="W22" s="41" t="s">
        <v>42</v>
      </c>
      <c r="X22" s="41" t="s">
        <v>42</v>
      </c>
      <c r="Y22" s="41" t="s">
        <v>42</v>
      </c>
    </row>
    <row r="23" spans="1:25" ht="14.55" thickTop="1" x14ac:dyDescent="0.3">
      <c r="A23" s="78"/>
      <c r="B23" s="84">
        <v>2</v>
      </c>
      <c r="C23" s="7" t="s">
        <v>4</v>
      </c>
      <c r="D23" s="54"/>
      <c r="E23" s="54"/>
      <c r="F23" s="67" t="e">
        <f t="shared" ref="F23" si="18">(AVERAGEIF(D23:E23,"&gt;0",D23:E23))*10^3*100/8</f>
        <v>#DIV/0!</v>
      </c>
      <c r="G23" s="6"/>
      <c r="H23" s="5">
        <f t="array" ref="H23">IFERROR(INDEX($F$2:$F$181,SMALL(IF($G$2:$G$181=6,ROW($A$1:$A$163),""),ROW(A1))),"")</f>
        <v>62500</v>
      </c>
      <c r="J23" s="36"/>
      <c r="K23" s="37" t="str">
        <f t="array" ref="K23">IFERROR(INDEX($I$2:$I$81,SMALL(IF(ISNUMBER($I$2:$I$81),ROW($A$1:$A$80),""),ROW(A22))),"")</f>
        <v/>
      </c>
      <c r="L23" s="37" t="str">
        <f t="array" ref="L23">IFERROR(INDEX($J$2:$J$81,SMALL(IF(ISNUMBER($J$2:$J$81),ROW($A$1:$A$80),""),ROW(A22))),"")</f>
        <v/>
      </c>
      <c r="M23" s="61"/>
      <c r="N23" s="8">
        <f>AVERAGE(N4:N21)</f>
        <v>9833333.333333334</v>
      </c>
      <c r="O23" s="8">
        <f t="shared" ref="O23:Y23" si="19">AVERAGE(O4:O21)</f>
        <v>679166.66666666663</v>
      </c>
      <c r="P23" s="8">
        <f t="shared" si="19"/>
        <v>5437500</v>
      </c>
      <c r="Q23" s="8">
        <f t="shared" si="19"/>
        <v>172291.66666666666</v>
      </c>
      <c r="R23" s="8">
        <f t="shared" si="19"/>
        <v>2937500</v>
      </c>
      <c r="S23" s="8">
        <f t="shared" si="19"/>
        <v>188958.33333333334</v>
      </c>
      <c r="T23" s="8">
        <f t="shared" si="19"/>
        <v>9645833.333333334</v>
      </c>
      <c r="U23" s="8">
        <f t="shared" si="19"/>
        <v>1116666.6666666667</v>
      </c>
      <c r="V23" s="8">
        <f t="shared" si="19"/>
        <v>5208333.333333333</v>
      </c>
      <c r="W23" s="8">
        <f t="shared" si="19"/>
        <v>614583.33333333337</v>
      </c>
      <c r="X23" s="8">
        <f t="shared" si="19"/>
        <v>2395833.3333333335</v>
      </c>
      <c r="Y23" s="8">
        <f t="shared" si="19"/>
        <v>290625</v>
      </c>
    </row>
    <row r="24" spans="1:25" x14ac:dyDescent="0.3">
      <c r="A24" s="78"/>
      <c r="B24" s="82"/>
      <c r="C24" s="10" t="s">
        <v>2</v>
      </c>
      <c r="D24" s="10">
        <v>36</v>
      </c>
      <c r="E24" s="10">
        <v>33</v>
      </c>
      <c r="F24" s="68">
        <f t="shared" ref="F24" si="20">(AVERAGEIF(D24:E24,"&gt;0",D24:E24))*10^4*100/8</f>
        <v>4312500</v>
      </c>
      <c r="G24" s="6"/>
      <c r="H24" s="5">
        <f t="array" ref="H24">IFERROR(INDEX($F$2:$F$181,SMALL(IF($G$2:$G$181=6,ROW($A$1:$A$163),""),ROW(A2))),"")</f>
        <v>185625</v>
      </c>
      <c r="J24" s="36"/>
      <c r="K24" s="37" t="str">
        <f t="array" ref="K24">IFERROR(INDEX($I$2:$I$81,SMALL(IF(ISNUMBER($I$2:$I$81),ROW($A$1:$A$80),""),ROW(A23))),"")</f>
        <v/>
      </c>
      <c r="L24" s="37" t="str">
        <f t="array" ref="L24">IFERROR(INDEX($J$2:$J$81,SMALL(IF(ISNUMBER($J$2:$J$81),ROW($A$1:$A$80),""),ROW(A23))),"")</f>
        <v/>
      </c>
      <c r="M24" s="61"/>
      <c r="N24" s="42" t="s">
        <v>43</v>
      </c>
      <c r="O24" s="42" t="s">
        <v>44</v>
      </c>
      <c r="P24" s="42" t="s">
        <v>45</v>
      </c>
      <c r="Q24" s="42" t="s">
        <v>46</v>
      </c>
      <c r="R24" s="43" t="s">
        <v>47</v>
      </c>
      <c r="S24" s="43" t="s">
        <v>48</v>
      </c>
      <c r="T24" s="41" t="s">
        <v>50</v>
      </c>
      <c r="U24" s="41" t="s">
        <v>49</v>
      </c>
      <c r="V24" s="41" t="s">
        <v>49</v>
      </c>
      <c r="W24" s="41" t="s">
        <v>49</v>
      </c>
      <c r="X24" s="41" t="s">
        <v>49</v>
      </c>
      <c r="Y24" s="41" t="s">
        <v>49</v>
      </c>
    </row>
    <row r="25" spans="1:25" ht="14.55" thickBot="1" x14ac:dyDescent="0.35">
      <c r="A25" s="78"/>
      <c r="B25" s="83"/>
      <c r="C25" s="11" t="s">
        <v>3</v>
      </c>
      <c r="D25" s="11">
        <v>4</v>
      </c>
      <c r="E25" s="11">
        <v>4</v>
      </c>
      <c r="F25" s="69">
        <f t="shared" ref="F25" si="21">(AVERAGEIF(D25:E25,"&gt;0",D25:E25))*10^5*100/8</f>
        <v>5000000</v>
      </c>
      <c r="G25" s="6">
        <v>5</v>
      </c>
      <c r="H25" s="5">
        <f t="array" ref="H25">IFERROR(INDEX($F$2:$F$181,SMALL(IF($G$2:$G$181=6,ROW($A$1:$A$163),""),ROW(A3))),"")</f>
        <v>268750</v>
      </c>
      <c r="I25" s="5">
        <f>AVERAGE(H23:H25)</f>
        <v>172291.66666666666</v>
      </c>
      <c r="J25" s="35">
        <f>STDEV(H23:H25)</f>
        <v>103769.4509879152</v>
      </c>
      <c r="K25" s="37" t="str">
        <f t="array" ref="K25">IFERROR(INDEX($I$2:$I$81,SMALL(IF(ISNUMBER($I$2:$I$81),ROW($A$1:$A$80),""),ROW(A24))),"")</f>
        <v/>
      </c>
      <c r="L25" s="37" t="str">
        <f t="array" ref="L25">IFERROR(INDEX($J$2:$J$81,SMALL(IF(ISNUMBER($J$2:$J$81),ROW($A$1:$A$80),""),ROW(A24))),"")</f>
        <v/>
      </c>
      <c r="M25" s="61"/>
      <c r="N25" s="13">
        <f t="shared" ref="N25:P25" si="22">STDEV(N4:N21)</f>
        <v>1880547.3493994623</v>
      </c>
      <c r="O25" s="13">
        <f t="shared" si="22"/>
        <v>330738.59894686221</v>
      </c>
      <c r="P25" s="13">
        <f t="shared" si="22"/>
        <v>1882277.5432969497</v>
      </c>
      <c r="Q25" s="13">
        <f>STDEV(Q4:Q21)</f>
        <v>103769.4509879152</v>
      </c>
      <c r="R25" s="13">
        <f t="shared" ref="R25:Y25" si="23">STDEV(R4:R21)</f>
        <v>2374177.4891528222</v>
      </c>
      <c r="S25" s="13">
        <f t="shared" si="23"/>
        <v>150758.93077470845</v>
      </c>
      <c r="T25" s="13">
        <f t="shared" si="23"/>
        <v>3351966.15187763</v>
      </c>
      <c r="U25" s="13">
        <f t="shared" si="23"/>
        <v>217436.53288565206</v>
      </c>
      <c r="V25" s="13">
        <f t="shared" si="23"/>
        <v>308305.1788947655</v>
      </c>
      <c r="W25" s="13">
        <f t="shared" si="23"/>
        <v>247197.83743660335</v>
      </c>
      <c r="X25" s="13">
        <f t="shared" si="23"/>
        <v>1448778.2208928091</v>
      </c>
      <c r="Y25" s="13">
        <f t="shared" si="23"/>
        <v>190034.94744388465</v>
      </c>
    </row>
    <row r="26" spans="1:25" ht="14.55" thickTop="1" x14ac:dyDescent="0.3">
      <c r="A26" s="78"/>
      <c r="B26" s="84">
        <v>3</v>
      </c>
      <c r="C26" s="7" t="s">
        <v>4</v>
      </c>
      <c r="D26" s="54"/>
      <c r="E26" s="54"/>
      <c r="F26" s="67" t="e">
        <f t="shared" ref="F26" si="24">(AVERAGEIF(D26:E26,"&gt;0",D26:E26))*10^3*100/8</f>
        <v>#DIV/0!</v>
      </c>
      <c r="G26" s="6"/>
      <c r="H26" s="5" t="s">
        <v>17</v>
      </c>
      <c r="J26" s="36"/>
      <c r="K26" s="37" t="str">
        <f t="array" ref="K26">IFERROR(INDEX($I$2:$I$81,SMALL(IF(ISNUMBER($I$2:$I$81),ROW($A$1:$A$80),""),ROW(A25))),"")</f>
        <v/>
      </c>
      <c r="L26" s="37" t="str">
        <f t="array" ref="L26">IFERROR(INDEX($J$2:$J$81,SMALL(IF(ISNUMBER($J$2:$J$81),ROW($A$1:$A$80),""),ROW(A25))),"")</f>
        <v/>
      </c>
      <c r="M26" s="60"/>
      <c r="N26" s="13"/>
      <c r="O26" s="8"/>
      <c r="P26" s="8"/>
      <c r="Q26" s="8"/>
      <c r="R26" s="9"/>
      <c r="S26" s="9"/>
    </row>
    <row r="27" spans="1:25" x14ac:dyDescent="0.3">
      <c r="A27" s="78"/>
      <c r="B27" s="82"/>
      <c r="C27" s="10" t="s">
        <v>2</v>
      </c>
      <c r="D27" s="10">
        <v>37</v>
      </c>
      <c r="E27" s="10">
        <v>42</v>
      </c>
      <c r="F27" s="68">
        <f t="shared" ref="F27" si="25">(AVERAGEIF(D27:E27,"&gt;0",D27:E27))*10^4*100/8</f>
        <v>4937500</v>
      </c>
      <c r="G27" s="6"/>
      <c r="H27" s="5">
        <f t="array" ref="H27">IFERROR(INDEX($F$2:$F$181,SMALL(IF($G$2:$G$181=7,ROW($A$1:$A$163),""),ROW(A1))),"")</f>
        <v>5625000</v>
      </c>
      <c r="J27" s="36"/>
      <c r="K27" s="37" t="str">
        <f t="array" ref="K27">IFERROR(INDEX($I$2:$I$81,SMALL(IF(ISNUMBER($I$2:$I$81),ROW($A$1:$A$80),""),ROW(A26))),"")</f>
        <v/>
      </c>
      <c r="L27" s="37" t="str">
        <f t="array" ref="L27">IFERROR(INDEX($J$2:$J$81,SMALL(IF(ISNUMBER($J$2:$J$81),ROW($A$1:$A$80),""),ROW(A26))),"")</f>
        <v/>
      </c>
      <c r="M27" s="60"/>
      <c r="N27" s="13"/>
      <c r="O27" s="8"/>
      <c r="P27" s="8"/>
      <c r="Q27" s="8"/>
      <c r="R27" s="9"/>
      <c r="S27" s="9"/>
    </row>
    <row r="28" spans="1:25" ht="14.55" thickBot="1" x14ac:dyDescent="0.35">
      <c r="A28" s="79"/>
      <c r="B28" s="85"/>
      <c r="C28" s="31" t="s">
        <v>3</v>
      </c>
      <c r="D28" s="31">
        <v>6</v>
      </c>
      <c r="E28" s="31">
        <v>6</v>
      </c>
      <c r="F28" s="69">
        <f t="shared" ref="F28" si="26">(AVERAGEIF(D28:E28,"&gt;0",D28:E28))*10^5*100/8</f>
        <v>7500000</v>
      </c>
      <c r="G28" s="6">
        <v>5</v>
      </c>
      <c r="H28" s="5">
        <f t="array" ref="H28">IFERROR(INDEX($F$2:$F$181,SMALL(IF($G$2:$G$181=7,ROW($A$1:$A$163),""),ROW(A2))),"")</f>
        <v>2062500</v>
      </c>
      <c r="J28" s="36"/>
      <c r="K28" s="12"/>
      <c r="L28" s="37" t="str">
        <f t="array" ref="L28">IFERROR(INDEX($J$2:$J$81,SMALL(IF(ISNUMBER($J$2:$J$81),ROW($A$1:$A$80),""),ROW(A27))),"")</f>
        <v/>
      </c>
      <c r="M28" s="60"/>
      <c r="N28" s="13"/>
      <c r="O28" s="8">
        <f>N23/O23</f>
        <v>14.478527607361965</v>
      </c>
      <c r="P28" s="8"/>
      <c r="Q28" s="8">
        <f t="shared" ref="Q28:U28" si="27">P23/Q23</f>
        <v>31.559854897218866</v>
      </c>
      <c r="R28" s="8"/>
      <c r="S28" s="8">
        <f t="shared" si="27"/>
        <v>15.545755237045203</v>
      </c>
      <c r="T28" s="8"/>
      <c r="U28" s="8">
        <f t="shared" si="27"/>
        <v>8.6380597014925371</v>
      </c>
      <c r="W28" s="5">
        <f>V23/W23</f>
        <v>8.4745762711864394</v>
      </c>
      <c r="Y28" s="5">
        <f>X23/Y23</f>
        <v>8.2437275985663092</v>
      </c>
    </row>
    <row r="29" spans="1:25" ht="14.55" thickTop="1" x14ac:dyDescent="0.3">
      <c r="A29" s="77" t="s">
        <v>60</v>
      </c>
      <c r="B29" s="81">
        <v>1</v>
      </c>
      <c r="C29" s="26" t="s">
        <v>4</v>
      </c>
      <c r="D29" s="53"/>
      <c r="E29" s="53"/>
      <c r="F29" s="67" t="e">
        <f t="shared" ref="F29" si="28">(AVERAGEIF(D29:E29,"&gt;0",D29:E29))*10^3*100/8</f>
        <v>#DIV/0!</v>
      </c>
      <c r="G29" s="6"/>
      <c r="H29" s="5">
        <f t="array" ref="H29">IFERROR(INDEX($F$2:$F$181,SMALL(IF($G$2:$G$181=7,ROW($A$1:$A$163),""),ROW(A3))),"")</f>
        <v>1125000</v>
      </c>
      <c r="I29" s="5">
        <f>AVERAGE(H27:H29)</f>
        <v>2937500</v>
      </c>
      <c r="J29" s="35">
        <f>STDEV(H27:H29)</f>
        <v>2374177.4891528222</v>
      </c>
      <c r="K29" s="12"/>
      <c r="L29" s="37" t="str">
        <f t="array" ref="L29">IFERROR(INDEX($J$2:$J$81,SMALL(IF(ISNUMBER($J$2:$J$81),ROW($A$1:$A$80),""),ROW(A28))),"")</f>
        <v/>
      </c>
      <c r="M29" s="60"/>
      <c r="N29" s="13"/>
      <c r="O29" s="8"/>
      <c r="P29" s="8"/>
      <c r="Q29" s="8"/>
      <c r="R29" s="8"/>
      <c r="S29" s="8">
        <f>S23/$O$23</f>
        <v>0.27822085889570553</v>
      </c>
      <c r="T29" s="8"/>
      <c r="U29" s="8">
        <f t="shared" ref="U29:Y29" si="29">U23/$O$23</f>
        <v>1.6441717791411046</v>
      </c>
      <c r="V29" s="8"/>
      <c r="W29" s="8">
        <f t="shared" si="29"/>
        <v>0.9049079754601228</v>
      </c>
      <c r="X29" s="8"/>
      <c r="Y29" s="8">
        <f t="shared" si="29"/>
        <v>0.42791411042944788</v>
      </c>
    </row>
    <row r="30" spans="1:25" x14ac:dyDescent="0.3">
      <c r="A30" s="78"/>
      <c r="B30" s="82"/>
      <c r="C30" s="10" t="s">
        <v>2</v>
      </c>
      <c r="D30" s="10">
        <v>43</v>
      </c>
      <c r="E30" s="10">
        <v>47</v>
      </c>
      <c r="F30" s="68">
        <f t="shared" ref="F30" si="30">(AVERAGEIF(D30:E30,"&gt;0",D30:E30))*10^4*100/8</f>
        <v>5625000</v>
      </c>
      <c r="G30" s="6">
        <v>7</v>
      </c>
      <c r="H30" s="5" t="s">
        <v>18</v>
      </c>
      <c r="J30" s="36"/>
      <c r="K30" s="12"/>
      <c r="L30" s="37" t="str">
        <f t="array" ref="L30">IFERROR(INDEX($J$2:$J$81,SMALL(IF(ISNUMBER($J$2:$J$81),ROW($A$1:$A$80),""),ROW(A29))),"")</f>
        <v/>
      </c>
      <c r="M30" s="37"/>
      <c r="N30" s="13"/>
      <c r="O30" s="8"/>
      <c r="P30" s="8"/>
      <c r="Q30" s="8"/>
      <c r="R30" s="9"/>
      <c r="S30" s="9"/>
    </row>
    <row r="31" spans="1:25" ht="14.55" thickBot="1" x14ac:dyDescent="0.35">
      <c r="A31" s="78"/>
      <c r="B31" s="83"/>
      <c r="C31" s="11" t="s">
        <v>3</v>
      </c>
      <c r="D31" s="11">
        <v>6</v>
      </c>
      <c r="E31" s="11">
        <v>7</v>
      </c>
      <c r="F31" s="69">
        <f t="shared" ref="F31" si="31">(AVERAGEIF(D31:E31,"&gt;0",D31:E31))*10^5*100/8</f>
        <v>8125000</v>
      </c>
      <c r="G31" s="6"/>
      <c r="H31" s="5">
        <f t="array" ref="H31">IFERROR(INDEX($F$2:$F$181,SMALL(IF($G$2:$G$181=8,ROW($A$1:$A$163),""),ROW(A1))),"")</f>
        <v>215000</v>
      </c>
      <c r="J31" s="36"/>
      <c r="K31" s="12"/>
      <c r="L31" s="37" t="str">
        <f t="array" ref="L31">IFERROR(INDEX($J$2:$J$81,SMALL(IF(ISNUMBER($J$2:$J$81),ROW($A$1:$A$80),""),ROW(A30))),"")</f>
        <v/>
      </c>
      <c r="M31" s="37"/>
      <c r="N31" s="13"/>
      <c r="O31" s="8"/>
      <c r="P31" s="8"/>
      <c r="Q31" s="8"/>
      <c r="R31" s="9"/>
      <c r="S31" s="9"/>
      <c r="T31" s="8"/>
      <c r="U31" s="8"/>
    </row>
    <row r="32" spans="1:25" ht="14.55" thickTop="1" x14ac:dyDescent="0.3">
      <c r="A32" s="78"/>
      <c r="B32" s="84">
        <v>2</v>
      </c>
      <c r="C32" s="7" t="s">
        <v>4</v>
      </c>
      <c r="D32" s="54"/>
      <c r="E32" s="54"/>
      <c r="F32" s="67" t="e">
        <f t="shared" ref="F32" si="32">(AVERAGEIF(D32:E32,"&gt;0",D32:E32))*10^3*100/8</f>
        <v>#DIV/0!</v>
      </c>
      <c r="G32" s="6"/>
      <c r="H32" s="5">
        <f t="array" ref="H32">IFERROR(INDEX($F$2:$F$181,SMALL(IF($G$2:$G$181=8,ROW($A$1:$A$163),""),ROW(A2))),"")</f>
        <v>26875</v>
      </c>
      <c r="J32" s="36"/>
      <c r="K32" s="12"/>
      <c r="L32" s="37" t="str">
        <f t="array" ref="L32">IFERROR(INDEX($J$2:$J$81,SMALL(IF(ISNUMBER($J$2:$J$81),ROW($A$1:$A$80),""),ROW(A31))),"")</f>
        <v/>
      </c>
      <c r="M32" s="37"/>
      <c r="N32" s="13"/>
      <c r="O32" s="8"/>
      <c r="P32" s="8"/>
      <c r="Q32" s="8"/>
      <c r="R32" s="9"/>
      <c r="S32" s="9"/>
      <c r="T32" s="13"/>
      <c r="U32" s="13"/>
    </row>
    <row r="33" spans="1:19" x14ac:dyDescent="0.3">
      <c r="A33" s="78"/>
      <c r="B33" s="82"/>
      <c r="C33" s="10" t="s">
        <v>2</v>
      </c>
      <c r="D33" s="10">
        <v>16</v>
      </c>
      <c r="E33" s="10">
        <v>17</v>
      </c>
      <c r="F33" s="68">
        <f t="shared" ref="F33" si="33">(AVERAGEIF(D33:E33,"&gt;0",D33:E33))*10^4*100/8</f>
        <v>2062500</v>
      </c>
      <c r="G33" s="6">
        <v>7</v>
      </c>
      <c r="H33" s="5">
        <f t="array" ref="H33">IFERROR(INDEX($F$2:$F$181,SMALL(IF($G$2:$G$181=8,ROW($A$1:$A$163),""),ROW(A3))),"")</f>
        <v>325000</v>
      </c>
      <c r="I33" s="5">
        <f>AVERAGE(H31:H33)</f>
        <v>188958.33333333334</v>
      </c>
      <c r="J33" s="35">
        <f>STDEV(H31:H33)</f>
        <v>150758.93077470845</v>
      </c>
      <c r="K33" s="12"/>
      <c r="L33" s="37" t="str">
        <f t="array" ref="L33">IFERROR(INDEX($J$2:$J$81,SMALL(IF(ISNUMBER($J$2:$J$81),ROW($A$1:$A$80),""),ROW(A32))),"")</f>
        <v/>
      </c>
      <c r="M33" s="60"/>
      <c r="N33" s="13"/>
      <c r="O33" s="8"/>
      <c r="P33" s="8"/>
      <c r="Q33" s="8"/>
      <c r="R33" s="9"/>
      <c r="S33" s="9"/>
    </row>
    <row r="34" spans="1:19" ht="14.55" thickBot="1" x14ac:dyDescent="0.35">
      <c r="A34" s="78"/>
      <c r="B34" s="83"/>
      <c r="C34" s="11" t="s">
        <v>3</v>
      </c>
      <c r="D34" s="11">
        <v>3</v>
      </c>
      <c r="E34" s="11"/>
      <c r="F34" s="69">
        <f t="shared" ref="F34" si="34">(AVERAGEIF(D34:E34,"&gt;0",D34:E34))*10^5*100/8</f>
        <v>3750000</v>
      </c>
      <c r="G34" s="6"/>
      <c r="H34" s="5" t="s">
        <v>19</v>
      </c>
      <c r="J34" s="36"/>
      <c r="K34" s="12"/>
      <c r="L34" s="37" t="str">
        <f t="array" ref="L34">IFERROR(INDEX($J$2:$J$81,SMALL(IF(ISNUMBER($J$2:$J$81),ROW($A$1:$A$80),""),ROW(A33))),"")</f>
        <v/>
      </c>
      <c r="M34" s="60"/>
      <c r="N34" s="13"/>
      <c r="O34" s="8"/>
      <c r="P34" s="8"/>
      <c r="Q34" s="8"/>
      <c r="R34" s="9"/>
      <c r="S34" s="9"/>
    </row>
    <row r="35" spans="1:19" ht="14.55" thickTop="1" x14ac:dyDescent="0.3">
      <c r="A35" s="78"/>
      <c r="B35" s="84">
        <v>3</v>
      </c>
      <c r="C35" s="7" t="s">
        <v>4</v>
      </c>
      <c r="D35" s="54"/>
      <c r="E35" s="54"/>
      <c r="F35" s="67" t="e">
        <f t="shared" ref="F35" si="35">(AVERAGEIF(D35:E35,"&gt;0",D35:E35))*10^3*100/8</f>
        <v>#DIV/0!</v>
      </c>
      <c r="G35" s="6"/>
      <c r="H35" s="5">
        <f t="array" ref="H35">IFERROR(INDEX($F$2:$F$181,SMALL(IF($G$2:$G$181=9,ROW($A$1:$A$163),""),ROW(A1))),"")</f>
        <v>13125000</v>
      </c>
      <c r="J35" s="36"/>
      <c r="K35" s="12"/>
      <c r="L35" s="37" t="str">
        <f t="array" ref="L35">IFERROR(INDEX($J$2:$J$81,SMALL(IF(ISNUMBER($J$2:$J$81),ROW($A$1:$A$80),""),ROW(A34))),"")</f>
        <v/>
      </c>
      <c r="M35" s="60"/>
      <c r="N35" s="13"/>
      <c r="O35" s="8"/>
      <c r="P35" s="8"/>
      <c r="Q35" s="8"/>
      <c r="R35" s="9"/>
      <c r="S35" s="9"/>
    </row>
    <row r="36" spans="1:19" x14ac:dyDescent="0.3">
      <c r="A36" s="78"/>
      <c r="B36" s="82"/>
      <c r="C36" s="10" t="s">
        <v>2</v>
      </c>
      <c r="D36" s="10">
        <v>8</v>
      </c>
      <c r="E36" s="10">
        <v>10</v>
      </c>
      <c r="F36" s="68">
        <f t="shared" ref="F36" si="36">(AVERAGEIF(D36:E36,"&gt;0",D36:E36))*10^4*100/8</f>
        <v>1125000</v>
      </c>
      <c r="G36" s="6">
        <v>7</v>
      </c>
      <c r="H36" s="5">
        <f t="array" ref="H36">IFERROR(INDEX($F$2:$F$181,SMALL(IF($G$2:$G$181=9,ROW($A$1:$A$163),""),ROW(A2))),"")</f>
        <v>9375000</v>
      </c>
      <c r="J36" s="36"/>
      <c r="K36" s="12"/>
      <c r="L36" s="12"/>
      <c r="M36" s="62"/>
      <c r="N36" s="13"/>
      <c r="O36" s="8"/>
      <c r="P36" s="8"/>
      <c r="Q36" s="8"/>
      <c r="R36" s="9"/>
      <c r="S36" s="9"/>
    </row>
    <row r="37" spans="1:19" ht="14.55" thickBot="1" x14ac:dyDescent="0.35">
      <c r="A37" s="79"/>
      <c r="B37" s="85"/>
      <c r="C37" s="31" t="s">
        <v>3</v>
      </c>
      <c r="D37" s="31">
        <v>1</v>
      </c>
      <c r="E37" s="31"/>
      <c r="F37" s="69">
        <f t="shared" ref="F37" si="37">(AVERAGEIF(D37:E37,"&gt;0",D37:E37))*10^5*100/8</f>
        <v>1250000</v>
      </c>
      <c r="G37" s="6"/>
      <c r="H37" s="5">
        <f t="array" ref="H37">IFERROR(INDEX($F$2:$F$181,SMALL(IF($G$2:$G$181=9,ROW($A$1:$A$163),""),ROW(A3))),"")</f>
        <v>6437500</v>
      </c>
      <c r="I37" s="5">
        <f>AVERAGE(H35:H37)</f>
        <v>9645833.333333334</v>
      </c>
      <c r="J37" s="35">
        <f>STDEV(H35:H37)</f>
        <v>3351966.15187763</v>
      </c>
      <c r="K37" s="12"/>
      <c r="L37" s="12"/>
      <c r="M37" s="62"/>
      <c r="N37" s="13"/>
      <c r="O37" s="8"/>
      <c r="P37" s="8"/>
      <c r="Q37" s="8"/>
      <c r="R37" s="9"/>
      <c r="S37" s="9"/>
    </row>
    <row r="38" spans="1:19" ht="14.55" thickTop="1" x14ac:dyDescent="0.3">
      <c r="A38" s="80" t="s">
        <v>61</v>
      </c>
      <c r="B38" s="72">
        <v>1</v>
      </c>
      <c r="C38" s="7" t="s">
        <v>4</v>
      </c>
      <c r="D38" s="26"/>
      <c r="E38" s="26"/>
      <c r="F38" s="67" t="e">
        <f t="shared" ref="F38" si="38">(AVERAGEIF(D38:E38,"&gt;0",D38:E38))*10^3*100/8</f>
        <v>#DIV/0!</v>
      </c>
      <c r="G38" s="6"/>
      <c r="H38" s="5" t="s">
        <v>20</v>
      </c>
      <c r="J38" s="36"/>
      <c r="K38" s="12"/>
      <c r="L38" s="12"/>
      <c r="M38" s="62"/>
      <c r="N38" s="13"/>
      <c r="O38" s="8"/>
      <c r="P38" s="13"/>
      <c r="Q38" s="13"/>
      <c r="R38" s="9"/>
      <c r="S38" s="9"/>
    </row>
    <row r="39" spans="1:19" x14ac:dyDescent="0.3">
      <c r="A39" s="78"/>
      <c r="B39" s="73"/>
      <c r="C39" s="10" t="s">
        <v>2</v>
      </c>
      <c r="D39" s="10">
        <v>84</v>
      </c>
      <c r="E39" s="10">
        <v>81</v>
      </c>
      <c r="F39" s="68">
        <f t="shared" ref="F39" si="39">(AVERAGEIF(D39:E39,"&gt;0",D39:E39))*10^4*100/8</f>
        <v>10312500</v>
      </c>
      <c r="G39" s="6"/>
      <c r="H39" s="5">
        <f t="array" ref="H39">IFERROR(INDEX($F$2:$F$181,SMALL(IF($G$2:$G$181=10,ROW($A$1:$A$163),""),ROW(A1))),"")</f>
        <v>1275000</v>
      </c>
      <c r="J39" s="36"/>
      <c r="K39" s="12"/>
      <c r="L39" s="12"/>
      <c r="M39" s="62"/>
      <c r="N39" s="13"/>
      <c r="O39" s="8"/>
      <c r="P39" s="13"/>
      <c r="Q39" s="13"/>
      <c r="R39" s="9"/>
      <c r="S39" s="9"/>
    </row>
    <row r="40" spans="1:19" ht="14.55" thickBot="1" x14ac:dyDescent="0.35">
      <c r="A40" s="78"/>
      <c r="B40" s="74"/>
      <c r="C40" s="31" t="s">
        <v>3</v>
      </c>
      <c r="D40" s="11">
        <v>11</v>
      </c>
      <c r="E40" s="11">
        <v>10</v>
      </c>
      <c r="F40" s="69">
        <f t="shared" ref="F40" si="40">(AVERAGEIF(D40:E40,"&gt;0",D40:E40))*10^5*100/8</f>
        <v>13125000</v>
      </c>
      <c r="G40" s="6">
        <v>9</v>
      </c>
      <c r="H40" s="5">
        <f t="array" ref="H40">IFERROR(INDEX($F$2:$F$181,SMALL(IF($G$2:$G$181=10,ROW($A$1:$A$163),""),ROW(A2))),"")</f>
        <v>1206250</v>
      </c>
      <c r="J40" s="36"/>
      <c r="K40" s="12"/>
      <c r="L40" s="12"/>
      <c r="M40" s="62"/>
      <c r="N40" s="13"/>
      <c r="O40" s="8"/>
      <c r="P40" s="13"/>
      <c r="Q40" s="13"/>
      <c r="R40" s="9"/>
      <c r="S40" s="9"/>
    </row>
    <row r="41" spans="1:19" ht="14.55" thickTop="1" x14ac:dyDescent="0.3">
      <c r="A41" s="78"/>
      <c r="B41" s="75">
        <v>2</v>
      </c>
      <c r="C41" s="7" t="s">
        <v>4</v>
      </c>
      <c r="D41" s="7"/>
      <c r="E41" s="7"/>
      <c r="F41" s="67" t="e">
        <f t="shared" ref="F41" si="41">(AVERAGEIF(D41:E41,"&gt;0",D41:E41))*10^3*100/8</f>
        <v>#DIV/0!</v>
      </c>
      <c r="G41" s="6"/>
      <c r="H41" s="5">
        <f t="array" ref="H41">IFERROR(INDEX($F$2:$F$181,SMALL(IF($G$2:$G$181=10,ROW($A$1:$A$163),""),ROW(A3))),"")</f>
        <v>868750</v>
      </c>
      <c r="I41" s="5">
        <f>AVERAGE(H39:H41)</f>
        <v>1116666.6666666667</v>
      </c>
      <c r="J41" s="35">
        <f>STDEV(H39:H41)</f>
        <v>217436.53288565206</v>
      </c>
      <c r="K41" s="12"/>
      <c r="L41" s="12"/>
      <c r="M41" s="62"/>
      <c r="N41" s="13"/>
      <c r="O41" s="8"/>
      <c r="P41" s="13"/>
      <c r="Q41" s="13"/>
      <c r="R41" s="9"/>
      <c r="S41" s="9"/>
    </row>
    <row r="42" spans="1:19" x14ac:dyDescent="0.3">
      <c r="A42" s="78"/>
      <c r="B42" s="73"/>
      <c r="C42" s="10" t="s">
        <v>2</v>
      </c>
      <c r="D42" s="10">
        <v>51</v>
      </c>
      <c r="E42" s="10">
        <v>49</v>
      </c>
      <c r="F42" s="68">
        <f t="shared" ref="F42" si="42">(AVERAGEIF(D42:E42,"&gt;0",D42:E42))*10^4*100/8</f>
        <v>6250000</v>
      </c>
      <c r="G42" s="6"/>
      <c r="H42" s="5" t="s">
        <v>21</v>
      </c>
      <c r="J42" s="36"/>
      <c r="K42" s="12"/>
      <c r="L42" s="12"/>
      <c r="M42" s="62"/>
      <c r="N42" s="13"/>
      <c r="O42" s="8"/>
      <c r="P42" s="13"/>
      <c r="Q42" s="13"/>
      <c r="R42" s="9"/>
      <c r="S42" s="9"/>
    </row>
    <row r="43" spans="1:19" ht="14.55" thickBot="1" x14ac:dyDescent="0.35">
      <c r="A43" s="78"/>
      <c r="B43" s="74"/>
      <c r="C43" s="31" t="s">
        <v>3</v>
      </c>
      <c r="D43" s="11">
        <v>7</v>
      </c>
      <c r="E43" s="11">
        <v>8</v>
      </c>
      <c r="F43" s="69">
        <f t="shared" ref="F43" si="43">(AVERAGEIF(D43:E43,"&gt;0",D43:E43))*10^5*100/8</f>
        <v>9375000</v>
      </c>
      <c r="G43" s="6">
        <v>9</v>
      </c>
      <c r="H43" s="5">
        <f t="array" ref="H43">IFERROR(INDEX($F$2:$F$181,SMALL(IF($G$2:$G$181=11,ROW($A$1:$A$163),""),ROW(A1))),"")</f>
        <v>3937500</v>
      </c>
      <c r="J43" s="36"/>
      <c r="K43" s="12"/>
      <c r="L43" s="12"/>
      <c r="M43" s="62"/>
      <c r="N43" s="13"/>
      <c r="O43" s="8"/>
      <c r="P43" s="13"/>
      <c r="Q43" s="13"/>
      <c r="R43" s="9"/>
      <c r="S43" s="9"/>
    </row>
    <row r="44" spans="1:19" ht="14.55" thickTop="1" x14ac:dyDescent="0.3">
      <c r="A44" s="78"/>
      <c r="B44" s="75">
        <v>3</v>
      </c>
      <c r="C44" s="7" t="s">
        <v>4</v>
      </c>
      <c r="D44" s="7"/>
      <c r="E44" s="7"/>
      <c r="F44" s="67" t="e">
        <f t="shared" ref="F44" si="44">(AVERAGEIF(D44:E44,"&gt;0",D44:E44))*10^3*100/8</f>
        <v>#DIV/0!</v>
      </c>
      <c r="G44" s="6"/>
      <c r="H44" s="5">
        <f t="array" ref="H44">IFERROR(INDEX($F$2:$F$181,SMALL(IF($G$2:$G$181=11,ROW($A$1:$A$163),""),ROW(A2))),"")</f>
        <v>1062500</v>
      </c>
      <c r="J44" s="36"/>
      <c r="K44" s="12"/>
      <c r="L44" s="12"/>
      <c r="M44" s="62"/>
      <c r="N44" s="13"/>
      <c r="O44" s="8"/>
      <c r="P44" s="13"/>
      <c r="Q44" s="13"/>
      <c r="R44" s="9"/>
      <c r="S44" s="9"/>
    </row>
    <row r="45" spans="1:19" x14ac:dyDescent="0.3">
      <c r="A45" s="78"/>
      <c r="B45" s="73"/>
      <c r="C45" s="10" t="s">
        <v>2</v>
      </c>
      <c r="D45" s="10">
        <v>53</v>
      </c>
      <c r="E45" s="10">
        <v>50</v>
      </c>
      <c r="F45" s="68">
        <f t="shared" ref="F45" si="45">(AVERAGEIF(D45:E45,"&gt;0",D45:E45))*10^4*100/8</f>
        <v>6437500</v>
      </c>
      <c r="G45" s="6">
        <v>9</v>
      </c>
      <c r="H45" s="5">
        <f t="array" ref="H45">IFERROR(INDEX($F$2:$F$181,SMALL(IF($G$2:$G$181=11,ROW($A$1:$A$163),""),ROW(A3))),"")</f>
        <v>2187500</v>
      </c>
      <c r="I45" s="5">
        <f>AVERAGE(H43:H45)</f>
        <v>2395833.3333333335</v>
      </c>
      <c r="J45" s="35">
        <f>STDEV(H43:H45)</f>
        <v>1448778.2208928091</v>
      </c>
      <c r="K45" s="12"/>
      <c r="L45" s="12"/>
      <c r="M45" s="62"/>
      <c r="N45" s="13"/>
      <c r="O45" s="8"/>
      <c r="P45" s="13"/>
      <c r="Q45" s="13"/>
      <c r="R45" s="9"/>
      <c r="S45" s="9"/>
    </row>
    <row r="46" spans="1:19" ht="14.55" thickBot="1" x14ac:dyDescent="0.35">
      <c r="A46" s="79"/>
      <c r="B46" s="76"/>
      <c r="C46" s="31" t="s">
        <v>3</v>
      </c>
      <c r="D46" s="31">
        <v>4</v>
      </c>
      <c r="E46" s="31">
        <v>4</v>
      </c>
      <c r="F46" s="69">
        <f t="shared" ref="F46" si="46">(AVERAGEIF(D46:E46,"&gt;0",D46:E46))*10^5*100/8</f>
        <v>5000000</v>
      </c>
      <c r="G46" s="6"/>
      <c r="H46" s="5" t="s">
        <v>22</v>
      </c>
      <c r="J46" s="36"/>
      <c r="K46" s="12"/>
      <c r="L46" s="12"/>
      <c r="M46" s="62"/>
      <c r="N46" s="13"/>
      <c r="O46" s="8"/>
      <c r="P46" s="13"/>
      <c r="Q46" s="13"/>
      <c r="R46" s="9"/>
      <c r="S46" s="9"/>
    </row>
    <row r="47" spans="1:19" ht="14.55" thickTop="1" x14ac:dyDescent="0.3">
      <c r="A47" s="80" t="s">
        <v>62</v>
      </c>
      <c r="B47" s="72">
        <v>1</v>
      </c>
      <c r="C47" s="7" t="s">
        <v>4</v>
      </c>
      <c r="D47" s="26"/>
      <c r="E47" s="26"/>
      <c r="F47" s="67" t="e">
        <f t="shared" ref="F47" si="47">(AVERAGEIF(D47:E47,"&gt;0",D47:E47))*10^3*100/8</f>
        <v>#DIV/0!</v>
      </c>
      <c r="G47" s="6"/>
      <c r="H47" s="5">
        <f t="array" ref="H47">IFERROR(INDEX($F$2:$F$181,SMALL(IF($G$2:$G$181=12,ROW($A$1:$A$163),""),ROW(A1))),"")</f>
        <v>425000</v>
      </c>
      <c r="J47" s="36"/>
      <c r="K47" s="12"/>
      <c r="L47" s="12"/>
      <c r="M47" s="62"/>
      <c r="N47" s="13"/>
      <c r="O47" s="8"/>
      <c r="P47" s="13"/>
      <c r="Q47" s="13"/>
      <c r="R47" s="9"/>
      <c r="S47" s="9"/>
    </row>
    <row r="48" spans="1:19" x14ac:dyDescent="0.3">
      <c r="A48" s="78"/>
      <c r="B48" s="73"/>
      <c r="C48" s="10" t="s">
        <v>2</v>
      </c>
      <c r="D48" s="10">
        <v>31</v>
      </c>
      <c r="E48" s="10">
        <v>32</v>
      </c>
      <c r="F48" s="68">
        <f t="shared" ref="F48" si="48">(AVERAGEIF(D48:E48,"&gt;0",D48:E48))*10^4*100/8</f>
        <v>3937500</v>
      </c>
      <c r="G48" s="6">
        <v>11</v>
      </c>
      <c r="H48" s="5">
        <f t="array" ref="H48">IFERROR(INDEX($F$2:$F$181,SMALL(IF($G$2:$G$181=12,ROW($A$1:$A$163),""),ROW(A2))),"")</f>
        <v>156250</v>
      </c>
      <c r="J48" s="36"/>
      <c r="K48" s="12"/>
      <c r="L48" s="12"/>
      <c r="M48" s="62"/>
      <c r="N48" s="13"/>
      <c r="O48" s="8"/>
      <c r="P48" s="13"/>
      <c r="Q48" s="13"/>
      <c r="R48" s="9"/>
      <c r="S48" s="9"/>
    </row>
    <row r="49" spans="1:21" ht="14.55" thickBot="1" x14ac:dyDescent="0.35">
      <c r="A49" s="78"/>
      <c r="B49" s="74"/>
      <c r="C49" s="31" t="s">
        <v>3</v>
      </c>
      <c r="D49" s="11">
        <v>4</v>
      </c>
      <c r="E49" s="11"/>
      <c r="F49" s="69">
        <f t="shared" ref="F49" si="49">(AVERAGEIF(D49:E49,"&gt;0",D49:E49))*10^5*100/8</f>
        <v>5000000</v>
      </c>
      <c r="G49" s="6"/>
      <c r="H49" s="5" t="str">
        <f t="array" ref="H49">IFERROR(INDEX($F$2:$F$181,SMALL(IF($G$2:$G$181=12,ROW($A$1:$A$163),""),ROW(A3))),"")</f>
        <v/>
      </c>
      <c r="I49" s="5">
        <f>AVERAGE(H47:H49)</f>
        <v>290625</v>
      </c>
      <c r="J49" s="35">
        <f>STDEV(H47:H49)</f>
        <v>190034.94744388465</v>
      </c>
      <c r="K49" s="12"/>
      <c r="L49" s="12"/>
      <c r="M49" s="62"/>
      <c r="N49" s="13"/>
      <c r="O49" s="8"/>
      <c r="P49" s="13"/>
      <c r="Q49" s="13"/>
      <c r="R49" s="9"/>
      <c r="S49" s="9"/>
    </row>
    <row r="50" spans="1:21" ht="14.55" thickTop="1" x14ac:dyDescent="0.3">
      <c r="A50" s="78"/>
      <c r="B50" s="75">
        <v>2</v>
      </c>
      <c r="C50" s="7" t="s">
        <v>4</v>
      </c>
      <c r="D50" s="7"/>
      <c r="E50" s="7"/>
      <c r="F50" s="67" t="e">
        <f t="shared" ref="F50" si="50">(AVERAGEIF(D50:E50,"&gt;0",D50:E50))*10^3*100/8</f>
        <v>#DIV/0!</v>
      </c>
      <c r="G50" s="6"/>
      <c r="H50" s="5" t="s">
        <v>23</v>
      </c>
      <c r="J50" s="36"/>
      <c r="K50" s="12"/>
      <c r="L50" s="12"/>
      <c r="M50" s="62"/>
      <c r="N50" s="13"/>
      <c r="O50" s="8"/>
      <c r="P50" s="13"/>
      <c r="Q50" s="13"/>
      <c r="R50" s="9"/>
      <c r="S50" s="9"/>
    </row>
    <row r="51" spans="1:21" x14ac:dyDescent="0.3">
      <c r="A51" s="78"/>
      <c r="B51" s="73"/>
      <c r="C51" s="10" t="s">
        <v>2</v>
      </c>
      <c r="D51" s="10">
        <v>8</v>
      </c>
      <c r="E51" s="10">
        <v>9</v>
      </c>
      <c r="F51" s="68">
        <f t="shared" ref="F51" si="51">(AVERAGEIF(D51:E51,"&gt;0",D51:E51))*10^4*100/8</f>
        <v>1062500</v>
      </c>
      <c r="G51" s="6">
        <v>11</v>
      </c>
      <c r="H51" s="5" t="str">
        <f t="array" ref="H51">IFERROR(INDEX($F$2:$F$181,SMALL(IF($G$2:$G$181=13,ROW($A$1:$A$163),""),ROW(A1))),"")</f>
        <v/>
      </c>
      <c r="J51" s="36"/>
      <c r="K51" s="12"/>
      <c r="L51" s="12"/>
      <c r="M51" s="62"/>
      <c r="N51" s="13"/>
      <c r="O51" s="8"/>
      <c r="P51" s="13"/>
      <c r="Q51" s="13"/>
      <c r="R51" s="9"/>
      <c r="S51" s="9"/>
    </row>
    <row r="52" spans="1:21" ht="14.55" thickBot="1" x14ac:dyDescent="0.35">
      <c r="A52" s="78"/>
      <c r="B52" s="74"/>
      <c r="C52" s="31" t="s">
        <v>3</v>
      </c>
      <c r="D52" s="11">
        <v>1</v>
      </c>
      <c r="E52" s="11"/>
      <c r="F52" s="69">
        <f t="shared" ref="F52" si="52">(AVERAGEIF(D52:E52,"&gt;0",D52:E52))*10^5*100/8</f>
        <v>1250000</v>
      </c>
      <c r="G52" s="6"/>
      <c r="H52" s="5" t="str">
        <f t="array" ref="H52">IFERROR(INDEX($F$2:$F$181,SMALL(IF($G$2:$G$181=13,ROW($A$1:$A$163),""),ROW(A2))),"")</f>
        <v/>
      </c>
      <c r="J52" s="36"/>
      <c r="K52" s="12"/>
      <c r="L52" s="12"/>
      <c r="M52" s="62"/>
      <c r="N52" s="13"/>
      <c r="O52" s="8"/>
      <c r="P52" s="13"/>
      <c r="Q52" s="13"/>
      <c r="R52" s="9"/>
      <c r="S52" s="9"/>
    </row>
    <row r="53" spans="1:21" ht="14.55" thickTop="1" x14ac:dyDescent="0.3">
      <c r="A53" s="78"/>
      <c r="B53" s="75">
        <v>3</v>
      </c>
      <c r="C53" s="7" t="s">
        <v>4</v>
      </c>
      <c r="D53" s="7"/>
      <c r="E53" s="7"/>
      <c r="F53" s="67" t="e">
        <f t="shared" ref="F53" si="53">(AVERAGEIF(D53:E53,"&gt;0",D53:E53))*10^3*100/8</f>
        <v>#DIV/0!</v>
      </c>
      <c r="G53" s="6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5" t="e">
        <f>STDEV(H51:H53)</f>
        <v>#DIV/0!</v>
      </c>
      <c r="K53" s="12"/>
      <c r="L53" s="12"/>
      <c r="M53" s="62"/>
      <c r="N53" s="13"/>
      <c r="O53" s="8"/>
      <c r="P53" s="13"/>
      <c r="Q53" s="13"/>
      <c r="R53" s="9"/>
      <c r="S53" s="9"/>
    </row>
    <row r="54" spans="1:21" x14ac:dyDescent="0.3">
      <c r="A54" s="78"/>
      <c r="B54" s="73"/>
      <c r="C54" s="10" t="s">
        <v>2</v>
      </c>
      <c r="D54" s="10">
        <v>20</v>
      </c>
      <c r="E54" s="10">
        <v>15</v>
      </c>
      <c r="F54" s="68">
        <f t="shared" ref="F54" si="54">(AVERAGEIF(D54:E54,"&gt;0",D54:E54))*10^4*100/8</f>
        <v>2187500</v>
      </c>
      <c r="G54" s="6">
        <v>11</v>
      </c>
      <c r="H54" s="5" t="s">
        <v>24</v>
      </c>
      <c r="J54" s="36"/>
      <c r="K54" s="12"/>
      <c r="L54" s="12"/>
      <c r="M54" s="62"/>
      <c r="N54" s="13"/>
      <c r="O54" s="8"/>
      <c r="P54" s="13"/>
      <c r="Q54" s="13"/>
      <c r="R54" s="9"/>
      <c r="S54" s="9"/>
    </row>
    <row r="55" spans="1:21" ht="14.55" thickBot="1" x14ac:dyDescent="0.35">
      <c r="A55" s="79"/>
      <c r="B55" s="76"/>
      <c r="C55" s="31" t="s">
        <v>3</v>
      </c>
      <c r="D55" s="31">
        <v>1</v>
      </c>
      <c r="E55" s="31">
        <v>1</v>
      </c>
      <c r="F55" s="69">
        <f t="shared" ref="F55" si="55">(AVERAGEIF(D55:E55,"&gt;0",D55:E55))*10^5*100/8</f>
        <v>1250000</v>
      </c>
      <c r="G55" s="6"/>
      <c r="H55" s="5" t="str">
        <f t="array" ref="H55">IFERROR(INDEX($F$2:$F$181,SMALL(IF($G$2:$G$181=14,ROW($A$1:$A$163),""),ROW(A1))),"")</f>
        <v/>
      </c>
      <c r="J55" s="36"/>
      <c r="K55" s="12"/>
      <c r="L55" s="12"/>
      <c r="M55" s="62"/>
      <c r="N55" s="13"/>
      <c r="O55" s="8"/>
      <c r="P55" s="13"/>
      <c r="Q55" s="13"/>
      <c r="R55" s="9"/>
      <c r="S55" s="9"/>
    </row>
    <row r="56" spans="1:21" ht="14.55" thickTop="1" x14ac:dyDescent="0.3">
      <c r="A56" s="77" t="s">
        <v>55</v>
      </c>
      <c r="B56" s="72">
        <v>1</v>
      </c>
      <c r="C56" s="26" t="s">
        <v>53</v>
      </c>
      <c r="D56" s="26"/>
      <c r="E56" s="26"/>
      <c r="F56" s="30" t="e">
        <f t="shared" ref="F56" si="56">(AVERAGEIF(D56:E56,"&gt;0",D56:E56))*10^2*100/8</f>
        <v>#DIV/0!</v>
      </c>
      <c r="G56" s="6"/>
      <c r="H56" s="5" t="str">
        <f t="array" ref="H56">IFERROR(INDEX($F$2:$F$181,SMALL(IF($G$2:$G$181=14,ROW($A$1:$A$163),""),ROW(A2))),"")</f>
        <v/>
      </c>
      <c r="J56" s="36"/>
      <c r="K56" s="12"/>
      <c r="L56" s="12"/>
      <c r="M56" s="62"/>
      <c r="N56" s="13"/>
      <c r="O56" s="8"/>
      <c r="P56" s="13"/>
      <c r="Q56" s="13"/>
      <c r="R56" s="9"/>
      <c r="S56" s="9"/>
    </row>
    <row r="57" spans="1:21" x14ac:dyDescent="0.3">
      <c r="A57" s="78"/>
      <c r="B57" s="73"/>
      <c r="C57" s="10" t="s">
        <v>4</v>
      </c>
      <c r="D57" s="10">
        <v>77</v>
      </c>
      <c r="E57" s="10">
        <v>88</v>
      </c>
      <c r="F57" s="28">
        <f t="shared" ref="F57" si="57">(AVERAGEIF(D57:E57,"&gt;0",D57:E57))*10^3*100/8</f>
        <v>1031250</v>
      </c>
      <c r="G57" s="6">
        <v>2</v>
      </c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5" t="e">
        <f>STDEV(H55:H57)</f>
        <v>#DIV/0!</v>
      </c>
      <c r="K57" s="12"/>
      <c r="L57" s="12"/>
      <c r="M57" s="62"/>
      <c r="N57" s="13"/>
      <c r="O57" s="8"/>
      <c r="P57" s="13"/>
      <c r="Q57" s="13"/>
      <c r="R57" s="9"/>
      <c r="S57" s="9"/>
    </row>
    <row r="58" spans="1:21" ht="14.55" thickBot="1" x14ac:dyDescent="0.35">
      <c r="A58" s="78"/>
      <c r="B58" s="74"/>
      <c r="C58" s="11" t="s">
        <v>2</v>
      </c>
      <c r="D58" s="11">
        <v>12</v>
      </c>
      <c r="E58" s="11">
        <v>4</v>
      </c>
      <c r="F58" s="32">
        <f t="shared" ref="F58" si="58">(AVERAGEIF(D58:E58,"&gt;0",D58:E58))*10^4*100/8</f>
        <v>1000000</v>
      </c>
      <c r="G58" s="6"/>
      <c r="H58" s="5" t="s">
        <v>25</v>
      </c>
      <c r="J58" s="36"/>
      <c r="K58" s="12"/>
      <c r="L58" s="12"/>
      <c r="M58" s="62"/>
      <c r="N58" s="13"/>
      <c r="O58" s="8"/>
      <c r="P58" s="13"/>
      <c r="Q58" s="13"/>
      <c r="R58" s="9"/>
      <c r="S58" s="9"/>
    </row>
    <row r="59" spans="1:21" ht="14.55" thickTop="1" x14ac:dyDescent="0.3">
      <c r="A59" s="78"/>
      <c r="B59" s="75">
        <v>2</v>
      </c>
      <c r="C59" s="26" t="s">
        <v>53</v>
      </c>
      <c r="D59" s="7"/>
      <c r="E59" s="7"/>
      <c r="F59" s="30" t="e">
        <f t="shared" ref="F59" si="59">(AVERAGEIF(D59:E59,"&gt;0",D59:E59))*10^2*100/8</f>
        <v>#DIV/0!</v>
      </c>
      <c r="G59" s="6"/>
      <c r="H59" s="5" t="str">
        <f t="array" ref="H59">IFERROR(INDEX($F$2:$F$181,SMALL(IF($G$2:$G$181=15,ROW($A$1:$A$163),""),ROW(A1))),"")</f>
        <v/>
      </c>
      <c r="J59" s="36"/>
      <c r="K59" s="12"/>
      <c r="L59" s="12"/>
      <c r="M59" s="62"/>
      <c r="N59" s="13"/>
      <c r="O59" s="8"/>
      <c r="P59" s="13"/>
      <c r="Q59" s="13"/>
      <c r="R59" s="9"/>
      <c r="S59" s="9"/>
    </row>
    <row r="60" spans="1:21" ht="14.55" thickBot="1" x14ac:dyDescent="0.35">
      <c r="A60" s="78"/>
      <c r="B60" s="73"/>
      <c r="C60" s="10" t="s">
        <v>4</v>
      </c>
      <c r="D60" s="10">
        <v>54</v>
      </c>
      <c r="E60" s="10">
        <v>47</v>
      </c>
      <c r="F60" s="28">
        <f t="shared" ref="F60" si="60">(AVERAGEIF(D60:E60,"&gt;0",D60:E60))*10^3*100/8</f>
        <v>631250</v>
      </c>
      <c r="G60" s="6">
        <v>2</v>
      </c>
      <c r="H60" s="5" t="str">
        <f t="array" ref="H60">IFERROR(INDEX($F$2:$F$181,SMALL(IF($G$2:$G$181=15,ROW($A$1:$A$163),""),ROW(A2))),"")</f>
        <v/>
      </c>
      <c r="J60" s="36"/>
      <c r="K60" s="12"/>
      <c r="L60" s="12"/>
      <c r="M60" s="62"/>
      <c r="N60" s="38"/>
      <c r="O60" s="8"/>
      <c r="P60" s="38"/>
      <c r="Q60" s="38"/>
      <c r="R60" s="39"/>
      <c r="S60" s="39"/>
      <c r="T60" s="40"/>
      <c r="U60" s="40"/>
    </row>
    <row r="61" spans="1:21" ht="14.55" thickBot="1" x14ac:dyDescent="0.35">
      <c r="A61" s="78"/>
      <c r="B61" s="74"/>
      <c r="C61" s="11" t="s">
        <v>2</v>
      </c>
      <c r="D61" s="11">
        <v>6</v>
      </c>
      <c r="E61" s="11">
        <v>6</v>
      </c>
      <c r="F61" s="32">
        <f t="shared" ref="F61" si="61">(AVERAGEIF(D61:E61,"&gt;0",D61:E61))*10^4*100/8</f>
        <v>750000</v>
      </c>
      <c r="G61" s="6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5" t="e">
        <f>STDEV(H59:H61)</f>
        <v>#DIV/0!</v>
      </c>
      <c r="K61" s="12"/>
      <c r="L61" s="12"/>
      <c r="M61" s="62"/>
      <c r="N61" s="13"/>
      <c r="O61" s="8"/>
      <c r="P61" s="13"/>
      <c r="Q61" s="13"/>
      <c r="R61" s="9"/>
      <c r="S61" s="9"/>
    </row>
    <row r="62" spans="1:21" ht="14.55" thickTop="1" x14ac:dyDescent="0.3">
      <c r="A62" s="78"/>
      <c r="B62" s="75">
        <v>3</v>
      </c>
      <c r="C62" s="26" t="s">
        <v>53</v>
      </c>
      <c r="D62" s="7"/>
      <c r="E62" s="7"/>
      <c r="F62" s="30" t="e">
        <f t="shared" ref="F62" si="62">(AVERAGEIF(D62:E62,"&gt;0",D62:E62))*10^2*100/8</f>
        <v>#DIV/0!</v>
      </c>
      <c r="G62" s="6"/>
      <c r="H62" s="5" t="s">
        <v>26</v>
      </c>
      <c r="J62" s="36"/>
      <c r="K62" s="12"/>
      <c r="L62" s="12"/>
      <c r="M62" s="62"/>
      <c r="N62" s="13"/>
      <c r="O62" s="8"/>
      <c r="P62" s="13"/>
      <c r="Q62" s="13"/>
      <c r="R62" s="9"/>
      <c r="S62" s="9"/>
    </row>
    <row r="63" spans="1:21" x14ac:dyDescent="0.3">
      <c r="A63" s="78"/>
      <c r="B63" s="73"/>
      <c r="C63" s="10" t="s">
        <v>4</v>
      </c>
      <c r="D63" s="10">
        <v>15</v>
      </c>
      <c r="E63" s="10">
        <v>16</v>
      </c>
      <c r="F63" s="28">
        <f t="shared" ref="F63" si="63">(AVERAGEIF(D63:E63,"&gt;0",D63:E63))*10^3*100/8</f>
        <v>193750</v>
      </c>
      <c r="G63" s="6"/>
      <c r="H63" s="5" t="str">
        <f t="array" ref="H63">IFERROR(INDEX($F$2:$F$181,SMALL(IF($G$2:$G$181=16,ROW($A$1:$A$163),""),ROW(A1))),"")</f>
        <v/>
      </c>
      <c r="J63" s="36"/>
      <c r="K63" s="12"/>
      <c r="L63" s="12"/>
      <c r="M63" s="62"/>
      <c r="N63" s="13"/>
      <c r="O63" s="8"/>
      <c r="P63" s="13"/>
      <c r="Q63" s="13"/>
      <c r="R63" s="9"/>
      <c r="S63" s="9"/>
    </row>
    <row r="64" spans="1:21" ht="14.55" thickBot="1" x14ac:dyDescent="0.35">
      <c r="A64" s="79"/>
      <c r="B64" s="76"/>
      <c r="C64" s="11" t="s">
        <v>2</v>
      </c>
      <c r="D64" s="31">
        <v>3</v>
      </c>
      <c r="E64" s="31">
        <v>3</v>
      </c>
      <c r="F64" s="32">
        <f t="shared" ref="F64" si="64">(AVERAGEIF(D64:E64,"&gt;0",D64:E64))*10^4*100/8</f>
        <v>375000</v>
      </c>
      <c r="G64" s="6">
        <v>2</v>
      </c>
      <c r="H64" s="5" t="str">
        <f t="array" ref="H64">IFERROR(INDEX($F$2:$F$181,SMALL(IF($G$2:$G$181=16,ROW($A$1:$A$163),""),ROW(A2))),"")</f>
        <v/>
      </c>
      <c r="J64" s="36"/>
      <c r="K64" s="12"/>
      <c r="L64" s="12"/>
      <c r="M64" s="62"/>
      <c r="N64" s="13"/>
      <c r="O64" s="8"/>
      <c r="P64" s="13"/>
      <c r="Q64" s="13"/>
      <c r="R64" s="9"/>
      <c r="S64" s="9"/>
    </row>
    <row r="65" spans="1:19" ht="14.55" thickTop="1" x14ac:dyDescent="0.3">
      <c r="A65" s="77" t="s">
        <v>65</v>
      </c>
      <c r="B65" s="72">
        <v>1</v>
      </c>
      <c r="C65" s="26" t="s">
        <v>53</v>
      </c>
      <c r="D65" s="26"/>
      <c r="E65" s="26"/>
      <c r="F65" s="30" t="e">
        <f t="shared" ref="F65" si="65">(AVERAGEIF(D65:E65,"&gt;0",D65:E65))*10^2*100/8</f>
        <v>#DIV/0!</v>
      </c>
      <c r="G65" s="6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5" t="e">
        <f>STDEV(H63:H65)</f>
        <v>#DIV/0!</v>
      </c>
      <c r="K65" s="12"/>
      <c r="L65" s="12"/>
      <c r="M65" s="62"/>
      <c r="N65" s="13"/>
      <c r="O65" s="8"/>
      <c r="P65" s="13"/>
      <c r="Q65" s="13"/>
      <c r="R65" s="9"/>
      <c r="S65" s="9"/>
    </row>
    <row r="66" spans="1:19" x14ac:dyDescent="0.3">
      <c r="A66" s="78"/>
      <c r="B66" s="73"/>
      <c r="C66" s="10" t="s">
        <v>4</v>
      </c>
      <c r="D66" s="10">
        <v>52</v>
      </c>
      <c r="E66" s="10">
        <v>59</v>
      </c>
      <c r="F66" s="28">
        <f t="shared" ref="F66" si="66">(AVERAGEIF(D66:E66,"&gt;0",D66:E66))*10^3*100/8</f>
        <v>693750</v>
      </c>
      <c r="G66" s="6">
        <v>4</v>
      </c>
      <c r="H66" s="5" t="s">
        <v>27</v>
      </c>
      <c r="J66" s="36"/>
      <c r="K66" s="12"/>
      <c r="L66" s="12"/>
      <c r="M66" s="62"/>
      <c r="N66" s="13"/>
      <c r="O66" s="8"/>
      <c r="P66" s="13"/>
      <c r="Q66" s="13"/>
      <c r="R66" s="9"/>
      <c r="S66" s="9"/>
    </row>
    <row r="67" spans="1:19" ht="14.55" thickBot="1" x14ac:dyDescent="0.35">
      <c r="A67" s="78"/>
      <c r="B67" s="74"/>
      <c r="C67" s="11" t="s">
        <v>2</v>
      </c>
      <c r="D67" s="11">
        <v>3</v>
      </c>
      <c r="E67" s="11">
        <v>4</v>
      </c>
      <c r="F67" s="32">
        <f t="shared" ref="F67" si="67">(AVERAGEIF(D67:E67,"&gt;0",D67:E67))*10^4*100/8</f>
        <v>437500</v>
      </c>
      <c r="G67" s="6"/>
      <c r="H67" s="5" t="str">
        <f t="array" ref="H67">IFERROR(INDEX($F$2:$F$181,SMALL(IF($G$2:$G$181=17,ROW($A$1:$A$163),""),ROW(A1))),"")</f>
        <v/>
      </c>
      <c r="J67" s="36"/>
      <c r="K67" s="12"/>
      <c r="L67" s="12"/>
      <c r="M67" s="62"/>
      <c r="N67" s="13"/>
      <c r="O67" s="8"/>
      <c r="P67" s="13"/>
      <c r="Q67" s="13"/>
      <c r="R67" s="9"/>
      <c r="S67" s="9"/>
    </row>
    <row r="68" spans="1:19" ht="14.55" thickTop="1" x14ac:dyDescent="0.3">
      <c r="A68" s="78"/>
      <c r="B68" s="75">
        <v>2</v>
      </c>
      <c r="C68" s="26" t="s">
        <v>53</v>
      </c>
      <c r="D68" s="7"/>
      <c r="E68" s="7"/>
      <c r="F68" s="30" t="e">
        <f t="shared" ref="F68" si="68">(AVERAGEIF(D68:E68,"&gt;0",D68:E68))*10^2*100/8</f>
        <v>#DIV/0!</v>
      </c>
      <c r="G68" s="6"/>
      <c r="H68" s="5" t="str">
        <f t="array" ref="H68">IFERROR(INDEX($F$2:$F$181,SMALL(IF($G$2:$G$181=17,ROW($A$1:$A$163),""),ROW(A2))),"")</f>
        <v/>
      </c>
      <c r="J68" s="36"/>
      <c r="K68" s="12"/>
      <c r="L68" s="12"/>
      <c r="M68" s="62"/>
      <c r="N68" s="13"/>
      <c r="O68" s="8"/>
      <c r="P68" s="13"/>
      <c r="Q68" s="13"/>
      <c r="R68" s="9"/>
      <c r="S68" s="9"/>
    </row>
    <row r="69" spans="1:19" x14ac:dyDescent="0.3">
      <c r="A69" s="78"/>
      <c r="B69" s="73"/>
      <c r="C69" s="10" t="s">
        <v>4</v>
      </c>
      <c r="D69" s="10">
        <v>25</v>
      </c>
      <c r="E69" s="10">
        <v>29</v>
      </c>
      <c r="F69" s="28">
        <f t="shared" ref="F69" si="69">(AVERAGEIF(D69:E69,"&gt;0",D69:E69))*10^3*100/8</f>
        <v>337500</v>
      </c>
      <c r="G69" s="6">
        <v>4</v>
      </c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5" t="e">
        <f>STDEV(H67:H69)</f>
        <v>#DIV/0!</v>
      </c>
      <c r="K69" s="12"/>
      <c r="L69" s="12"/>
      <c r="M69" s="62"/>
      <c r="N69" s="13"/>
      <c r="O69" s="8"/>
      <c r="P69" s="13"/>
      <c r="Q69" s="13"/>
      <c r="R69" s="9"/>
      <c r="S69" s="9"/>
    </row>
    <row r="70" spans="1:19" ht="14.55" thickBot="1" x14ac:dyDescent="0.35">
      <c r="A70" s="78"/>
      <c r="B70" s="74"/>
      <c r="C70" s="11" t="s">
        <v>2</v>
      </c>
      <c r="D70" s="11">
        <v>2</v>
      </c>
      <c r="E70" s="11">
        <v>3</v>
      </c>
      <c r="F70" s="32">
        <f t="shared" ref="F70" si="70">(AVERAGEIF(D70:E70,"&gt;0",D70:E70))*10^4*100/8</f>
        <v>312500</v>
      </c>
      <c r="G70" s="6"/>
      <c r="H70" s="5" t="s">
        <v>28</v>
      </c>
      <c r="J70" s="36"/>
      <c r="K70" s="12"/>
      <c r="L70" s="12"/>
      <c r="M70" s="62"/>
      <c r="N70" s="13"/>
      <c r="O70" s="8"/>
      <c r="P70" s="13"/>
      <c r="Q70" s="13"/>
      <c r="R70" s="9"/>
      <c r="S70" s="9"/>
    </row>
    <row r="71" spans="1:19" ht="14.55" thickTop="1" x14ac:dyDescent="0.3">
      <c r="A71" s="78"/>
      <c r="B71" s="75">
        <v>3</v>
      </c>
      <c r="C71" s="26" t="s">
        <v>53</v>
      </c>
      <c r="D71" s="7"/>
      <c r="E71" s="7"/>
      <c r="F71" s="30" t="e">
        <f t="shared" ref="F71" si="71">(AVERAGEIF(D71:E71,"&gt;0",D71:E71))*10^2*100/8</f>
        <v>#DIV/0!</v>
      </c>
      <c r="G71" s="6"/>
      <c r="H71" s="5" t="str">
        <f t="array" ref="H71">IFERROR(INDEX($F$2:$F$181,SMALL(IF($G$2:$G$181=18,ROW($A$1:$A$180),""),ROW(A1))),"")</f>
        <v/>
      </c>
      <c r="J71" s="36"/>
      <c r="K71" s="12"/>
      <c r="L71" s="12"/>
      <c r="M71" s="62"/>
      <c r="N71" s="13"/>
      <c r="O71" s="8"/>
      <c r="P71" s="13"/>
      <c r="Q71" s="13"/>
      <c r="R71" s="9"/>
      <c r="S71" s="9"/>
    </row>
    <row r="72" spans="1:19" x14ac:dyDescent="0.3">
      <c r="A72" s="78"/>
      <c r="B72" s="73"/>
      <c r="C72" s="10" t="s">
        <v>4</v>
      </c>
      <c r="D72" s="10">
        <v>72</v>
      </c>
      <c r="E72" s="10">
        <v>58</v>
      </c>
      <c r="F72" s="28">
        <f t="shared" ref="F72" si="72">(AVERAGEIF(D72:E72,"&gt;0",D72:E72))*10^3*100/8</f>
        <v>812500</v>
      </c>
      <c r="G72" s="6">
        <v>4</v>
      </c>
      <c r="H72" s="5" t="str">
        <f t="array" ref="H72">IFERROR(INDEX($F$2:$F$181,SMALL(IF($G$2:$G$181=18,ROW($A$1:$A$180),""),ROW(A2))),"")</f>
        <v/>
      </c>
      <c r="J72" s="36"/>
      <c r="K72" s="12"/>
      <c r="L72" s="12"/>
      <c r="M72" s="62"/>
      <c r="N72" s="13"/>
      <c r="O72" s="8"/>
      <c r="P72" s="13"/>
      <c r="Q72" s="13"/>
      <c r="R72" s="9"/>
      <c r="S72" s="9"/>
    </row>
    <row r="73" spans="1:19" ht="14.55" thickBot="1" x14ac:dyDescent="0.35">
      <c r="A73" s="79"/>
      <c r="B73" s="76"/>
      <c r="C73" s="11" t="s">
        <v>2</v>
      </c>
      <c r="D73" s="31">
        <v>5</v>
      </c>
      <c r="E73" s="31">
        <v>4</v>
      </c>
      <c r="F73" s="32">
        <f t="shared" ref="F73" si="73">(AVERAGEIF(D73:E73,"&gt;0",D73:E73))*10^4*100/8</f>
        <v>562500</v>
      </c>
      <c r="G73" s="6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5" t="e">
        <f>STDEV(H71:H73)</f>
        <v>#DIV/0!</v>
      </c>
      <c r="K73" s="12"/>
      <c r="L73" s="12"/>
      <c r="M73" s="62"/>
      <c r="N73" s="13"/>
      <c r="O73" s="8"/>
      <c r="P73" s="13"/>
      <c r="Q73" s="13"/>
      <c r="R73" s="9"/>
      <c r="S73" s="9"/>
    </row>
    <row r="74" spans="1:19" ht="14.55" thickTop="1" x14ac:dyDescent="0.3">
      <c r="A74" s="77" t="s">
        <v>66</v>
      </c>
      <c r="B74" s="72">
        <v>1</v>
      </c>
      <c r="C74" s="26" t="s">
        <v>53</v>
      </c>
      <c r="D74" s="10">
        <v>54</v>
      </c>
      <c r="E74" s="10">
        <v>46</v>
      </c>
      <c r="F74" s="30">
        <f>(AVERAGEIF(D74:E74,"&gt;0",D74:E74))*10^2*100/8</f>
        <v>62500</v>
      </c>
      <c r="G74" s="6">
        <v>6</v>
      </c>
      <c r="H74" s="5" t="s">
        <v>29</v>
      </c>
      <c r="J74" s="36"/>
      <c r="K74" s="12"/>
      <c r="L74" s="12"/>
      <c r="M74" s="62"/>
      <c r="N74" s="13"/>
      <c r="O74" s="8"/>
      <c r="P74" s="13"/>
      <c r="Q74" s="13"/>
      <c r="R74" s="9"/>
      <c r="S74" s="9"/>
    </row>
    <row r="75" spans="1:19" ht="14.55" thickBot="1" x14ac:dyDescent="0.35">
      <c r="A75" s="78"/>
      <c r="B75" s="73"/>
      <c r="C75" s="10" t="s">
        <v>4</v>
      </c>
      <c r="D75" s="11">
        <v>4</v>
      </c>
      <c r="E75" s="11">
        <v>5</v>
      </c>
      <c r="F75" s="28">
        <f>(AVERAGEIF(D75:E75,"&gt;0",D75:E75))*10^3*100/8</f>
        <v>56250</v>
      </c>
      <c r="G75" s="6"/>
      <c r="H75" s="5" t="str">
        <f t="array" ref="H75">IFERROR(INDEX($F$2:$F$181,SMALL(IF($G$2:$G$181=19,ROW($A$1:$A$180),""),ROW(A1))),"")</f>
        <v/>
      </c>
      <c r="J75" s="36"/>
      <c r="K75" s="12"/>
      <c r="L75" s="12"/>
      <c r="M75" s="62"/>
      <c r="N75" s="13"/>
      <c r="O75" s="8"/>
      <c r="P75" s="13"/>
      <c r="Q75" s="13"/>
      <c r="R75" s="9"/>
      <c r="S75" s="9"/>
    </row>
    <row r="76" spans="1:19" ht="14.55" thickBot="1" x14ac:dyDescent="0.35">
      <c r="A76" s="78"/>
      <c r="B76" s="74"/>
      <c r="C76" s="11" t="s">
        <v>2</v>
      </c>
      <c r="D76" s="11"/>
      <c r="E76" s="11"/>
      <c r="F76" s="32" t="e">
        <f>(AVERAGEIF(D76:E76,"&gt;0",D76:E76))*10^4*100/8</f>
        <v>#DIV/0!</v>
      </c>
      <c r="G76" s="6"/>
      <c r="H76" s="5" t="str">
        <f t="array" ref="H76">IFERROR(INDEX($F$2:$F$181,SMALL(IF($G$2:$G$181=19,ROW($A$1:$A$180),""),ROW(A2))),"")</f>
        <v/>
      </c>
      <c r="J76" s="36"/>
      <c r="K76" s="12"/>
      <c r="L76" s="12"/>
      <c r="M76" s="62"/>
      <c r="N76" s="13"/>
      <c r="O76" s="8"/>
      <c r="P76" s="13"/>
      <c r="Q76" s="13"/>
      <c r="R76" s="9"/>
      <c r="S76" s="9"/>
    </row>
    <row r="77" spans="1:19" ht="14.55" thickTop="1" x14ac:dyDescent="0.3">
      <c r="A77" s="78"/>
      <c r="B77" s="75">
        <v>2</v>
      </c>
      <c r="C77" s="26" t="s">
        <v>53</v>
      </c>
      <c r="D77" s="7">
        <v>142</v>
      </c>
      <c r="E77" s="7">
        <v>155</v>
      </c>
      <c r="F77" s="30">
        <f t="shared" ref="F77" si="74">(AVERAGEIF(D77:E77,"&gt;0",D77:E77))*10^2*100/8</f>
        <v>185625</v>
      </c>
      <c r="G77" s="6">
        <v>6</v>
      </c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5" t="e">
        <f>STDEV(H75:H77)</f>
        <v>#DIV/0!</v>
      </c>
      <c r="K77" s="12"/>
      <c r="L77" s="12"/>
      <c r="M77" s="62"/>
      <c r="N77" s="13"/>
      <c r="O77" s="8"/>
      <c r="P77" s="13"/>
      <c r="Q77" s="13"/>
      <c r="R77" s="9"/>
      <c r="S77" s="9"/>
    </row>
    <row r="78" spans="1:19" x14ac:dyDescent="0.3">
      <c r="A78" s="78"/>
      <c r="B78" s="73"/>
      <c r="C78" s="10" t="s">
        <v>4</v>
      </c>
      <c r="D78" s="10">
        <v>17</v>
      </c>
      <c r="E78" s="10">
        <v>11</v>
      </c>
      <c r="F78" s="28">
        <f t="shared" ref="F78" si="75">(AVERAGEIF(D78:E78,"&gt;0",D78:E78))*10^3*100/8</f>
        <v>175000</v>
      </c>
      <c r="G78" s="6"/>
      <c r="H78" s="5" t="s">
        <v>30</v>
      </c>
      <c r="J78" s="36"/>
      <c r="K78" s="12"/>
      <c r="L78" s="12"/>
      <c r="M78" s="62"/>
      <c r="N78" s="13"/>
      <c r="O78" s="8"/>
      <c r="P78" s="13"/>
      <c r="Q78" s="13"/>
      <c r="R78" s="9"/>
      <c r="S78" s="9"/>
    </row>
    <row r="79" spans="1:19" ht="14.55" thickBot="1" x14ac:dyDescent="0.35">
      <c r="A79" s="78"/>
      <c r="B79" s="74"/>
      <c r="C79" s="11" t="s">
        <v>2</v>
      </c>
      <c r="D79" s="11">
        <v>2</v>
      </c>
      <c r="E79" s="11">
        <v>3</v>
      </c>
      <c r="F79" s="32">
        <f t="shared" ref="F79" si="76">(AVERAGEIF(D79:E79,"&gt;0",D79:E79))*10^4*100/8</f>
        <v>312500</v>
      </c>
      <c r="G79" s="6"/>
      <c r="H79" s="5" t="str">
        <f t="array" ref="H79">IFERROR(INDEX($F$2:$F$181,SMALL(IF($G$2:$G$181=20,ROW($A$1:$A$180),""),ROW(A1))),"")</f>
        <v/>
      </c>
      <c r="J79" s="36"/>
      <c r="K79" s="12"/>
      <c r="L79" s="12"/>
      <c r="M79" s="62"/>
      <c r="N79" s="13"/>
      <c r="O79" s="8"/>
      <c r="P79" s="13"/>
      <c r="Q79" s="13"/>
      <c r="R79" s="9"/>
      <c r="S79" s="9"/>
    </row>
    <row r="80" spans="1:19" ht="14.55" thickTop="1" x14ac:dyDescent="0.3">
      <c r="A80" s="78"/>
      <c r="B80" s="75">
        <v>3</v>
      </c>
      <c r="C80" s="26" t="s">
        <v>53</v>
      </c>
      <c r="D80" s="7"/>
      <c r="E80" s="7"/>
      <c r="F80" s="30" t="e">
        <f t="shared" ref="F80" si="77">(AVERAGEIF(D80:E80,"&gt;0",D80:E80))*10^2*100/8</f>
        <v>#DIV/0!</v>
      </c>
      <c r="G80" s="6"/>
      <c r="H80" s="5" t="str">
        <f t="array" ref="H80">IFERROR(INDEX($F$2:$F$181,SMALL(IF($G$2:$G$181=20,ROW($A$1:$A$180),""),ROW(A2))),"")</f>
        <v/>
      </c>
      <c r="J80" s="36"/>
      <c r="K80" s="12"/>
      <c r="L80" s="12"/>
      <c r="M80" s="62"/>
      <c r="N80" s="13"/>
      <c r="O80" s="8"/>
      <c r="P80" s="13"/>
      <c r="Q80" s="13"/>
      <c r="R80" s="9"/>
      <c r="S80" s="9"/>
    </row>
    <row r="81" spans="1:22" x14ac:dyDescent="0.3">
      <c r="A81" s="78"/>
      <c r="B81" s="73"/>
      <c r="C81" s="10" t="s">
        <v>4</v>
      </c>
      <c r="D81" s="10">
        <v>21</v>
      </c>
      <c r="E81" s="10">
        <v>22</v>
      </c>
      <c r="F81" s="28">
        <f t="shared" ref="F81" si="78">(AVERAGEIF(D81:E81,"&gt;0",D81:E81))*10^3*100/8</f>
        <v>268750</v>
      </c>
      <c r="G81" s="6">
        <v>6</v>
      </c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5" t="e">
        <f>STDEV(H79:H81)</f>
        <v>#DIV/0!</v>
      </c>
      <c r="K81" s="12"/>
      <c r="L81" s="12"/>
      <c r="M81" s="62"/>
      <c r="N81" s="13"/>
      <c r="O81" s="8"/>
      <c r="P81" s="13"/>
      <c r="Q81" s="13"/>
      <c r="R81" s="9"/>
      <c r="S81" s="9"/>
    </row>
    <row r="82" spans="1:22" ht="14.55" thickBot="1" x14ac:dyDescent="0.35">
      <c r="A82" s="79"/>
      <c r="B82" s="76"/>
      <c r="C82" s="11" t="s">
        <v>2</v>
      </c>
      <c r="D82" s="31">
        <v>1</v>
      </c>
      <c r="E82" s="31">
        <v>2</v>
      </c>
      <c r="F82" s="32">
        <f t="shared" ref="F82:F109" si="79">(AVERAGEIF(D82:E82,"&gt;0",D82:E82))*10^4*100/8</f>
        <v>187500</v>
      </c>
      <c r="G82" s="6"/>
      <c r="J82" s="36"/>
      <c r="K82" s="12"/>
      <c r="L82" s="12"/>
      <c r="M82" s="62"/>
      <c r="N82" s="13"/>
      <c r="O82" s="8"/>
      <c r="P82" s="13"/>
      <c r="Q82" s="13"/>
      <c r="R82" s="9"/>
      <c r="S82" s="9"/>
    </row>
    <row r="83" spans="1:22" ht="14.55" thickTop="1" x14ac:dyDescent="0.3">
      <c r="A83" s="77" t="s">
        <v>67</v>
      </c>
      <c r="B83" s="72">
        <v>1</v>
      </c>
      <c r="C83" s="26" t="s">
        <v>53</v>
      </c>
      <c r="D83" s="26">
        <v>169</v>
      </c>
      <c r="E83" s="26">
        <v>175</v>
      </c>
      <c r="F83" s="30">
        <f t="shared" ref="F83:F107" si="80">(AVERAGEIF(D83:E83,"&gt;0",D83:E83))*10^2*100/8</f>
        <v>215000</v>
      </c>
      <c r="G83" s="6">
        <v>8</v>
      </c>
      <c r="J83" s="36"/>
      <c r="K83" s="12"/>
      <c r="L83" s="12"/>
      <c r="M83" s="62"/>
      <c r="N83" s="13"/>
      <c r="O83" s="8"/>
      <c r="P83" s="13"/>
      <c r="Q83" s="13"/>
      <c r="R83" s="9"/>
      <c r="S83" s="9"/>
      <c r="T83" s="44"/>
      <c r="U83" s="44"/>
      <c r="V83" s="14"/>
    </row>
    <row r="84" spans="1:22" x14ac:dyDescent="0.3">
      <c r="A84" s="78"/>
      <c r="B84" s="73"/>
      <c r="C84" s="10" t="s">
        <v>4</v>
      </c>
      <c r="D84" s="10">
        <v>7</v>
      </c>
      <c r="E84" s="10">
        <v>7</v>
      </c>
      <c r="F84" s="28">
        <f t="shared" ref="F84:F108" si="81">(AVERAGEIF(D84:E84,"&gt;0",D84:E84))*10^3*100/8</f>
        <v>87500</v>
      </c>
      <c r="G84" s="6"/>
      <c r="J84" s="36"/>
      <c r="K84" s="12"/>
      <c r="L84" s="12"/>
      <c r="M84" s="62"/>
      <c r="N84" s="13"/>
      <c r="O84" s="8"/>
      <c r="P84" s="13"/>
      <c r="Q84" s="13"/>
      <c r="R84" s="9"/>
      <c r="S84" s="9"/>
    </row>
    <row r="85" spans="1:22" ht="14.55" thickBot="1" x14ac:dyDescent="0.35">
      <c r="A85" s="78"/>
      <c r="B85" s="74"/>
      <c r="C85" s="11" t="s">
        <v>2</v>
      </c>
      <c r="D85" s="11">
        <v>2</v>
      </c>
      <c r="E85" s="11">
        <v>0</v>
      </c>
      <c r="F85" s="32">
        <f t="shared" si="79"/>
        <v>250000</v>
      </c>
      <c r="G85" s="6"/>
      <c r="J85" s="36"/>
      <c r="K85" s="12"/>
      <c r="L85" s="12"/>
      <c r="M85" s="62"/>
      <c r="N85" s="13"/>
      <c r="O85" s="8"/>
      <c r="P85" s="13"/>
      <c r="Q85" s="13"/>
      <c r="R85" s="9"/>
      <c r="S85" s="9"/>
    </row>
    <row r="86" spans="1:22" ht="14.55" thickTop="1" x14ac:dyDescent="0.3">
      <c r="A86" s="78"/>
      <c r="B86" s="75">
        <v>2</v>
      </c>
      <c r="C86" s="26" t="s">
        <v>53</v>
      </c>
      <c r="D86" s="7">
        <v>25</v>
      </c>
      <c r="E86" s="7">
        <v>18</v>
      </c>
      <c r="F86" s="30">
        <f t="shared" si="80"/>
        <v>26875</v>
      </c>
      <c r="G86" s="6">
        <v>8</v>
      </c>
      <c r="J86" s="36"/>
      <c r="K86" s="12"/>
      <c r="L86" s="12"/>
      <c r="M86" s="62"/>
      <c r="N86" s="13"/>
      <c r="O86" s="8"/>
      <c r="P86" s="13"/>
      <c r="Q86" s="13"/>
      <c r="R86" s="9"/>
      <c r="S86" s="9"/>
    </row>
    <row r="87" spans="1:22" x14ac:dyDescent="0.3">
      <c r="A87" s="78"/>
      <c r="B87" s="73"/>
      <c r="C87" s="10" t="s">
        <v>4</v>
      </c>
      <c r="D87" s="10">
        <v>2</v>
      </c>
      <c r="E87" s="10">
        <v>2</v>
      </c>
      <c r="F87" s="28">
        <f t="shared" si="81"/>
        <v>25000</v>
      </c>
      <c r="G87" s="6"/>
      <c r="J87" s="36"/>
      <c r="K87" s="12"/>
      <c r="L87" s="12"/>
      <c r="M87" s="62"/>
      <c r="N87" s="13"/>
      <c r="O87" s="8"/>
      <c r="P87" s="13"/>
      <c r="Q87" s="13"/>
      <c r="R87" s="9"/>
      <c r="S87" s="9"/>
    </row>
    <row r="88" spans="1:22" ht="14.55" thickBot="1" x14ac:dyDescent="0.35">
      <c r="A88" s="78"/>
      <c r="B88" s="74"/>
      <c r="C88" s="11" t="s">
        <v>2</v>
      </c>
      <c r="D88" s="11"/>
      <c r="E88" s="11"/>
      <c r="F88" s="32" t="e">
        <f t="shared" si="79"/>
        <v>#DIV/0!</v>
      </c>
      <c r="G88" s="6"/>
      <c r="J88" s="36"/>
      <c r="K88" s="12"/>
      <c r="L88" s="12"/>
      <c r="M88" s="62"/>
      <c r="N88" s="13"/>
      <c r="O88" s="8"/>
      <c r="P88" s="13"/>
      <c r="Q88" s="13"/>
      <c r="R88" s="9"/>
      <c r="S88" s="9"/>
    </row>
    <row r="89" spans="1:22" ht="14.55" thickTop="1" x14ac:dyDescent="0.3">
      <c r="A89" s="78"/>
      <c r="B89" s="75">
        <v>3</v>
      </c>
      <c r="C89" s="26" t="s">
        <v>53</v>
      </c>
      <c r="D89" s="7"/>
      <c r="E89" s="7"/>
      <c r="F89" s="30" t="e">
        <f t="shared" si="80"/>
        <v>#DIV/0!</v>
      </c>
      <c r="G89" s="6"/>
      <c r="J89" s="36"/>
      <c r="K89" s="12"/>
      <c r="L89" s="12"/>
      <c r="M89" s="62"/>
      <c r="N89" s="13"/>
      <c r="O89" s="8"/>
      <c r="P89" s="13"/>
      <c r="Q89" s="13"/>
      <c r="R89" s="9"/>
      <c r="S89" s="9"/>
    </row>
    <row r="90" spans="1:22" x14ac:dyDescent="0.3">
      <c r="A90" s="78"/>
      <c r="B90" s="73"/>
      <c r="C90" s="10" t="s">
        <v>4</v>
      </c>
      <c r="D90" s="10">
        <v>27</v>
      </c>
      <c r="E90" s="10">
        <v>25</v>
      </c>
      <c r="F90" s="28">
        <f t="shared" si="81"/>
        <v>325000</v>
      </c>
      <c r="G90" s="6">
        <v>8</v>
      </c>
      <c r="J90" s="36"/>
      <c r="K90" s="12"/>
      <c r="L90" s="12"/>
      <c r="M90" s="62"/>
      <c r="N90" s="13"/>
      <c r="O90" s="8"/>
      <c r="P90" s="13"/>
      <c r="Q90" s="13"/>
      <c r="R90" s="9"/>
      <c r="S90" s="9"/>
    </row>
    <row r="91" spans="1:22" ht="14.55" thickBot="1" x14ac:dyDescent="0.35">
      <c r="A91" s="79"/>
      <c r="B91" s="76"/>
      <c r="C91" s="11" t="s">
        <v>2</v>
      </c>
      <c r="D91" s="31">
        <v>4</v>
      </c>
      <c r="E91" s="31">
        <v>4</v>
      </c>
      <c r="F91" s="32">
        <f t="shared" si="79"/>
        <v>500000</v>
      </c>
      <c r="G91" s="6"/>
      <c r="J91" s="36"/>
      <c r="K91" s="12"/>
      <c r="L91" s="12"/>
      <c r="M91" s="62"/>
      <c r="N91" s="13"/>
      <c r="O91" s="8"/>
      <c r="P91" s="13"/>
      <c r="Q91" s="13"/>
      <c r="R91" s="9"/>
      <c r="S91" s="9"/>
    </row>
    <row r="92" spans="1:22" ht="14.55" thickTop="1" x14ac:dyDescent="0.3">
      <c r="A92" s="80" t="s">
        <v>68</v>
      </c>
      <c r="B92" s="72">
        <v>1</v>
      </c>
      <c r="C92" s="26" t="s">
        <v>53</v>
      </c>
      <c r="D92" s="26"/>
      <c r="E92" s="26"/>
      <c r="F92" s="30" t="e">
        <f t="shared" si="80"/>
        <v>#DIV/0!</v>
      </c>
      <c r="G92" s="6"/>
      <c r="J92" s="36"/>
      <c r="K92" s="12"/>
      <c r="L92" s="12"/>
      <c r="M92" s="62"/>
      <c r="N92" s="13"/>
      <c r="O92" s="8"/>
      <c r="P92" s="13"/>
      <c r="Q92" s="13"/>
      <c r="R92" s="9"/>
      <c r="S92" s="9"/>
    </row>
    <row r="93" spans="1:22" ht="14.55" thickBot="1" x14ac:dyDescent="0.35">
      <c r="A93" s="78"/>
      <c r="B93" s="73"/>
      <c r="C93" s="10" t="s">
        <v>4</v>
      </c>
      <c r="D93" s="10">
        <v>101</v>
      </c>
      <c r="E93" s="10">
        <v>103</v>
      </c>
      <c r="F93" s="28">
        <f t="shared" si="81"/>
        <v>1275000</v>
      </c>
      <c r="G93" s="6">
        <v>10</v>
      </c>
      <c r="J93" s="36"/>
      <c r="K93" s="12"/>
      <c r="L93" s="12"/>
      <c r="M93" s="62"/>
      <c r="N93" s="13"/>
      <c r="O93" s="8"/>
      <c r="P93" s="13"/>
      <c r="Q93" s="13"/>
      <c r="R93" s="9"/>
      <c r="S93" s="9"/>
      <c r="T93" s="40"/>
      <c r="U93" s="40"/>
      <c r="V93" s="15"/>
    </row>
    <row r="94" spans="1:22" ht="14.55" thickBot="1" x14ac:dyDescent="0.35">
      <c r="A94" s="78"/>
      <c r="B94" s="74"/>
      <c r="C94" s="11" t="s">
        <v>2</v>
      </c>
      <c r="D94" s="11">
        <v>10</v>
      </c>
      <c r="E94" s="11">
        <v>9</v>
      </c>
      <c r="F94" s="32">
        <f t="shared" si="79"/>
        <v>1187500</v>
      </c>
      <c r="G94" s="6"/>
      <c r="J94" s="36"/>
      <c r="K94" s="12"/>
      <c r="L94" s="12"/>
      <c r="M94" s="62"/>
      <c r="N94" s="13"/>
      <c r="O94" s="8"/>
      <c r="P94" s="13"/>
      <c r="Q94" s="13"/>
      <c r="R94" s="9"/>
      <c r="S94" s="9"/>
    </row>
    <row r="95" spans="1:22" ht="14.55" thickTop="1" x14ac:dyDescent="0.3">
      <c r="A95" s="78"/>
      <c r="B95" s="75">
        <v>2</v>
      </c>
      <c r="C95" s="26" t="s">
        <v>53</v>
      </c>
      <c r="D95" s="7"/>
      <c r="E95" s="7"/>
      <c r="F95" s="30" t="e">
        <f t="shared" si="80"/>
        <v>#DIV/0!</v>
      </c>
      <c r="G95" s="6"/>
      <c r="J95" s="36"/>
      <c r="K95" s="12"/>
      <c r="L95" s="12"/>
      <c r="M95" s="62"/>
      <c r="N95" s="13"/>
      <c r="O95" s="8"/>
      <c r="P95" s="13"/>
      <c r="Q95" s="13"/>
      <c r="R95" s="9"/>
      <c r="S95" s="9"/>
    </row>
    <row r="96" spans="1:22" x14ac:dyDescent="0.3">
      <c r="A96" s="78"/>
      <c r="B96" s="73"/>
      <c r="C96" s="10" t="s">
        <v>4</v>
      </c>
      <c r="D96" s="10">
        <v>99</v>
      </c>
      <c r="E96" s="10">
        <v>94</v>
      </c>
      <c r="F96" s="28">
        <f t="shared" si="81"/>
        <v>1206250</v>
      </c>
      <c r="G96" s="6">
        <v>10</v>
      </c>
      <c r="J96" s="36"/>
      <c r="K96" s="12"/>
      <c r="L96" s="12"/>
      <c r="M96" s="62"/>
      <c r="N96" s="13"/>
      <c r="O96" s="8"/>
      <c r="P96" s="13"/>
      <c r="Q96" s="13"/>
      <c r="R96" s="9"/>
      <c r="S96" s="9"/>
    </row>
    <row r="97" spans="1:19" ht="14.55" thickBot="1" x14ac:dyDescent="0.35">
      <c r="A97" s="78"/>
      <c r="B97" s="74"/>
      <c r="C97" s="11" t="s">
        <v>2</v>
      </c>
      <c r="D97" s="11">
        <v>4</v>
      </c>
      <c r="E97" s="11">
        <v>4</v>
      </c>
      <c r="F97" s="32">
        <f t="shared" si="79"/>
        <v>500000</v>
      </c>
      <c r="G97" s="6"/>
      <c r="J97" s="36"/>
      <c r="K97" s="12"/>
      <c r="L97" s="12"/>
      <c r="M97" s="62"/>
      <c r="N97" s="13"/>
      <c r="O97" s="8"/>
      <c r="P97" s="13"/>
      <c r="Q97" s="13"/>
      <c r="R97" s="9"/>
      <c r="S97" s="9"/>
    </row>
    <row r="98" spans="1:19" ht="14.55" thickTop="1" x14ac:dyDescent="0.3">
      <c r="A98" s="78"/>
      <c r="B98" s="75">
        <v>3</v>
      </c>
      <c r="C98" s="26" t="s">
        <v>53</v>
      </c>
      <c r="D98" s="7"/>
      <c r="E98" s="7"/>
      <c r="F98" s="30" t="e">
        <f t="shared" si="80"/>
        <v>#DIV/0!</v>
      </c>
      <c r="G98" s="6"/>
      <c r="J98" s="36"/>
      <c r="K98" s="12"/>
      <c r="L98" s="12"/>
      <c r="M98" s="62"/>
      <c r="N98" s="13"/>
      <c r="O98" s="8"/>
      <c r="P98" s="13"/>
      <c r="Q98" s="13"/>
      <c r="R98" s="9"/>
      <c r="S98" s="9"/>
    </row>
    <row r="99" spans="1:19" x14ac:dyDescent="0.3">
      <c r="A99" s="78"/>
      <c r="B99" s="73"/>
      <c r="C99" s="10" t="s">
        <v>4</v>
      </c>
      <c r="D99" s="10">
        <v>63</v>
      </c>
      <c r="E99" s="10">
        <v>76</v>
      </c>
      <c r="F99" s="28">
        <f t="shared" si="81"/>
        <v>868750</v>
      </c>
      <c r="G99" s="6">
        <v>10</v>
      </c>
      <c r="J99" s="36"/>
      <c r="K99" s="12"/>
      <c r="L99" s="12"/>
      <c r="M99" s="62"/>
      <c r="N99" s="13"/>
      <c r="O99" s="8"/>
      <c r="P99" s="13"/>
      <c r="Q99" s="13"/>
      <c r="R99" s="9"/>
      <c r="S99" s="9"/>
    </row>
    <row r="100" spans="1:19" ht="14.55" thickBot="1" x14ac:dyDescent="0.35">
      <c r="A100" s="79"/>
      <c r="B100" s="76"/>
      <c r="C100" s="11" t="s">
        <v>2</v>
      </c>
      <c r="D100" s="31">
        <v>10</v>
      </c>
      <c r="E100" s="31">
        <v>7</v>
      </c>
      <c r="F100" s="32">
        <f t="shared" si="79"/>
        <v>1062500</v>
      </c>
      <c r="G100" s="6"/>
      <c r="J100" s="36"/>
      <c r="K100" s="12"/>
      <c r="L100" s="12"/>
      <c r="M100" s="62"/>
      <c r="N100" s="13"/>
      <c r="O100" s="8"/>
      <c r="P100" s="13"/>
      <c r="Q100" s="13"/>
      <c r="R100" s="9"/>
      <c r="S100" s="9"/>
    </row>
    <row r="101" spans="1:19" ht="14.55" thickTop="1" x14ac:dyDescent="0.3">
      <c r="A101" s="80" t="s">
        <v>69</v>
      </c>
      <c r="B101" s="72">
        <v>1</v>
      </c>
      <c r="C101" s="26" t="s">
        <v>53</v>
      </c>
      <c r="D101" s="26">
        <v>26</v>
      </c>
      <c r="E101" s="26">
        <v>22</v>
      </c>
      <c r="F101" s="30">
        <f t="shared" si="80"/>
        <v>30000</v>
      </c>
      <c r="G101" s="6"/>
      <c r="J101" s="36"/>
      <c r="K101" s="12"/>
      <c r="L101" s="12"/>
      <c r="M101" s="62"/>
      <c r="N101" s="13"/>
      <c r="O101" s="8"/>
      <c r="P101" s="13"/>
      <c r="Q101" s="13"/>
      <c r="R101" s="9"/>
      <c r="S101" s="9"/>
    </row>
    <row r="102" spans="1:19" x14ac:dyDescent="0.3">
      <c r="A102" s="78"/>
      <c r="B102" s="73"/>
      <c r="C102" s="10" t="s">
        <v>4</v>
      </c>
      <c r="D102" s="10">
        <v>2</v>
      </c>
      <c r="E102" s="10">
        <v>3</v>
      </c>
      <c r="F102" s="28">
        <f t="shared" si="81"/>
        <v>31250</v>
      </c>
      <c r="G102" s="6"/>
      <c r="J102" s="36"/>
      <c r="K102" s="12"/>
      <c r="L102" s="12"/>
      <c r="M102" s="62"/>
      <c r="N102" s="13"/>
      <c r="O102" s="8"/>
      <c r="P102" s="13"/>
      <c r="Q102" s="13"/>
      <c r="R102" s="9"/>
      <c r="S102" s="9"/>
    </row>
    <row r="103" spans="1:19" ht="14.55" thickBot="1" x14ac:dyDescent="0.35">
      <c r="A103" s="78"/>
      <c r="B103" s="74"/>
      <c r="C103" s="11" t="s">
        <v>2</v>
      </c>
      <c r="D103" s="11"/>
      <c r="E103" s="11"/>
      <c r="F103" s="32" t="e">
        <f t="shared" si="79"/>
        <v>#DIV/0!</v>
      </c>
      <c r="G103" s="6"/>
      <c r="J103" s="36"/>
      <c r="K103" s="12"/>
      <c r="L103" s="12"/>
      <c r="M103" s="62"/>
      <c r="N103" s="13"/>
      <c r="O103" s="8"/>
      <c r="P103" s="13"/>
      <c r="Q103" s="13"/>
      <c r="R103" s="9"/>
      <c r="S103" s="9"/>
    </row>
    <row r="104" spans="1:19" ht="14.55" thickTop="1" x14ac:dyDescent="0.3">
      <c r="A104" s="78"/>
      <c r="B104" s="75">
        <v>2</v>
      </c>
      <c r="C104" s="26" t="s">
        <v>53</v>
      </c>
      <c r="D104" s="7"/>
      <c r="E104" s="7"/>
      <c r="F104" s="30" t="e">
        <f t="shared" si="80"/>
        <v>#DIV/0!</v>
      </c>
      <c r="G104" s="6"/>
      <c r="J104" s="36"/>
      <c r="K104" s="12"/>
      <c r="L104" s="12"/>
      <c r="M104" s="62"/>
      <c r="N104" s="13"/>
      <c r="O104" s="8"/>
      <c r="P104" s="13"/>
      <c r="Q104" s="13"/>
      <c r="R104" s="9"/>
      <c r="S104" s="9"/>
    </row>
    <row r="105" spans="1:19" x14ac:dyDescent="0.3">
      <c r="A105" s="78"/>
      <c r="B105" s="73"/>
      <c r="C105" s="10" t="s">
        <v>4</v>
      </c>
      <c r="D105" s="10">
        <v>28</v>
      </c>
      <c r="E105" s="10">
        <v>40</v>
      </c>
      <c r="F105" s="28">
        <f t="shared" si="81"/>
        <v>425000</v>
      </c>
      <c r="G105" s="6">
        <v>12</v>
      </c>
      <c r="J105" s="36"/>
      <c r="K105" s="12"/>
      <c r="L105" s="12"/>
      <c r="M105" s="62"/>
      <c r="N105" s="13"/>
      <c r="O105" s="8"/>
      <c r="P105" s="13"/>
      <c r="Q105" s="13"/>
      <c r="R105" s="9"/>
      <c r="S105" s="9"/>
    </row>
    <row r="106" spans="1:19" ht="14.55" thickBot="1" x14ac:dyDescent="0.35">
      <c r="A106" s="78"/>
      <c r="B106" s="74"/>
      <c r="C106" s="11" t="s">
        <v>2</v>
      </c>
      <c r="D106" s="11">
        <v>3</v>
      </c>
      <c r="E106" s="11">
        <v>1</v>
      </c>
      <c r="F106" s="32">
        <f t="shared" si="79"/>
        <v>250000</v>
      </c>
      <c r="G106" s="6"/>
      <c r="J106" s="36"/>
      <c r="K106" s="12"/>
      <c r="L106" s="12"/>
      <c r="M106" s="62"/>
      <c r="N106" s="13"/>
      <c r="O106" s="8"/>
      <c r="P106" s="13"/>
      <c r="Q106" s="13"/>
      <c r="R106" s="9"/>
      <c r="S106" s="9"/>
    </row>
    <row r="107" spans="1:19" ht="14.55" thickTop="1" x14ac:dyDescent="0.3">
      <c r="A107" s="78"/>
      <c r="B107" s="75">
        <v>3</v>
      </c>
      <c r="C107" s="26" t="s">
        <v>53</v>
      </c>
      <c r="D107" s="7">
        <v>115</v>
      </c>
      <c r="E107" s="7">
        <v>135</v>
      </c>
      <c r="F107" s="30">
        <f t="shared" si="80"/>
        <v>156250</v>
      </c>
      <c r="G107" s="6">
        <v>12</v>
      </c>
      <c r="J107" s="36"/>
      <c r="K107" s="12"/>
      <c r="L107" s="12"/>
      <c r="M107" s="62"/>
      <c r="N107" s="13"/>
      <c r="O107" s="8"/>
      <c r="P107" s="13"/>
      <c r="Q107" s="13"/>
      <c r="R107" s="9"/>
      <c r="S107" s="9"/>
    </row>
    <row r="108" spans="1:19" x14ac:dyDescent="0.3">
      <c r="A108" s="78"/>
      <c r="B108" s="73"/>
      <c r="C108" s="10" t="s">
        <v>4</v>
      </c>
      <c r="D108" s="10">
        <v>10</v>
      </c>
      <c r="E108" s="10">
        <v>15</v>
      </c>
      <c r="F108" s="28">
        <f t="shared" si="81"/>
        <v>156250</v>
      </c>
      <c r="G108" s="6"/>
      <c r="J108" s="36"/>
      <c r="K108" s="12"/>
      <c r="L108" s="12"/>
      <c r="M108" s="62"/>
      <c r="N108" s="13"/>
      <c r="O108" s="8"/>
      <c r="P108" s="13"/>
      <c r="Q108" s="13"/>
      <c r="R108" s="9"/>
      <c r="S108" s="9"/>
    </row>
    <row r="109" spans="1:19" ht="14.55" thickBot="1" x14ac:dyDescent="0.35">
      <c r="A109" s="79"/>
      <c r="B109" s="76"/>
      <c r="C109" s="11" t="s">
        <v>2</v>
      </c>
      <c r="D109" s="31"/>
      <c r="E109" s="31"/>
      <c r="F109" s="32" t="e">
        <f t="shared" si="79"/>
        <v>#DIV/0!</v>
      </c>
      <c r="G109" s="6"/>
      <c r="J109" s="36"/>
      <c r="K109" s="12"/>
      <c r="L109" s="12"/>
      <c r="M109" s="62"/>
      <c r="N109" s="13"/>
      <c r="O109" s="8"/>
      <c r="P109" s="13"/>
      <c r="Q109" s="13"/>
      <c r="R109" s="9"/>
      <c r="S109" s="9"/>
    </row>
    <row r="110" spans="1:19" ht="14.55" thickTop="1" x14ac:dyDescent="0.3">
      <c r="A110" s="45"/>
      <c r="B110" s="72">
        <v>1</v>
      </c>
      <c r="C110" s="26"/>
      <c r="D110" s="26"/>
      <c r="E110" s="26"/>
      <c r="F110" s="27"/>
      <c r="G110" s="6"/>
      <c r="J110" s="36"/>
      <c r="K110" s="12"/>
      <c r="L110" s="12"/>
      <c r="M110" s="62"/>
      <c r="N110" s="13"/>
      <c r="O110" s="8"/>
      <c r="P110" s="13"/>
      <c r="Q110" s="13"/>
      <c r="R110" s="9"/>
      <c r="S110" s="9"/>
    </row>
    <row r="111" spans="1:19" x14ac:dyDescent="0.3">
      <c r="A111" s="46"/>
      <c r="B111" s="73"/>
      <c r="C111" s="10"/>
      <c r="D111" s="10"/>
      <c r="E111" s="10"/>
      <c r="F111" s="28"/>
      <c r="G111" s="6"/>
      <c r="J111" s="36"/>
      <c r="K111" s="12"/>
      <c r="L111" s="12"/>
      <c r="M111" s="62"/>
      <c r="N111" s="13"/>
      <c r="O111" s="8"/>
      <c r="P111" s="13"/>
      <c r="Q111" s="13"/>
      <c r="R111" s="9"/>
      <c r="S111" s="9"/>
    </row>
    <row r="112" spans="1:19" ht="14.55" thickBot="1" x14ac:dyDescent="0.35">
      <c r="A112" s="46"/>
      <c r="B112" s="74"/>
      <c r="C112" s="11"/>
      <c r="D112" s="11"/>
      <c r="E112" s="11"/>
      <c r="F112" s="29"/>
      <c r="G112" s="6"/>
      <c r="J112" s="36"/>
      <c r="K112" s="12"/>
      <c r="L112" s="12"/>
      <c r="M112" s="62"/>
      <c r="N112" s="13"/>
      <c r="O112" s="8"/>
      <c r="P112" s="13"/>
      <c r="Q112" s="13"/>
      <c r="R112" s="9"/>
      <c r="S112" s="9"/>
    </row>
    <row r="113" spans="1:19" x14ac:dyDescent="0.3">
      <c r="A113" s="46"/>
      <c r="B113" s="75">
        <v>2</v>
      </c>
      <c r="C113" s="7"/>
      <c r="D113" s="7"/>
      <c r="E113" s="7"/>
      <c r="F113" s="30"/>
      <c r="G113" s="6"/>
      <c r="J113" s="36"/>
      <c r="K113" s="12"/>
      <c r="L113" s="12"/>
      <c r="M113" s="62"/>
      <c r="N113" s="13"/>
      <c r="O113" s="8"/>
      <c r="P113" s="13"/>
      <c r="Q113" s="13"/>
      <c r="R113" s="9"/>
      <c r="S113" s="9"/>
    </row>
    <row r="114" spans="1:19" x14ac:dyDescent="0.3">
      <c r="A114" s="46"/>
      <c r="B114" s="73"/>
      <c r="C114" s="10"/>
      <c r="D114" s="10"/>
      <c r="E114" s="10"/>
      <c r="F114" s="28"/>
      <c r="G114" s="6"/>
      <c r="J114" s="36"/>
      <c r="K114" s="12"/>
      <c r="L114" s="12"/>
      <c r="M114" s="62"/>
      <c r="N114" s="13"/>
      <c r="O114" s="8"/>
      <c r="P114" s="13"/>
      <c r="Q114" s="13"/>
      <c r="R114" s="9"/>
      <c r="S114" s="9"/>
    </row>
    <row r="115" spans="1:19" ht="14.55" thickBot="1" x14ac:dyDescent="0.35">
      <c r="A115" s="46"/>
      <c r="B115" s="74"/>
      <c r="C115" s="11"/>
      <c r="D115" s="11"/>
      <c r="E115" s="11"/>
      <c r="F115" s="29"/>
      <c r="G115" s="6"/>
      <c r="J115" s="36"/>
      <c r="K115" s="12"/>
      <c r="L115" s="12"/>
      <c r="M115" s="62"/>
      <c r="N115" s="13"/>
      <c r="O115" s="8"/>
      <c r="P115" s="13"/>
      <c r="Q115" s="13"/>
      <c r="R115" s="9"/>
      <c r="S115" s="9"/>
    </row>
    <row r="116" spans="1:19" x14ac:dyDescent="0.3">
      <c r="A116" s="46"/>
      <c r="B116" s="75">
        <v>3</v>
      </c>
      <c r="C116" s="7"/>
      <c r="D116" s="7"/>
      <c r="E116" s="7"/>
      <c r="F116" s="30"/>
      <c r="G116" s="6"/>
      <c r="J116" s="36"/>
      <c r="K116" s="12"/>
      <c r="L116" s="12"/>
      <c r="M116" s="62"/>
      <c r="N116" s="13"/>
      <c r="O116" s="8"/>
      <c r="P116" s="13"/>
      <c r="Q116" s="13"/>
      <c r="R116" s="9"/>
      <c r="S116" s="9"/>
    </row>
    <row r="117" spans="1:19" x14ac:dyDescent="0.3">
      <c r="A117" s="46"/>
      <c r="B117" s="73"/>
      <c r="C117" s="10"/>
      <c r="D117" s="10"/>
      <c r="E117" s="10"/>
      <c r="F117" s="28"/>
      <c r="G117" s="6"/>
      <c r="J117" s="36"/>
      <c r="K117" s="12"/>
      <c r="L117" s="12"/>
      <c r="M117" s="62"/>
      <c r="N117" s="13"/>
      <c r="O117" s="8"/>
      <c r="P117" s="13"/>
      <c r="Q117" s="13"/>
      <c r="R117" s="9"/>
      <c r="S117" s="9"/>
    </row>
    <row r="118" spans="1:19" ht="14.55" thickBot="1" x14ac:dyDescent="0.35">
      <c r="A118" s="47"/>
      <c r="B118" s="76"/>
      <c r="C118" s="31"/>
      <c r="D118" s="31"/>
      <c r="E118" s="31"/>
      <c r="F118" s="32"/>
      <c r="G118" s="6"/>
      <c r="J118" s="36"/>
      <c r="K118" s="12"/>
      <c r="L118" s="12"/>
      <c r="M118" s="62"/>
      <c r="N118" s="13"/>
      <c r="O118" s="8"/>
      <c r="P118" s="13"/>
      <c r="Q118" s="13"/>
      <c r="R118" s="9"/>
      <c r="S118" s="9"/>
    </row>
    <row r="119" spans="1:19" ht="14.55" thickTop="1" x14ac:dyDescent="0.3">
      <c r="A119" s="45"/>
      <c r="B119" s="48"/>
      <c r="C119" s="26"/>
      <c r="D119" s="26"/>
      <c r="E119" s="26"/>
      <c r="F119" s="27"/>
      <c r="G119" s="6"/>
      <c r="J119" s="36"/>
      <c r="K119" s="12"/>
      <c r="L119" s="12"/>
      <c r="M119" s="62"/>
      <c r="N119" s="13"/>
      <c r="O119" s="8"/>
      <c r="P119" s="13"/>
      <c r="Q119" s="13"/>
      <c r="R119" s="9"/>
      <c r="S119" s="9"/>
    </row>
    <row r="120" spans="1:19" x14ac:dyDescent="0.3">
      <c r="A120" s="46"/>
      <c r="B120" s="49"/>
      <c r="C120" s="10"/>
      <c r="D120" s="10"/>
      <c r="E120" s="10"/>
      <c r="F120" s="28"/>
      <c r="G120" s="6"/>
      <c r="J120" s="36"/>
      <c r="K120" s="12"/>
      <c r="L120" s="12"/>
      <c r="M120" s="62"/>
      <c r="N120" s="13"/>
      <c r="O120" s="8"/>
      <c r="P120" s="13"/>
      <c r="Q120" s="13"/>
      <c r="R120" s="9"/>
      <c r="S120" s="9"/>
    </row>
    <row r="121" spans="1:19" ht="14.55" thickBot="1" x14ac:dyDescent="0.35">
      <c r="A121" s="46"/>
      <c r="B121" s="50"/>
      <c r="C121" s="11"/>
      <c r="D121" s="11"/>
      <c r="E121" s="11"/>
      <c r="F121" s="29"/>
      <c r="G121" s="6"/>
      <c r="J121" s="36"/>
      <c r="K121" s="12"/>
      <c r="L121" s="12"/>
      <c r="M121" s="62"/>
      <c r="N121" s="13"/>
      <c r="O121" s="8"/>
      <c r="P121" s="13"/>
      <c r="Q121" s="13"/>
      <c r="R121" s="9"/>
      <c r="S121" s="9"/>
    </row>
    <row r="122" spans="1:19" x14ac:dyDescent="0.3">
      <c r="A122" s="46"/>
      <c r="B122" s="51"/>
      <c r="C122" s="7"/>
      <c r="D122" s="7"/>
      <c r="E122" s="7"/>
      <c r="F122" s="30"/>
      <c r="G122" s="6"/>
      <c r="J122" s="36"/>
      <c r="K122" s="12"/>
      <c r="L122" s="12"/>
      <c r="M122" s="62"/>
      <c r="N122" s="13"/>
      <c r="O122" s="8"/>
      <c r="P122" s="13"/>
      <c r="Q122" s="13"/>
      <c r="R122" s="9"/>
      <c r="S122" s="9"/>
    </row>
    <row r="123" spans="1:19" x14ac:dyDescent="0.3">
      <c r="A123" s="46"/>
      <c r="B123" s="49"/>
      <c r="C123" s="10"/>
      <c r="D123" s="10"/>
      <c r="E123" s="10"/>
      <c r="F123" s="28"/>
      <c r="G123" s="6"/>
      <c r="J123" s="36"/>
      <c r="K123" s="12"/>
      <c r="L123" s="12"/>
      <c r="M123" s="62"/>
      <c r="N123" s="13"/>
      <c r="O123" s="8"/>
      <c r="P123" s="13"/>
      <c r="Q123" s="13"/>
      <c r="R123" s="9"/>
      <c r="S123" s="9"/>
    </row>
    <row r="124" spans="1:19" ht="14.55" thickBot="1" x14ac:dyDescent="0.35">
      <c r="A124" s="46"/>
      <c r="B124" s="50"/>
      <c r="C124" s="11"/>
      <c r="D124" s="11"/>
      <c r="E124" s="11"/>
      <c r="F124" s="29"/>
      <c r="G124" s="6"/>
      <c r="J124" s="36"/>
      <c r="K124" s="12"/>
      <c r="L124" s="12"/>
      <c r="M124" s="62"/>
      <c r="N124" s="13"/>
      <c r="O124" s="8"/>
      <c r="P124" s="13"/>
      <c r="Q124" s="13"/>
      <c r="R124" s="9"/>
      <c r="S124" s="9"/>
    </row>
    <row r="125" spans="1:19" x14ac:dyDescent="0.3">
      <c r="A125" s="46"/>
      <c r="B125" s="51"/>
      <c r="C125" s="7"/>
      <c r="D125" s="7"/>
      <c r="E125" s="7"/>
      <c r="F125" s="30"/>
      <c r="G125" s="6"/>
      <c r="J125" s="36"/>
      <c r="K125" s="12"/>
      <c r="L125" s="12"/>
      <c r="M125" s="62"/>
      <c r="N125" s="13"/>
      <c r="O125" s="8"/>
      <c r="P125" s="13"/>
      <c r="Q125" s="13"/>
      <c r="R125" s="9"/>
      <c r="S125" s="9"/>
    </row>
    <row r="126" spans="1:19" x14ac:dyDescent="0.3">
      <c r="A126" s="46"/>
      <c r="B126" s="49"/>
      <c r="C126" s="10"/>
      <c r="D126" s="10"/>
      <c r="E126" s="10"/>
      <c r="F126" s="28"/>
      <c r="G126" s="6"/>
      <c r="J126" s="36"/>
      <c r="K126" s="12"/>
      <c r="L126" s="12"/>
      <c r="M126" s="62"/>
      <c r="N126" s="13"/>
      <c r="O126" s="8"/>
      <c r="P126" s="13"/>
      <c r="Q126" s="13"/>
      <c r="R126" s="9"/>
      <c r="S126" s="9"/>
    </row>
    <row r="127" spans="1:19" ht="14.55" thickBot="1" x14ac:dyDescent="0.35">
      <c r="A127" s="47"/>
      <c r="B127" s="52"/>
      <c r="C127" s="31"/>
      <c r="D127" s="31"/>
      <c r="E127" s="31"/>
      <c r="F127" s="32"/>
      <c r="G127" s="6"/>
      <c r="J127" s="36"/>
      <c r="K127" s="12"/>
      <c r="L127" s="12"/>
      <c r="M127" s="62"/>
      <c r="N127" s="13"/>
      <c r="O127" s="8"/>
      <c r="P127" s="13"/>
      <c r="Q127" s="13"/>
      <c r="R127" s="9"/>
      <c r="S127" s="9"/>
    </row>
    <row r="128" spans="1:19" ht="14.55" thickTop="1" x14ac:dyDescent="0.3">
      <c r="A128" s="45"/>
      <c r="B128" s="48"/>
      <c r="C128" s="26"/>
      <c r="D128" s="26"/>
      <c r="E128" s="26"/>
      <c r="F128" s="27"/>
      <c r="G128" s="6"/>
      <c r="J128" s="36"/>
      <c r="K128" s="12"/>
      <c r="L128" s="12"/>
      <c r="M128" s="62"/>
      <c r="N128" s="13"/>
      <c r="O128" s="8"/>
      <c r="P128" s="13"/>
      <c r="Q128" s="13"/>
      <c r="R128" s="9"/>
      <c r="S128" s="9"/>
    </row>
    <row r="129" spans="1:19" x14ac:dyDescent="0.3">
      <c r="A129" s="46"/>
      <c r="B129" s="49"/>
      <c r="C129" s="10"/>
      <c r="D129" s="10"/>
      <c r="E129" s="10"/>
      <c r="F129" s="28"/>
      <c r="G129" s="6"/>
      <c r="J129" s="36"/>
      <c r="K129" s="12"/>
      <c r="L129" s="12"/>
      <c r="M129" s="62"/>
      <c r="N129" s="13"/>
      <c r="O129" s="8"/>
      <c r="P129" s="13"/>
      <c r="Q129" s="13"/>
      <c r="R129" s="9"/>
      <c r="S129" s="9"/>
    </row>
    <row r="130" spans="1:19" ht="14.55" thickBot="1" x14ac:dyDescent="0.35">
      <c r="A130" s="46"/>
      <c r="B130" s="50"/>
      <c r="C130" s="11"/>
      <c r="D130" s="11"/>
      <c r="E130" s="11"/>
      <c r="F130" s="29"/>
      <c r="G130" s="6"/>
      <c r="J130" s="36"/>
      <c r="K130" s="12"/>
      <c r="L130" s="12"/>
      <c r="M130" s="62"/>
      <c r="N130" s="13"/>
      <c r="O130" s="8"/>
      <c r="P130" s="13"/>
      <c r="Q130" s="13"/>
      <c r="R130" s="9"/>
      <c r="S130" s="9"/>
    </row>
    <row r="131" spans="1:19" x14ac:dyDescent="0.3">
      <c r="A131" s="46"/>
      <c r="B131" s="51"/>
      <c r="C131" s="7"/>
      <c r="D131" s="16"/>
      <c r="E131" s="16"/>
      <c r="F131" s="30"/>
      <c r="G131" s="6"/>
      <c r="J131" s="36"/>
      <c r="K131" s="12"/>
      <c r="L131" s="12"/>
      <c r="M131" s="62"/>
      <c r="N131" s="13"/>
      <c r="O131" s="8"/>
      <c r="P131" s="13"/>
      <c r="Q131" s="13"/>
      <c r="R131" s="9"/>
      <c r="S131" s="9"/>
    </row>
    <row r="132" spans="1:19" x14ac:dyDescent="0.3">
      <c r="A132" s="46"/>
      <c r="B132" s="49"/>
      <c r="C132" s="10"/>
      <c r="D132" s="10"/>
      <c r="E132" s="10"/>
      <c r="F132" s="28"/>
      <c r="G132" s="6"/>
      <c r="J132" s="36"/>
      <c r="K132" s="12"/>
      <c r="L132" s="12"/>
      <c r="M132" s="62"/>
      <c r="N132" s="13"/>
      <c r="O132" s="8"/>
      <c r="P132" s="13"/>
      <c r="Q132" s="13"/>
      <c r="R132" s="9"/>
      <c r="S132" s="9"/>
    </row>
    <row r="133" spans="1:19" ht="14.55" thickBot="1" x14ac:dyDescent="0.35">
      <c r="A133" s="46"/>
      <c r="B133" s="50"/>
      <c r="C133" s="11"/>
      <c r="D133" s="11"/>
      <c r="E133" s="11"/>
      <c r="F133" s="29"/>
      <c r="G133" s="6"/>
      <c r="J133" s="36"/>
      <c r="K133" s="12"/>
      <c r="L133" s="12"/>
      <c r="M133" s="62"/>
      <c r="N133" s="13"/>
      <c r="O133" s="8"/>
      <c r="P133" s="13"/>
      <c r="Q133" s="13"/>
      <c r="R133" s="9"/>
      <c r="S133" s="9"/>
    </row>
    <row r="134" spans="1:19" x14ac:dyDescent="0.3">
      <c r="A134" s="46"/>
      <c r="B134" s="51"/>
      <c r="C134" s="7"/>
      <c r="D134" s="7"/>
      <c r="E134" s="7"/>
      <c r="F134" s="30"/>
      <c r="G134" s="6"/>
      <c r="J134" s="36"/>
      <c r="K134" s="12"/>
      <c r="L134" s="12"/>
      <c r="M134" s="62"/>
      <c r="N134" s="13"/>
      <c r="O134" s="8"/>
      <c r="P134" s="13"/>
      <c r="Q134" s="13"/>
      <c r="R134" s="9"/>
      <c r="S134" s="9"/>
    </row>
    <row r="135" spans="1:19" x14ac:dyDescent="0.3">
      <c r="A135" s="46"/>
      <c r="B135" s="49"/>
      <c r="C135" s="10"/>
      <c r="D135" s="10"/>
      <c r="E135" s="10"/>
      <c r="F135" s="28"/>
      <c r="G135" s="6"/>
      <c r="J135" s="36"/>
      <c r="K135" s="12"/>
      <c r="L135" s="12"/>
      <c r="M135" s="62"/>
      <c r="N135" s="13"/>
      <c r="O135" s="8"/>
      <c r="P135" s="13"/>
      <c r="Q135" s="13"/>
      <c r="R135" s="9"/>
      <c r="S135" s="9"/>
    </row>
    <row r="136" spans="1:19" ht="14.55" thickBot="1" x14ac:dyDescent="0.35">
      <c r="A136" s="47"/>
      <c r="B136" s="52"/>
      <c r="C136" s="31"/>
      <c r="D136" s="31"/>
      <c r="E136" s="31"/>
      <c r="F136" s="32"/>
      <c r="G136" s="6"/>
      <c r="J136" s="36"/>
      <c r="K136" s="12"/>
      <c r="L136" s="12"/>
      <c r="M136" s="62"/>
      <c r="N136" s="13"/>
      <c r="O136" s="8"/>
      <c r="P136" s="13"/>
      <c r="Q136" s="13"/>
      <c r="R136" s="9"/>
      <c r="S136" s="9"/>
    </row>
    <row r="137" spans="1:19" ht="14.55" thickTop="1" x14ac:dyDescent="0.3">
      <c r="A137" s="45"/>
      <c r="B137" s="48"/>
      <c r="C137" s="26"/>
      <c r="D137" s="26"/>
      <c r="E137" s="26"/>
      <c r="F137" s="27"/>
      <c r="G137" s="6"/>
      <c r="J137" s="36"/>
      <c r="K137" s="12"/>
      <c r="L137" s="12"/>
      <c r="M137" s="62"/>
      <c r="N137" s="13"/>
      <c r="O137" s="8"/>
      <c r="P137" s="13"/>
      <c r="Q137" s="13"/>
      <c r="R137" s="9"/>
      <c r="S137" s="9"/>
    </row>
    <row r="138" spans="1:19" x14ac:dyDescent="0.3">
      <c r="A138" s="46"/>
      <c r="B138" s="49"/>
      <c r="C138" s="10"/>
      <c r="D138" s="10"/>
      <c r="E138" s="10"/>
      <c r="F138" s="28"/>
      <c r="G138" s="6"/>
      <c r="J138" s="36"/>
      <c r="K138" s="12"/>
      <c r="L138" s="12"/>
      <c r="M138" s="62"/>
      <c r="N138" s="13"/>
      <c r="O138" s="8"/>
      <c r="P138" s="13"/>
      <c r="Q138" s="13"/>
      <c r="R138" s="9"/>
      <c r="S138" s="9"/>
    </row>
    <row r="139" spans="1:19" ht="14.55" thickBot="1" x14ac:dyDescent="0.35">
      <c r="A139" s="46"/>
      <c r="B139" s="50"/>
      <c r="C139" s="11"/>
      <c r="D139" s="11"/>
      <c r="E139" s="11"/>
      <c r="F139" s="29"/>
      <c r="G139" s="6"/>
      <c r="J139" s="36"/>
      <c r="K139" s="12"/>
      <c r="L139" s="12"/>
      <c r="M139" s="62"/>
      <c r="N139" s="13"/>
      <c r="O139" s="8"/>
      <c r="P139" s="13"/>
      <c r="Q139" s="13"/>
      <c r="R139" s="9"/>
      <c r="S139" s="9"/>
    </row>
    <row r="140" spans="1:19" x14ac:dyDescent="0.3">
      <c r="A140" s="46"/>
      <c r="B140" s="51"/>
      <c r="C140" s="7"/>
      <c r="D140" s="7"/>
      <c r="E140" s="7"/>
      <c r="F140" s="30"/>
      <c r="G140" s="6"/>
      <c r="J140" s="36"/>
      <c r="K140" s="12"/>
      <c r="L140" s="12"/>
      <c r="M140" s="62"/>
      <c r="N140" s="13"/>
      <c r="O140" s="8"/>
      <c r="P140" s="13"/>
      <c r="Q140" s="13"/>
      <c r="R140" s="9"/>
      <c r="S140" s="9"/>
    </row>
    <row r="141" spans="1:19" x14ac:dyDescent="0.3">
      <c r="A141" s="46"/>
      <c r="B141" s="49"/>
      <c r="C141" s="10"/>
      <c r="D141" s="10"/>
      <c r="E141" s="10"/>
      <c r="F141" s="28"/>
      <c r="G141" s="6"/>
      <c r="J141" s="36"/>
      <c r="K141" s="12"/>
      <c r="L141" s="12"/>
      <c r="M141" s="62"/>
      <c r="N141" s="13"/>
      <c r="O141" s="8"/>
      <c r="P141" s="13"/>
      <c r="Q141" s="13"/>
      <c r="R141" s="9"/>
      <c r="S141" s="9"/>
    </row>
    <row r="142" spans="1:19" ht="14.55" thickBot="1" x14ac:dyDescent="0.35">
      <c r="A142" s="46"/>
      <c r="B142" s="50"/>
      <c r="C142" s="11"/>
      <c r="D142" s="11"/>
      <c r="E142" s="11"/>
      <c r="F142" s="29"/>
      <c r="G142" s="6"/>
      <c r="J142" s="36"/>
      <c r="K142" s="12"/>
      <c r="L142" s="12"/>
      <c r="M142" s="62"/>
      <c r="N142" s="13"/>
      <c r="O142" s="8"/>
      <c r="P142" s="13"/>
      <c r="Q142" s="13"/>
      <c r="R142" s="9"/>
      <c r="S142" s="9"/>
    </row>
    <row r="143" spans="1:19" x14ac:dyDescent="0.3">
      <c r="A143" s="46"/>
      <c r="B143" s="51"/>
      <c r="C143" s="7"/>
      <c r="D143" s="7"/>
      <c r="E143" s="7"/>
      <c r="F143" s="30"/>
      <c r="G143" s="6"/>
      <c r="J143" s="36"/>
      <c r="K143" s="12"/>
      <c r="L143" s="12"/>
      <c r="M143" s="62"/>
      <c r="N143" s="13"/>
      <c r="O143" s="8"/>
      <c r="P143" s="13"/>
      <c r="Q143" s="13"/>
      <c r="R143" s="9"/>
      <c r="S143" s="9"/>
    </row>
    <row r="144" spans="1:19" x14ac:dyDescent="0.3">
      <c r="A144" s="46"/>
      <c r="B144" s="49"/>
      <c r="C144" s="10"/>
      <c r="D144" s="10"/>
      <c r="E144" s="10"/>
      <c r="F144" s="28"/>
      <c r="G144" s="6"/>
      <c r="J144" s="36"/>
      <c r="K144" s="12"/>
      <c r="L144" s="12"/>
      <c r="M144" s="62"/>
      <c r="N144" s="13"/>
      <c r="O144" s="8"/>
      <c r="P144" s="13"/>
      <c r="Q144" s="13"/>
      <c r="R144" s="9"/>
      <c r="S144" s="9"/>
    </row>
    <row r="145" spans="1:19" ht="14.55" thickBot="1" x14ac:dyDescent="0.35">
      <c r="A145" s="47"/>
      <c r="B145" s="52"/>
      <c r="C145" s="31"/>
      <c r="D145" s="31"/>
      <c r="E145" s="31"/>
      <c r="F145" s="32"/>
      <c r="G145" s="6"/>
      <c r="J145" s="36"/>
      <c r="K145" s="12"/>
      <c r="L145" s="12"/>
      <c r="M145" s="62"/>
      <c r="N145" s="13"/>
      <c r="O145" s="8"/>
      <c r="P145" s="13"/>
      <c r="Q145" s="13"/>
      <c r="R145" s="9"/>
      <c r="S145" s="9"/>
    </row>
    <row r="146" spans="1:19" ht="14.55" thickTop="1" x14ac:dyDescent="0.3">
      <c r="A146" s="45"/>
      <c r="B146" s="48"/>
      <c r="C146" s="26"/>
      <c r="D146" s="26"/>
      <c r="E146" s="26"/>
      <c r="F146" s="27"/>
      <c r="G146" s="6"/>
      <c r="J146" s="36"/>
      <c r="K146" s="12"/>
      <c r="L146" s="12"/>
      <c r="M146" s="62"/>
      <c r="N146" s="13"/>
      <c r="O146" s="8"/>
      <c r="P146" s="13"/>
      <c r="Q146" s="13"/>
      <c r="R146" s="9"/>
      <c r="S146" s="9"/>
    </row>
    <row r="147" spans="1:19" x14ac:dyDescent="0.3">
      <c r="A147" s="46"/>
      <c r="B147" s="49"/>
      <c r="C147" s="10"/>
      <c r="D147" s="10"/>
      <c r="E147" s="10"/>
      <c r="F147" s="28"/>
      <c r="G147" s="6"/>
      <c r="J147" s="36"/>
      <c r="K147" s="12"/>
      <c r="L147" s="12"/>
      <c r="M147" s="62"/>
      <c r="N147" s="13"/>
      <c r="O147" s="8"/>
      <c r="P147" s="13"/>
      <c r="Q147" s="13"/>
      <c r="R147" s="9"/>
      <c r="S147" s="9"/>
    </row>
    <row r="148" spans="1:19" ht="14.55" thickBot="1" x14ac:dyDescent="0.35">
      <c r="A148" s="46"/>
      <c r="B148" s="50"/>
      <c r="C148" s="11"/>
      <c r="D148" s="11"/>
      <c r="E148" s="11"/>
      <c r="F148" s="29"/>
      <c r="G148" s="6"/>
      <c r="J148" s="36"/>
      <c r="K148" s="12"/>
      <c r="L148" s="12"/>
      <c r="M148" s="62"/>
      <c r="N148" s="13"/>
      <c r="O148" s="8"/>
      <c r="P148" s="13"/>
      <c r="Q148" s="13"/>
      <c r="R148" s="9"/>
      <c r="S148" s="9"/>
    </row>
    <row r="149" spans="1:19" x14ac:dyDescent="0.3">
      <c r="A149" s="46"/>
      <c r="B149" s="51"/>
      <c r="C149" s="7"/>
      <c r="D149" s="7"/>
      <c r="E149" s="7"/>
      <c r="F149" s="30"/>
      <c r="G149" s="6"/>
      <c r="J149" s="36"/>
      <c r="K149" s="12"/>
      <c r="L149" s="12"/>
      <c r="M149" s="62"/>
      <c r="N149" s="13"/>
      <c r="O149" s="8"/>
      <c r="P149" s="13"/>
      <c r="Q149" s="13"/>
      <c r="R149" s="9"/>
      <c r="S149" s="9"/>
    </row>
    <row r="150" spans="1:19" x14ac:dyDescent="0.3">
      <c r="A150" s="46"/>
      <c r="B150" s="49"/>
      <c r="C150" s="10"/>
      <c r="D150" s="10"/>
      <c r="E150" s="10"/>
      <c r="F150" s="28"/>
      <c r="G150" s="6"/>
      <c r="J150" s="36"/>
      <c r="K150" s="12"/>
      <c r="L150" s="12"/>
      <c r="M150" s="62"/>
      <c r="N150" s="13"/>
      <c r="O150" s="8"/>
      <c r="P150" s="13"/>
      <c r="Q150" s="13"/>
      <c r="R150" s="9"/>
      <c r="S150" s="9"/>
    </row>
    <row r="151" spans="1:19" ht="14.55" thickBot="1" x14ac:dyDescent="0.35">
      <c r="A151" s="46"/>
      <c r="B151" s="50"/>
      <c r="C151" s="11"/>
      <c r="D151" s="11"/>
      <c r="E151" s="11"/>
      <c r="F151" s="29"/>
      <c r="G151" s="6"/>
      <c r="J151" s="36"/>
      <c r="K151" s="12"/>
      <c r="L151" s="12"/>
      <c r="M151" s="62"/>
      <c r="N151" s="13"/>
      <c r="O151" s="8"/>
      <c r="P151" s="13"/>
      <c r="Q151" s="13"/>
      <c r="R151" s="9"/>
      <c r="S151" s="9"/>
    </row>
    <row r="152" spans="1:19" x14ac:dyDescent="0.3">
      <c r="A152" s="46"/>
      <c r="B152" s="51"/>
      <c r="C152" s="7"/>
      <c r="D152" s="7"/>
      <c r="E152" s="7"/>
      <c r="F152" s="30"/>
      <c r="G152" s="6"/>
      <c r="J152" s="36"/>
      <c r="K152" s="12"/>
      <c r="L152" s="12"/>
      <c r="M152" s="62"/>
      <c r="N152" s="13"/>
      <c r="O152" s="8"/>
      <c r="P152" s="13"/>
      <c r="Q152" s="13"/>
      <c r="R152" s="9"/>
      <c r="S152" s="9"/>
    </row>
    <row r="153" spans="1:19" x14ac:dyDescent="0.3">
      <c r="A153" s="46"/>
      <c r="B153" s="49"/>
      <c r="C153" s="10"/>
      <c r="D153" s="10"/>
      <c r="E153" s="10"/>
      <c r="F153" s="28"/>
      <c r="G153" s="6"/>
      <c r="J153" s="36"/>
      <c r="K153" s="12"/>
      <c r="L153" s="12"/>
      <c r="M153" s="62"/>
      <c r="N153" s="13"/>
      <c r="O153" s="8"/>
      <c r="P153" s="13"/>
      <c r="Q153" s="13"/>
      <c r="R153" s="9"/>
      <c r="S153" s="9"/>
    </row>
    <row r="154" spans="1:19" ht="14.55" thickBot="1" x14ac:dyDescent="0.35">
      <c r="A154" s="47"/>
      <c r="B154" s="52"/>
      <c r="C154" s="31"/>
      <c r="D154" s="31"/>
      <c r="E154" s="31"/>
      <c r="F154" s="32"/>
      <c r="G154" s="6"/>
      <c r="J154" s="36"/>
      <c r="K154" s="12"/>
      <c r="L154" s="12"/>
      <c r="M154" s="62"/>
      <c r="N154" s="13"/>
      <c r="O154" s="8"/>
      <c r="P154" s="13"/>
      <c r="Q154" s="13"/>
      <c r="R154" s="9"/>
      <c r="S154" s="9"/>
    </row>
    <row r="155" spans="1:19" ht="14.55" thickTop="1" x14ac:dyDescent="0.3">
      <c r="A155" s="45"/>
      <c r="B155" s="48"/>
      <c r="C155" s="26"/>
      <c r="D155" s="33"/>
      <c r="E155" s="33"/>
      <c r="F155" s="27"/>
      <c r="G155" s="6"/>
      <c r="J155" s="36"/>
      <c r="K155" s="12"/>
      <c r="L155" s="12"/>
      <c r="M155" s="62"/>
      <c r="N155" s="13"/>
      <c r="O155" s="8"/>
      <c r="P155" s="13"/>
      <c r="Q155" s="13"/>
      <c r="R155" s="9"/>
      <c r="S155" s="9"/>
    </row>
    <row r="156" spans="1:19" x14ac:dyDescent="0.3">
      <c r="A156" s="46"/>
      <c r="B156" s="49"/>
      <c r="C156" s="10"/>
      <c r="D156" s="10"/>
      <c r="E156" s="10"/>
      <c r="F156" s="28"/>
      <c r="G156" s="6"/>
      <c r="J156" s="36"/>
      <c r="K156" s="12"/>
      <c r="L156" s="12"/>
      <c r="M156" s="62"/>
      <c r="N156" s="13"/>
      <c r="O156" s="8"/>
      <c r="P156" s="13"/>
      <c r="Q156" s="13"/>
      <c r="R156" s="9"/>
      <c r="S156" s="9"/>
    </row>
    <row r="157" spans="1:19" ht="14.55" thickBot="1" x14ac:dyDescent="0.35">
      <c r="A157" s="46"/>
      <c r="B157" s="50"/>
      <c r="C157" s="11"/>
      <c r="D157" s="11"/>
      <c r="E157" s="11"/>
      <c r="F157" s="29"/>
      <c r="G157" s="6"/>
      <c r="J157" s="36"/>
      <c r="K157" s="12"/>
      <c r="L157" s="12"/>
      <c r="M157" s="62"/>
      <c r="N157" s="13"/>
      <c r="O157" s="8"/>
      <c r="P157" s="13"/>
      <c r="Q157" s="13"/>
      <c r="R157" s="9"/>
      <c r="S157" s="9"/>
    </row>
    <row r="158" spans="1:19" x14ac:dyDescent="0.3">
      <c r="A158" s="46"/>
      <c r="B158" s="51"/>
      <c r="C158" s="7"/>
      <c r="D158" s="16"/>
      <c r="E158" s="16"/>
      <c r="F158" s="30"/>
      <c r="G158" s="6"/>
      <c r="J158" s="36"/>
      <c r="K158" s="12"/>
      <c r="L158" s="12"/>
      <c r="M158" s="62"/>
      <c r="N158" s="13"/>
      <c r="O158" s="8"/>
      <c r="P158" s="13"/>
      <c r="Q158" s="13"/>
      <c r="R158" s="9"/>
      <c r="S158" s="9"/>
    </row>
    <row r="159" spans="1:19" x14ac:dyDescent="0.3">
      <c r="A159" s="46"/>
      <c r="B159" s="49"/>
      <c r="C159" s="10"/>
      <c r="D159" s="10"/>
      <c r="E159" s="10"/>
      <c r="F159" s="28"/>
      <c r="G159" s="6"/>
      <c r="J159" s="36"/>
      <c r="K159" s="12"/>
      <c r="L159" s="12"/>
      <c r="M159" s="62"/>
      <c r="N159" s="13"/>
      <c r="O159" s="8"/>
      <c r="P159" s="13"/>
      <c r="Q159" s="13"/>
      <c r="R159" s="9"/>
      <c r="S159" s="9"/>
    </row>
    <row r="160" spans="1:19" ht="14.55" thickBot="1" x14ac:dyDescent="0.35">
      <c r="A160" s="46"/>
      <c r="B160" s="50"/>
      <c r="C160" s="11"/>
      <c r="D160" s="11"/>
      <c r="E160" s="11"/>
      <c r="F160" s="29"/>
      <c r="G160" s="6"/>
      <c r="J160" s="36"/>
      <c r="K160" s="12"/>
      <c r="L160" s="12"/>
      <c r="M160" s="62"/>
      <c r="N160" s="13"/>
      <c r="O160" s="8"/>
      <c r="P160" s="13"/>
      <c r="Q160" s="13"/>
      <c r="R160" s="9"/>
      <c r="S160" s="9"/>
    </row>
    <row r="161" spans="1:19" x14ac:dyDescent="0.3">
      <c r="A161" s="46"/>
      <c r="B161" s="51"/>
      <c r="C161" s="7"/>
      <c r="D161" s="7"/>
      <c r="E161" s="7"/>
      <c r="F161" s="30"/>
      <c r="G161" s="6"/>
      <c r="J161" s="36"/>
      <c r="K161" s="12"/>
      <c r="L161" s="12"/>
      <c r="M161" s="62"/>
      <c r="N161" s="13"/>
      <c r="O161" s="8"/>
      <c r="P161" s="13"/>
      <c r="Q161" s="13"/>
      <c r="R161" s="9"/>
      <c r="S161" s="9"/>
    </row>
    <row r="162" spans="1:19" x14ac:dyDescent="0.3">
      <c r="A162" s="46"/>
      <c r="B162" s="49"/>
      <c r="C162" s="10"/>
      <c r="D162" s="10"/>
      <c r="E162" s="10"/>
      <c r="F162" s="28"/>
      <c r="G162" s="6"/>
      <c r="J162" s="36"/>
      <c r="K162" s="12"/>
      <c r="L162" s="12"/>
      <c r="M162" s="62"/>
      <c r="N162" s="13"/>
      <c r="O162" s="8"/>
      <c r="P162" s="13"/>
      <c r="Q162" s="13"/>
      <c r="R162" s="9"/>
      <c r="S162" s="9"/>
    </row>
    <row r="163" spans="1:19" ht="14.55" thickBot="1" x14ac:dyDescent="0.35">
      <c r="A163" s="47"/>
      <c r="B163" s="52"/>
      <c r="C163" s="31"/>
      <c r="D163" s="31"/>
      <c r="E163" s="31"/>
      <c r="F163" s="32"/>
      <c r="G163" s="6"/>
      <c r="J163" s="36"/>
      <c r="K163" s="12"/>
      <c r="L163" s="12"/>
      <c r="M163" s="62"/>
      <c r="N163" s="13"/>
      <c r="O163" s="8"/>
      <c r="P163" s="13"/>
      <c r="Q163" s="13"/>
      <c r="R163" s="9"/>
      <c r="S163" s="9"/>
    </row>
    <row r="164" spans="1:19" ht="14.55" thickTop="1" x14ac:dyDescent="0.3">
      <c r="A164" s="45"/>
      <c r="B164" s="48"/>
      <c r="C164" s="26"/>
      <c r="D164" s="26"/>
      <c r="E164" s="26"/>
      <c r="F164" s="27"/>
      <c r="G164" s="6"/>
      <c r="J164" s="36"/>
      <c r="K164" s="12"/>
      <c r="L164" s="12"/>
      <c r="M164" s="62"/>
      <c r="N164" s="13"/>
      <c r="O164" s="8"/>
      <c r="P164" s="17"/>
      <c r="Q164" s="17"/>
      <c r="R164" s="9"/>
      <c r="S164" s="9"/>
    </row>
    <row r="165" spans="1:19" x14ac:dyDescent="0.3">
      <c r="A165" s="46"/>
      <c r="B165" s="49"/>
      <c r="C165" s="10"/>
      <c r="D165" s="10"/>
      <c r="E165" s="10"/>
      <c r="F165" s="28"/>
      <c r="G165" s="6"/>
      <c r="J165" s="36"/>
      <c r="K165" s="12"/>
      <c r="L165" s="12"/>
      <c r="M165" s="62"/>
      <c r="N165" s="13"/>
      <c r="O165" s="8"/>
      <c r="P165" s="17"/>
      <c r="Q165" s="17"/>
      <c r="R165" s="9"/>
      <c r="S165" s="9"/>
    </row>
    <row r="166" spans="1:19" ht="14.55" thickBot="1" x14ac:dyDescent="0.35">
      <c r="A166" s="46"/>
      <c r="B166" s="50"/>
      <c r="C166" s="11"/>
      <c r="D166" s="11"/>
      <c r="E166" s="11"/>
      <c r="F166" s="29"/>
      <c r="G166" s="6"/>
      <c r="J166" s="36"/>
      <c r="K166" s="12"/>
      <c r="L166" s="12"/>
      <c r="M166" s="62"/>
      <c r="N166" s="13"/>
      <c r="O166" s="8"/>
      <c r="P166" s="17"/>
      <c r="Q166" s="17"/>
      <c r="R166" s="9"/>
      <c r="S166" s="9"/>
    </row>
    <row r="167" spans="1:19" x14ac:dyDescent="0.3">
      <c r="A167" s="46"/>
      <c r="B167" s="51"/>
      <c r="C167" s="7"/>
      <c r="D167" s="7"/>
      <c r="E167" s="7"/>
      <c r="F167" s="30"/>
      <c r="G167" s="6"/>
      <c r="J167" s="36"/>
      <c r="K167" s="12"/>
      <c r="L167" s="12"/>
      <c r="M167" s="62"/>
      <c r="N167" s="13"/>
      <c r="O167" s="8"/>
      <c r="P167" s="17"/>
      <c r="Q167" s="17"/>
      <c r="R167" s="9"/>
      <c r="S167" s="9"/>
    </row>
    <row r="168" spans="1:19" x14ac:dyDescent="0.3">
      <c r="A168" s="46"/>
      <c r="B168" s="49"/>
      <c r="C168" s="10"/>
      <c r="D168" s="10"/>
      <c r="E168" s="10"/>
      <c r="F168" s="28"/>
      <c r="G168" s="6"/>
      <c r="J168" s="36"/>
      <c r="K168" s="12"/>
      <c r="L168" s="12"/>
      <c r="M168" s="62"/>
      <c r="N168" s="13"/>
      <c r="O168" s="8"/>
      <c r="P168" s="17"/>
      <c r="Q168" s="17"/>
      <c r="R168" s="9"/>
      <c r="S168" s="9"/>
    </row>
    <row r="169" spans="1:19" ht="14.55" thickBot="1" x14ac:dyDescent="0.35">
      <c r="A169" s="46"/>
      <c r="B169" s="50"/>
      <c r="C169" s="11"/>
      <c r="D169" s="11"/>
      <c r="E169" s="11"/>
      <c r="F169" s="29"/>
      <c r="G169" s="6"/>
      <c r="J169" s="36"/>
      <c r="K169" s="12"/>
      <c r="L169" s="12"/>
      <c r="M169" s="62"/>
      <c r="N169" s="13"/>
      <c r="O169" s="8"/>
      <c r="P169" s="17"/>
      <c r="Q169" s="17"/>
      <c r="R169" s="9"/>
      <c r="S169" s="9"/>
    </row>
    <row r="170" spans="1:19" x14ac:dyDescent="0.3">
      <c r="A170" s="46"/>
      <c r="B170" s="51"/>
      <c r="C170" s="7"/>
      <c r="D170" s="7"/>
      <c r="E170" s="7"/>
      <c r="F170" s="30"/>
      <c r="G170" s="6"/>
      <c r="J170" s="36"/>
      <c r="K170" s="12"/>
      <c r="L170" s="12"/>
      <c r="M170" s="62"/>
      <c r="N170" s="13"/>
      <c r="O170" s="8"/>
      <c r="P170" s="17"/>
      <c r="Q170" s="17"/>
      <c r="R170" s="9"/>
      <c r="S170" s="9"/>
    </row>
    <row r="171" spans="1:19" x14ac:dyDescent="0.3">
      <c r="A171" s="46"/>
      <c r="B171" s="49"/>
      <c r="C171" s="10"/>
      <c r="D171" s="10"/>
      <c r="E171" s="10"/>
      <c r="F171" s="28"/>
      <c r="G171" s="6"/>
      <c r="J171" s="36"/>
      <c r="K171" s="12"/>
      <c r="L171" s="12"/>
      <c r="M171" s="62"/>
      <c r="N171" s="13"/>
      <c r="O171" s="8"/>
      <c r="P171" s="17"/>
      <c r="Q171" s="17"/>
      <c r="R171" s="9"/>
      <c r="S171" s="9"/>
    </row>
    <row r="172" spans="1:19" ht="14.55" thickBot="1" x14ac:dyDescent="0.35">
      <c r="A172" s="47"/>
      <c r="B172" s="52"/>
      <c r="C172" s="31"/>
      <c r="D172" s="31"/>
      <c r="E172" s="31"/>
      <c r="F172" s="32"/>
      <c r="G172" s="6"/>
      <c r="J172" s="36"/>
      <c r="K172" s="12"/>
      <c r="L172" s="12"/>
      <c r="M172" s="62"/>
      <c r="N172" s="13"/>
      <c r="O172" s="8"/>
      <c r="P172" s="17"/>
      <c r="Q172" s="17"/>
      <c r="R172" s="9"/>
      <c r="S172" s="9"/>
    </row>
    <row r="173" spans="1:19" ht="14.55" thickTop="1" x14ac:dyDescent="0.3">
      <c r="A173" s="45"/>
      <c r="B173" s="48"/>
      <c r="C173" s="26"/>
      <c r="D173" s="26"/>
      <c r="E173" s="26"/>
      <c r="F173" s="27"/>
      <c r="G173" s="6"/>
      <c r="J173" s="17"/>
      <c r="K173" s="18"/>
      <c r="L173" s="18"/>
      <c r="M173" s="63"/>
      <c r="O173" s="8"/>
      <c r="P173" s="17"/>
      <c r="Q173" s="17"/>
      <c r="R173" s="9"/>
      <c r="S173" s="9"/>
    </row>
    <row r="174" spans="1:19" x14ac:dyDescent="0.3">
      <c r="A174" s="46"/>
      <c r="B174" s="49"/>
      <c r="C174" s="10"/>
      <c r="D174" s="10"/>
      <c r="E174" s="10"/>
      <c r="F174" s="28"/>
      <c r="G174" s="6"/>
      <c r="J174" s="17"/>
      <c r="K174" s="18"/>
      <c r="L174" s="18"/>
      <c r="M174" s="63"/>
      <c r="O174" s="8"/>
      <c r="P174" s="17"/>
      <c r="Q174" s="17"/>
      <c r="R174" s="9"/>
      <c r="S174" s="9"/>
    </row>
    <row r="175" spans="1:19" ht="14.55" thickBot="1" x14ac:dyDescent="0.35">
      <c r="A175" s="46"/>
      <c r="B175" s="50"/>
      <c r="C175" s="11"/>
      <c r="D175" s="11"/>
      <c r="E175" s="11"/>
      <c r="F175" s="29"/>
      <c r="G175" s="6"/>
      <c r="J175" s="17"/>
      <c r="K175" s="18"/>
      <c r="L175" s="18"/>
      <c r="M175" s="63"/>
      <c r="O175" s="8"/>
      <c r="P175" s="17"/>
      <c r="Q175" s="17"/>
      <c r="R175" s="9"/>
      <c r="S175" s="9"/>
    </row>
    <row r="176" spans="1:19" x14ac:dyDescent="0.3">
      <c r="A176" s="46"/>
      <c r="B176" s="51"/>
      <c r="C176" s="7"/>
      <c r="D176" s="7"/>
      <c r="E176" s="7"/>
      <c r="F176" s="30"/>
      <c r="G176" s="6"/>
      <c r="J176" s="17"/>
      <c r="K176" s="18"/>
      <c r="L176" s="18"/>
      <c r="M176" s="63"/>
      <c r="O176" s="8"/>
      <c r="P176" s="17"/>
      <c r="Q176" s="17"/>
    </row>
    <row r="177" spans="1:17" x14ac:dyDescent="0.3">
      <c r="A177" s="46"/>
      <c r="B177" s="49"/>
      <c r="C177" s="10"/>
      <c r="D177" s="10"/>
      <c r="E177" s="10"/>
      <c r="F177" s="28"/>
      <c r="G177" s="6"/>
      <c r="J177" s="17"/>
      <c r="K177" s="18"/>
      <c r="L177" s="18"/>
      <c r="M177" s="63"/>
      <c r="O177" s="8"/>
      <c r="P177" s="17"/>
      <c r="Q177" s="17"/>
    </row>
    <row r="178" spans="1:17" ht="14.55" thickBot="1" x14ac:dyDescent="0.35">
      <c r="A178" s="46"/>
      <c r="B178" s="50"/>
      <c r="C178" s="11"/>
      <c r="D178" s="11"/>
      <c r="E178" s="11"/>
      <c r="F178" s="29"/>
      <c r="G178" s="6"/>
      <c r="J178" s="17"/>
      <c r="K178" s="18"/>
      <c r="L178" s="18"/>
      <c r="M178" s="63"/>
      <c r="O178" s="8"/>
      <c r="P178" s="17"/>
      <c r="Q178" s="17"/>
    </row>
    <row r="179" spans="1:17" x14ac:dyDescent="0.3">
      <c r="A179" s="46"/>
      <c r="B179" s="51"/>
      <c r="C179" s="7"/>
      <c r="D179" s="7"/>
      <c r="E179" s="7"/>
      <c r="F179" s="30"/>
      <c r="G179" s="6"/>
      <c r="J179" s="17"/>
      <c r="K179" s="18"/>
      <c r="L179" s="18"/>
      <c r="M179" s="63"/>
      <c r="O179" s="8"/>
      <c r="P179" s="17"/>
      <c r="Q179" s="17"/>
    </row>
    <row r="180" spans="1:17" x14ac:dyDescent="0.3">
      <c r="A180" s="46"/>
      <c r="B180" s="49"/>
      <c r="C180" s="10"/>
      <c r="D180" s="10"/>
      <c r="E180" s="10"/>
      <c r="F180" s="28"/>
      <c r="G180" s="6"/>
      <c r="J180" s="17"/>
      <c r="K180" s="18"/>
      <c r="L180" s="18"/>
      <c r="M180" s="63"/>
      <c r="O180" s="8"/>
      <c r="P180" s="17"/>
      <c r="Q180" s="17"/>
    </row>
    <row r="181" spans="1:17" ht="14.55" thickBot="1" x14ac:dyDescent="0.35">
      <c r="A181" s="47"/>
      <c r="B181" s="52"/>
      <c r="C181" s="31"/>
      <c r="D181" s="31"/>
      <c r="E181" s="31"/>
      <c r="F181" s="32"/>
      <c r="G181" s="6"/>
      <c r="J181" s="17"/>
      <c r="K181" s="18"/>
      <c r="L181" s="18"/>
      <c r="M181" s="63"/>
      <c r="O181" s="8"/>
      <c r="P181" s="17"/>
      <c r="Q181" s="17"/>
    </row>
    <row r="182" spans="1:17" ht="14.55" thickTop="1" x14ac:dyDescent="0.3">
      <c r="G182" s="24"/>
      <c r="O182" s="8"/>
    </row>
  </sheetData>
  <mergeCells count="55">
    <mergeCell ref="T1:U1"/>
    <mergeCell ref="V1:W1"/>
    <mergeCell ref="X1:Y1"/>
    <mergeCell ref="B110:B112"/>
    <mergeCell ref="B113:B115"/>
    <mergeCell ref="B86:B88"/>
    <mergeCell ref="B89:B91"/>
    <mergeCell ref="B116:B118"/>
    <mergeCell ref="N1:O1"/>
    <mergeCell ref="A92:A100"/>
    <mergeCell ref="B92:B94"/>
    <mergeCell ref="B95:B97"/>
    <mergeCell ref="B98:B100"/>
    <mergeCell ref="A101:A109"/>
    <mergeCell ref="B101:B103"/>
    <mergeCell ref="B104:B106"/>
    <mergeCell ref="B107:B109"/>
    <mergeCell ref="A74:A82"/>
    <mergeCell ref="B74:B76"/>
    <mergeCell ref="B77:B79"/>
    <mergeCell ref="B80:B82"/>
    <mergeCell ref="A83:A91"/>
    <mergeCell ref="B83:B85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DEFE-3DCF-4714-8F68-F5E37E853796}">
  <dimension ref="A1:Y182"/>
  <sheetViews>
    <sheetView tabSelected="1" topLeftCell="L27" zoomScale="126" zoomScaleNormal="115" workbookViewId="0">
      <selection activeCell="U43" sqref="U43"/>
    </sheetView>
  </sheetViews>
  <sheetFormatPr defaultColWidth="9.19921875" defaultRowHeight="14" x14ac:dyDescent="0.3"/>
  <cols>
    <col min="1" max="1" width="10.69921875" style="19" customWidth="1"/>
    <col min="2" max="2" width="10.69921875" style="20" customWidth="1"/>
    <col min="3" max="3" width="12.69921875" style="21" bestFit="1" customWidth="1"/>
    <col min="4" max="4" width="20.296875" style="21" customWidth="1"/>
    <col min="5" max="5" width="21" style="21" customWidth="1"/>
    <col min="6" max="6" width="11.5" style="5" customWidth="1"/>
    <col min="7" max="7" width="11.5" style="25" customWidth="1"/>
    <col min="8" max="8" width="14.5" style="5" customWidth="1"/>
    <col min="9" max="9" width="12.69921875" style="5" bestFit="1" customWidth="1"/>
    <col min="10" max="12" width="12.69921875" style="5" customWidth="1"/>
    <col min="13" max="13" width="12.69921875" style="6" customWidth="1"/>
    <col min="14" max="15" width="12.69921875" style="17" customWidth="1"/>
    <col min="16" max="19" width="12.69921875" style="5" customWidth="1"/>
    <col min="20" max="20" width="11.796875" style="5" customWidth="1"/>
    <col min="21" max="21" width="12.5" style="5" customWidth="1"/>
    <col min="22" max="22" width="13.19921875" style="6" customWidth="1"/>
    <col min="23" max="23" width="11.5" style="6" customWidth="1"/>
    <col min="24" max="25" width="14.5" style="6" bestFit="1" customWidth="1"/>
    <col min="26" max="16384" width="9.19921875" style="6"/>
  </cols>
  <sheetData>
    <row r="1" spans="1:25" ht="28.5" thickBot="1" x14ac:dyDescent="0.35">
      <c r="A1" s="1" t="s">
        <v>0</v>
      </c>
      <c r="B1" s="2" t="s">
        <v>7</v>
      </c>
      <c r="C1" s="3" t="s">
        <v>1</v>
      </c>
      <c r="D1" s="3" t="s">
        <v>5</v>
      </c>
      <c r="E1" s="3" t="s">
        <v>6</v>
      </c>
      <c r="F1" s="4" t="s">
        <v>8</v>
      </c>
      <c r="G1" s="23" t="s">
        <v>10</v>
      </c>
      <c r="H1" s="22" t="s">
        <v>31</v>
      </c>
      <c r="I1" s="22" t="s">
        <v>32</v>
      </c>
      <c r="J1" s="22" t="s">
        <v>9</v>
      </c>
      <c r="K1" s="22" t="s">
        <v>33</v>
      </c>
      <c r="L1" s="22" t="s">
        <v>34</v>
      </c>
      <c r="M1" s="58"/>
      <c r="N1" s="86" t="s">
        <v>70</v>
      </c>
      <c r="O1" s="86"/>
      <c r="P1" s="86" t="s">
        <v>71</v>
      </c>
      <c r="Q1" s="86"/>
      <c r="R1" s="86" t="s">
        <v>72</v>
      </c>
      <c r="S1" s="86"/>
      <c r="T1" s="86" t="s">
        <v>73</v>
      </c>
      <c r="U1" s="86"/>
      <c r="V1" s="86" t="s">
        <v>74</v>
      </c>
      <c r="W1" s="86"/>
      <c r="X1" s="86" t="s">
        <v>75</v>
      </c>
      <c r="Y1" s="86"/>
    </row>
    <row r="2" spans="1:25" ht="15.75" customHeight="1" thickTop="1" x14ac:dyDescent="0.3">
      <c r="A2" s="77" t="s">
        <v>54</v>
      </c>
      <c r="B2" s="81">
        <v>1</v>
      </c>
      <c r="C2" s="26" t="s">
        <v>4</v>
      </c>
      <c r="D2" s="53"/>
      <c r="E2" s="53"/>
      <c r="F2" s="67" t="e">
        <f>(AVERAGEIF(D2:E2,"&gt;0",D2:E2))*10^3*100/8</f>
        <v>#DIV/0!</v>
      </c>
      <c r="G2" s="6"/>
      <c r="H2" s="5" t="s">
        <v>11</v>
      </c>
      <c r="J2" s="34"/>
      <c r="K2" s="37">
        <f t="array" ref="K2">IFERROR(INDEX($I$2:$I$81,SMALL(IF(ISNUMBER($I$2:$I$81),ROW($A$1:$A$80),""),ROW(A1))),"")</f>
        <v>27916666.666666668</v>
      </c>
      <c r="L2" s="37">
        <f t="array" ref="L2">IFERROR(INDEX($J$2:$J$81,SMALL(IF(ISNUMBER($J$2:$J$81),ROW($A$1:$A$80),""),ROW(A1))),"")</f>
        <v>11116101.309961746</v>
      </c>
      <c r="M2" s="59" t="s">
        <v>51</v>
      </c>
      <c r="N2" s="55">
        <v>1</v>
      </c>
      <c r="O2" s="55">
        <v>2</v>
      </c>
      <c r="P2" s="6">
        <v>3</v>
      </c>
      <c r="Q2" s="6">
        <v>4</v>
      </c>
      <c r="R2" s="56">
        <v>5</v>
      </c>
      <c r="S2" s="57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</row>
    <row r="3" spans="1:25" x14ac:dyDescent="0.3">
      <c r="A3" s="78"/>
      <c r="B3" s="82"/>
      <c r="C3" s="10" t="s">
        <v>2</v>
      </c>
      <c r="D3" s="10"/>
      <c r="E3" s="10"/>
      <c r="F3" s="68" t="e">
        <f>(AVERAGEIF(D3:E3,"&gt;0",D3:E3))*10^4*100/8</f>
        <v>#DIV/0!</v>
      </c>
      <c r="G3" s="6"/>
      <c r="H3" s="5">
        <f t="array" ref="H3">IFERROR(INDEX($F$2:$F$181,SMALL(IF($G$2:$G$181=1,ROW($A$1:$A$163),""),ROW(A1))),"")</f>
        <v>18125000</v>
      </c>
      <c r="J3" s="35"/>
      <c r="K3" s="37">
        <f t="array" ref="K3">IFERROR(INDEX($I$2:$I$81,SMALL(IF(ISNUMBER($I$2:$I$81),ROW($A$1:$A$80),""),ROW(A2))),"")</f>
        <v>310416.66666666669</v>
      </c>
      <c r="L3" s="37">
        <f t="array" ref="L3">IFERROR(INDEX($J$2:$J$81,SMALL(IF(ISNUMBER($J$2:$J$81),ROW($A$1:$A$80),""),ROW(A2))),"")</f>
        <v>112557.85549366754</v>
      </c>
      <c r="M3" s="59" t="s">
        <v>52</v>
      </c>
      <c r="N3" s="55">
        <v>1</v>
      </c>
      <c r="O3" s="55">
        <v>2</v>
      </c>
      <c r="P3" s="6">
        <v>3</v>
      </c>
      <c r="Q3" s="6">
        <v>4</v>
      </c>
      <c r="R3" s="56">
        <v>5</v>
      </c>
      <c r="S3" s="57">
        <v>6</v>
      </c>
      <c r="T3">
        <v>7</v>
      </c>
      <c r="U3">
        <v>8</v>
      </c>
      <c r="V3">
        <v>9</v>
      </c>
      <c r="W3">
        <v>10</v>
      </c>
      <c r="X3">
        <v>11</v>
      </c>
      <c r="Y3">
        <v>12</v>
      </c>
    </row>
    <row r="4" spans="1:25" ht="14.55" thickBot="1" x14ac:dyDescent="0.35">
      <c r="A4" s="78"/>
      <c r="B4" s="83"/>
      <c r="C4" s="11" t="s">
        <v>3</v>
      </c>
      <c r="D4" s="11">
        <v>18</v>
      </c>
      <c r="E4" s="11">
        <v>11</v>
      </c>
      <c r="F4" s="69">
        <f>(AVERAGEIF(D4:E4,"&gt;0",D4:E4))*10^5*100/8</f>
        <v>18125000</v>
      </c>
      <c r="G4" s="6">
        <v>1</v>
      </c>
      <c r="H4" s="5">
        <f t="array" ref="H4">IFERROR(INDEX($F$2:$F$181,SMALL(IF($G$2:$G$181=1,ROW($A$1:$A$163),""),ROW(A2))),"")</f>
        <v>25625000</v>
      </c>
      <c r="J4" s="35"/>
      <c r="K4" s="37">
        <f t="array" ref="K4">IFERROR(INDEX($I$2:$I$81,SMALL(IF(ISNUMBER($I$2:$I$81),ROW($A$1:$A$80),""),ROW(A3))),"")</f>
        <v>8166666.666666667</v>
      </c>
      <c r="L4" s="37">
        <f t="array" ref="L4">IFERROR(INDEX($J$2:$J$81,SMALL(IF(ISNUMBER($J$2:$J$81),ROW($A$1:$A$80),""),ROW(A3))),"")</f>
        <v>1876388.3748662823</v>
      </c>
      <c r="M4" s="60"/>
      <c r="N4" s="8">
        <f t="array" ref="N4">IFERROR(INDEX($F$2:$F$181,SMALL(_xlfn.IFS($G$2:$G$181&lt;$N$2,"",$G$2:$G$181&gt;$N$3,"",ISNUMBER($G$2:$G$181),ROW($A$1:$A$180)),ROW(A1))),"")</f>
        <v>18125000</v>
      </c>
      <c r="O4" s="8">
        <f t="array" ref="O4">IFERROR(INDEX($F$2:$F$181,SMALL(_xlfn.IFS($G$2:$G$181&lt;$O$2,"",$G$2:$G$181&gt;$O$3,"",ISNUMBER($G$2:$G$181),ROW($A$1:$A$180)),ROW(A1))),"")</f>
        <v>387500</v>
      </c>
      <c r="P4" s="8">
        <f t="array" ref="P4">IFERROR(INDEX($F$2:$F$181,SMALL(_xlfn.IFS($G$2:$G$181&lt;$P$2,"",$G$2:$G$181&gt;$P$3,"",ISNUMBER($G$2:$G$181),ROW($A$1:$A$180)),ROW(A1))),"")</f>
        <v>8250000</v>
      </c>
      <c r="Q4" s="8">
        <f t="array" ref="Q4">IFERROR(INDEX($F$2:$F$181,SMALL(_xlfn.IFS($G$2:$G$181&lt;$Q$2,"",$G$2:$G$181&gt;$Q$3,"",ISNUMBER($G$2:$G$181),ROW($A$1:$A$180)),ROW(A1))),"")</f>
        <v>3475000</v>
      </c>
      <c r="R4" s="8">
        <f t="array" ref="R4">IFERROR(INDEX($F$2:$F$181,SMALL(_xlfn.IFS($G$2:$G$181&lt;$R$2,"",$G$2:$G$181&gt;$R$3,"",ISNUMBER($G$2:$G$181),ROW($A$1:$A$180)),ROW(A1))),"")</f>
        <v>5625000</v>
      </c>
      <c r="S4" s="9">
        <f t="array" ref="S4">IFERROR(INDEX($F$2:$F$181,SMALL(_xlfn.IFS($G$2:$G$181&lt;$S$2,"",$G$2:$G$181&gt;$S$3,"",ISNUMBER($G$2:$G$181),ROW($A$1:$A$180)),ROW(A1))),"")</f>
        <v>368750</v>
      </c>
      <c r="T4" s="5">
        <f t="array" ref="T4">IFERROR(INDEX($F$2:$F$181,SMALL(_xlfn.IFS($G$2:$G$181&lt;$T$2,"",$G$2:$G$181&gt;$T$3,"",ISNUMBER($G$2:$G$181),ROW($A$1:$A$180)),ROW(A1))),"")</f>
        <v>10562500</v>
      </c>
      <c r="U4" s="5" cm="1">
        <f t="array" ref="U4">IFERROR(INDEX($F$2:$F$181,SMALL(_xlfn.IFS($G$2:$G$181&lt;U$2,"",$G$2:$G$181&gt;U$3,"",ISNUMBER($G$2:$G$181),ROW($A$1:$A$180)),ROW(A1))),"")</f>
        <v>10125000</v>
      </c>
      <c r="V4" s="5" t="str" cm="1">
        <f t="array" ref="V4">IFERROR(INDEX($F$2:$F$181,SMALL(_xlfn.IFS($G$2:$G$181&lt;V$2,"",$G$2:$G$181&gt;V$3,"",ISNUMBER($G$2:$G$181),ROW($A$1:$A$180)),ROW(B1))),"")</f>
        <v/>
      </c>
      <c r="W4" s="5" t="str" cm="1">
        <f t="array" ref="W4">IFERROR(INDEX($F$2:$F$181,SMALL(_xlfn.IFS($G$2:$G$181&lt;W$2,"",$G$2:$G$181&gt;W$3,"",ISNUMBER($G$2:$G$181),ROW($A$1:$A$180)),ROW(C1))),"")</f>
        <v/>
      </c>
      <c r="X4" s="5" t="str" cm="1">
        <f t="array" ref="X4">IFERROR(INDEX($F$2:$F$181,SMALL(_xlfn.IFS($G$2:$G$181&lt;X$2,"",$G$2:$G$181&gt;X$3,"",ISNUMBER($G$2:$G$181),ROW($A$1:$A$180)),ROW(D1))),"")</f>
        <v/>
      </c>
      <c r="Y4" s="5" t="str" cm="1">
        <f t="array" ref="Y4">IFERROR(INDEX($F$2:$F$181,SMALL(_xlfn.IFS($G$2:$G$181&lt;Y$2,"",$G$2:$G$181&gt;Y$3,"",ISNUMBER($G$2:$G$181),ROW($A$1:$A$180)),ROW(E1))),"")</f>
        <v/>
      </c>
    </row>
    <row r="5" spans="1:25" ht="14.55" thickTop="1" x14ac:dyDescent="0.3">
      <c r="A5" s="78"/>
      <c r="B5" s="84">
        <v>2</v>
      </c>
      <c r="C5" s="7" t="s">
        <v>4</v>
      </c>
      <c r="D5" s="54"/>
      <c r="E5" s="54"/>
      <c r="F5" s="67" t="e">
        <f t="shared" ref="F5" si="0">(AVERAGEIF(D5:E5,"&gt;0",D5:E5))*10^3*100/8</f>
        <v>#DIV/0!</v>
      </c>
      <c r="G5" s="6"/>
      <c r="H5" s="5">
        <f t="array" ref="H5">IFERROR(INDEX($F$2:$F$181,SMALL(IF($G$2:$G$181=1,ROW($A$1:$A$163),""),ROW(A3))),"")</f>
        <v>40000000</v>
      </c>
      <c r="I5" s="5">
        <f>AVERAGE(H3:H5)</f>
        <v>27916666.666666668</v>
      </c>
      <c r="J5" s="35">
        <f>STDEV(H3:H5)</f>
        <v>11116101.309961746</v>
      </c>
      <c r="K5" s="37">
        <f t="array" ref="K5">IFERROR(INDEX($I$2:$I$81,SMALL(IF(ISNUMBER($I$2:$I$81),ROW($A$1:$A$80),""),ROW(A4))),"")</f>
        <v>3366666.6666666665</v>
      </c>
      <c r="L5" s="37">
        <f t="array" ref="L5">IFERROR(INDEX($J$2:$J$81,SMALL(IF(ISNUMBER($J$2:$J$81),ROW($A$1:$A$80),""),ROW(A4))),"")</f>
        <v>326279.53250753158</v>
      </c>
      <c r="M5" s="60"/>
      <c r="N5" s="8">
        <f t="array" ref="N5">IFERROR(INDEX($F$2:$F$181,SMALL(_xlfn.IFS($G$2:$G$181&lt;$N$2,"",$G$2:$G$181&gt;$N$3,"",ISNUMBER($G$2:$G$181),ROW($A$1:$A$180)),ROW(A2))),"")</f>
        <v>25625000</v>
      </c>
      <c r="O5" s="8">
        <f t="array" ref="O5">IFERROR(INDEX($F$2:$F$181,SMALL(_xlfn.IFS($G$2:$G$181&lt;$O$2,"",$G$2:$G$181&gt;$O$3,"",ISNUMBER($G$2:$G$181),ROW($A$1:$A$180)),ROW(A2))),"")</f>
        <v>362500</v>
      </c>
      <c r="P5" s="8">
        <f t="array" ref="P5">IFERROR(INDEX($F$2:$F$181,SMALL(_xlfn.IFS($G$2:$G$181&lt;$P$2,"",$G$2:$G$181&gt;$P$3,"",ISNUMBER($G$2:$G$181),ROW($A$1:$A$180)),ROW(A2))),"")</f>
        <v>6250000</v>
      </c>
      <c r="Q5" s="8">
        <f t="array" ref="Q5">IFERROR(INDEX($F$2:$F$181,SMALL(_xlfn.IFS($G$2:$G$181&lt;$Q$2,"",$G$2:$G$181&gt;$Q$3,"",ISNUMBER($G$2:$G$181),ROW($A$1:$A$180)),ROW(A2))),"")</f>
        <v>3625000</v>
      </c>
      <c r="R5" s="8">
        <f t="array" ref="R5">IFERROR(INDEX($F$2:$F$181,SMALL(_xlfn.IFS($G$2:$G$181&lt;$R$2,"",$G$2:$G$181&gt;$R$3,"",ISNUMBER($G$2:$G$181),ROW($A$1:$A$180)),ROW(A2))),"")</f>
        <v>3312500</v>
      </c>
      <c r="S5" s="9">
        <f t="array" ref="S5">IFERROR(INDEX($F$2:$F$181,SMALL(_xlfn.IFS($G$2:$G$181&lt;$S$2,"",$G$2:$G$181&gt;$S$3,"",ISNUMBER($G$2:$G$181),ROW($A$1:$A$180)),ROW(A2))),"")</f>
        <v>198750</v>
      </c>
      <c r="T5" s="5">
        <f t="array" ref="T5">IFERROR(INDEX($F$2:$F$181,SMALL(_xlfn.IFS($G$2:$G$181&lt;$T$2,"",$G$2:$G$181&gt;$T$3,"",ISNUMBER($G$2:$G$181),ROW($A$1:$A$180)),ROW(A2))),"")</f>
        <v>13500000</v>
      </c>
      <c r="U5" s="5">
        <f t="array" ref="U5">IFERROR(INDEX($F$2:$F$181,SMALL(_xlfn.IFS($G$2:$G$181&lt;$U$2,"",$G$2:$G$181&gt;$U$3,"",ISNUMBER($G$2:$G$181),ROW($A$1:$A$180)),ROW(A2))),"")</f>
        <v>10812500</v>
      </c>
      <c r="V5" s="5" t="str" cm="1">
        <f t="array" ref="V5">IFERROR(INDEX($F$2:$F$181,SMALL(_xlfn.IFS($G$2:$G$181&lt;V$2,"",$G$2:$G$181&gt;V$3,"",ISNUMBER($G$2:$G$181),ROW($A$1:$A$180)),ROW(B2))),"")</f>
        <v/>
      </c>
      <c r="W5" s="5" t="str" cm="1">
        <f t="array" ref="W5">IFERROR(INDEX($F$2:$F$181,SMALL(_xlfn.IFS($G$2:$G$181&lt;W$2,"",$G$2:$G$181&gt;W$3,"",ISNUMBER($G$2:$G$181),ROW($A$1:$A$180)),ROW(C2))),"")</f>
        <v/>
      </c>
      <c r="X5" s="5" t="str" cm="1">
        <f t="array" ref="X5">IFERROR(INDEX($F$2:$F$181,SMALL(_xlfn.IFS($G$2:$G$181&lt;X$2,"",$G$2:$G$181&gt;X$3,"",ISNUMBER($G$2:$G$181),ROW($A$1:$A$180)),ROW(D2))),"")</f>
        <v/>
      </c>
      <c r="Y5" s="5" t="str" cm="1">
        <f t="array" ref="Y5">IFERROR(INDEX($F$2:$F$181,SMALL(_xlfn.IFS($G$2:$G$181&lt;Y$2,"",$G$2:$G$181&gt;Y$3,"",ISNUMBER($G$2:$G$181),ROW($A$1:$A$180)),ROW(E2))),"")</f>
        <v/>
      </c>
    </row>
    <row r="6" spans="1:25" x14ac:dyDescent="0.3">
      <c r="A6" s="78"/>
      <c r="B6" s="82"/>
      <c r="C6" s="10" t="s">
        <v>2</v>
      </c>
      <c r="D6" s="10"/>
      <c r="E6" s="10"/>
      <c r="F6" s="68" t="e">
        <f t="shared" ref="F6" si="1">(AVERAGEIF(D6:E6,"&gt;0",D6:E6))*10^4*100/8</f>
        <v>#DIV/0!</v>
      </c>
      <c r="G6" s="6"/>
      <c r="H6" s="5" t="s">
        <v>12</v>
      </c>
      <c r="J6" s="35"/>
      <c r="K6" s="37">
        <f t="array" ref="K6">IFERROR(INDEX($I$2:$I$81,SMALL(IF(ISNUMBER($I$2:$I$81),ROW($A$1:$A$80),""),ROW(A5))),"")</f>
        <v>3750000</v>
      </c>
      <c r="L6" s="37">
        <f t="array" ref="L6">IFERROR(INDEX($J$2:$J$81,SMALL(IF(ISNUMBER($J$2:$J$81),ROW($A$1:$A$80),""),ROW(A5))),"")</f>
        <v>1699034.6523835233</v>
      </c>
      <c r="M6" s="60"/>
      <c r="N6" s="8">
        <f t="array" ref="N6">IFERROR(INDEX($F$2:$F$181,SMALL(_xlfn.IFS($G$2:$G$181&lt;$N$2,"",$G$2:$G$181&gt;$N$3,"",ISNUMBER($G$2:$G$181),ROW($A$1:$A$180)),ROW(A3))),"")</f>
        <v>40000000</v>
      </c>
      <c r="O6" s="8">
        <f t="array" ref="O6">IFERROR(INDEX($F$2:$F$181,SMALL(_xlfn.IFS($G$2:$G$181&lt;$O$2,"",$G$2:$G$181&gt;$O$3,"",ISNUMBER($G$2:$G$181),ROW($A$1:$A$180)),ROW(A3))),"")</f>
        <v>181250</v>
      </c>
      <c r="P6" s="8">
        <f t="array" ref="P6">IFERROR(INDEX($F$2:$F$181,SMALL(_xlfn.IFS($G$2:$G$181&lt;$P$2,"",$G$2:$G$181&gt;$P$3,"",ISNUMBER($G$2:$G$181),ROW($A$1:$A$180)),ROW(A3))),"")</f>
        <v>10000000</v>
      </c>
      <c r="Q6" s="8">
        <f t="array" ref="Q6">IFERROR(INDEX($F$2:$F$181,SMALL(_xlfn.IFS($G$2:$G$181&lt;$Q$2,"",$G$2:$G$181&gt;$Q$3,"",ISNUMBER($G$2:$G$181),ROW($A$1:$A$180)),ROW(A3))),"")</f>
        <v>3000000</v>
      </c>
      <c r="R6" s="8">
        <f t="array" ref="R6">IFERROR(INDEX($F$2:$F$181,SMALL(_xlfn.IFS($G$2:$G$181&lt;$R$2,"",$G$2:$G$181&gt;$R$3,"",ISNUMBER($G$2:$G$181),ROW($A$1:$A$180)),ROW(A3))),"")</f>
        <v>2312500</v>
      </c>
      <c r="S6" s="9">
        <f t="array" ref="S6">IFERROR(INDEX($F$2:$F$181,SMALL(_xlfn.IFS($G$2:$G$181&lt;$S$2,"",$G$2:$G$181&gt;$S$3,"",ISNUMBER($G$2:$G$181),ROW($A$1:$A$180)),ROW(A3))),"")</f>
        <v>155000</v>
      </c>
      <c r="T6" s="5">
        <f t="array" ref="T6">IFERROR(INDEX($F$2:$F$181,SMALL(_xlfn.IFS($G$2:$G$181&lt;$T$2,"",$G$2:$G$181&gt;$T$3,"",ISNUMBER($G$2:$G$181),ROW($A$1:$A$180)),ROW(A3))),"")</f>
        <v>16250000</v>
      </c>
      <c r="U6" s="5">
        <f t="array" ref="U6">IFERROR(INDEX($F$2:$F$181,SMALL(_xlfn.IFS($G$2:$G$181&lt;$U$2,"",$G$2:$G$181&gt;$U$3,"",ISNUMBER($G$2:$G$181),ROW($A$1:$A$180)),ROW(A3))),"")</f>
        <v>12250000</v>
      </c>
      <c r="V6" s="5" t="str" cm="1">
        <f t="array" ref="V6">IFERROR(INDEX($F$2:$F$181,SMALL(_xlfn.IFS($G$2:$G$181&lt;V$2,"",$G$2:$G$181&gt;V$3,"",ISNUMBER($G$2:$G$181),ROW($A$1:$A$180)),ROW(B3))),"")</f>
        <v/>
      </c>
      <c r="W6" s="5" t="str" cm="1">
        <f t="array" ref="W6">IFERROR(INDEX($F$2:$F$181,SMALL(_xlfn.IFS($G$2:$G$181&lt;W$2,"",$G$2:$G$181&gt;W$3,"",ISNUMBER($G$2:$G$181),ROW($A$1:$A$180)),ROW(C3))),"")</f>
        <v/>
      </c>
      <c r="X6" s="5" t="str" cm="1">
        <f t="array" ref="X6">IFERROR(INDEX($F$2:$F$181,SMALL(_xlfn.IFS($G$2:$G$181&lt;X$2,"",$G$2:$G$181&gt;X$3,"",ISNUMBER($G$2:$G$181),ROW($A$1:$A$180)),ROW(D3))),"")</f>
        <v/>
      </c>
      <c r="Y6" s="5" t="str" cm="1">
        <f t="array" ref="Y6">IFERROR(INDEX($F$2:$F$181,SMALL(_xlfn.IFS($G$2:$G$181&lt;Y$2,"",$G$2:$G$181&gt;Y$3,"",ISNUMBER($G$2:$G$181),ROW($A$1:$A$180)),ROW(E3))),"")</f>
        <v/>
      </c>
    </row>
    <row r="7" spans="1:25" ht="14.55" thickBot="1" x14ac:dyDescent="0.35">
      <c r="A7" s="78"/>
      <c r="B7" s="83"/>
      <c r="C7" s="11" t="s">
        <v>3</v>
      </c>
      <c r="D7" s="11">
        <v>28</v>
      </c>
      <c r="E7" s="11">
        <v>13</v>
      </c>
      <c r="F7" s="69">
        <f t="shared" ref="F7" si="2">(AVERAGEIF(D7:E7,"&gt;0",D7:E7))*10^5*100/8</f>
        <v>25625000</v>
      </c>
      <c r="G7" s="6">
        <v>1</v>
      </c>
      <c r="H7" s="5">
        <f t="array" ref="H7">IFERROR(INDEX($F$2:$F$181,SMALL(IF($G$2:$G$181=2,ROW($A$1:$A$163),""),ROW(A1))),"")</f>
        <v>387500</v>
      </c>
      <c r="J7" s="35"/>
      <c r="K7" s="37">
        <f t="array" ref="K7">IFERROR(INDEX($I$2:$I$81,SMALL(IF(ISNUMBER($I$2:$I$81),ROW($A$1:$A$80),""),ROW(A6))),"")</f>
        <v>240833.33333333334</v>
      </c>
      <c r="L7" s="37">
        <f t="array" ref="L7">IFERROR(INDEX($J$2:$J$81,SMALL(IF(ISNUMBER($J$2:$J$81),ROW($A$1:$A$80),""),ROW(A6))),"")</f>
        <v>112918.20417157425</v>
      </c>
      <c r="M7" s="60"/>
      <c r="N7" s="8" t="str">
        <f t="array" ref="N7">IFERROR(INDEX($F$2:$F$181,SMALL(_xlfn.IFS($G$2:$G$181&lt;$N$2,"",$G$2:$G$181&gt;$N$3,"",ISNUMBER($G$2:$G$181),ROW($A$1:$A$180)),ROW(A4))),"")</f>
        <v/>
      </c>
      <c r="O7" s="8" t="str">
        <f t="array" ref="O7">IFERROR(INDEX($F$2:$F$181,SMALL(_xlfn.IFS($G$2:$G$181&lt;$O$2,"",$G$2:$G$181&gt;$O$3,"",ISNUMBER($G$2:$G$181),ROW($A$1:$A$180)),ROW(A4))),"")</f>
        <v/>
      </c>
      <c r="P7" s="8" t="str">
        <f t="array" ref="P7">IFERROR(INDEX($F$2:$F$181,SMALL(_xlfn.IFS($G$2:$G$181&lt;$P$2,"",$G$2:$G$181&gt;$P$3,"",ISNUMBER($G$2:$G$181),ROW($A$1:$A$180)),ROW(A4))),"")</f>
        <v/>
      </c>
      <c r="Q7" s="8" t="str">
        <f t="array" ref="Q7">IFERROR(INDEX($F$2:$F$181,SMALL(_xlfn.IFS($G$2:$G$181&lt;$Q$2,"",$G$2:$G$181&gt;$Q$3,"",ISNUMBER($G$2:$G$181),ROW($A$1:$A$180)),ROW(A4))),"")</f>
        <v/>
      </c>
      <c r="R7" s="8" t="str">
        <f t="array" ref="R7">IFERROR(INDEX($F$2:$F$181,SMALL(_xlfn.IFS($G$2:$G$181&lt;$R$2,"",$G$2:$G$181&gt;$R$3,"",ISNUMBER($G$2:$G$181),ROW($A$1:$A$180)),ROW(A4))),"")</f>
        <v/>
      </c>
      <c r="S7" s="9" t="str">
        <f t="array" ref="S7">IFERROR(INDEX($F$2:$F$181,SMALL(_xlfn.IFS($G$2:$G$181&lt;$S$2,"",$G$2:$G$181&gt;$S$3,"",ISNUMBER($G$2:$G$181),ROW($A$1:$A$180)),ROW(A4))),"")</f>
        <v/>
      </c>
      <c r="T7" s="5" t="str">
        <f t="array" ref="T7">IFERROR(INDEX($F$2:$F$181,SMALL(_xlfn.IFS($G$2:$G$181&lt;$T$2,"",$G$2:$G$181&gt;$T$3,"",ISNUMBER($G$2:$G$181),ROW($A$1:$A$180)),ROW(A4))),"")</f>
        <v/>
      </c>
      <c r="U7" s="5" t="str">
        <f t="array" ref="U7">IFERROR(INDEX($F$2:$F$181,SMALL(_xlfn.IFS($G$2:$G$181&lt;$U$2,"",$G$2:$G$181&gt;$U$3,"",ISNUMBER($G$2:$G$181),ROW($A$1:$A$180)),ROW(A4))),"")</f>
        <v/>
      </c>
      <c r="V7" s="5" t="str" cm="1">
        <f t="array" ref="V7">IFERROR(INDEX($F$2:$F$181,SMALL(_xlfn.IFS($G$2:$G$181&lt;V$2,"",$G$2:$G$181&gt;V$3,"",ISNUMBER($G$2:$G$181),ROW($A$1:$A$180)),ROW(B4))),"")</f>
        <v/>
      </c>
      <c r="W7" s="5" t="str" cm="1">
        <f t="array" ref="W7">IFERROR(INDEX($F$2:$F$181,SMALL(_xlfn.IFS($G$2:$G$181&lt;W$2,"",$G$2:$G$181&gt;W$3,"",ISNUMBER($G$2:$G$181),ROW($A$1:$A$180)),ROW(C4))),"")</f>
        <v/>
      </c>
      <c r="X7" s="5" t="str" cm="1">
        <f t="array" ref="X7">IFERROR(INDEX($F$2:$F$181,SMALL(_xlfn.IFS($G$2:$G$181&lt;X$2,"",$G$2:$G$181&gt;X$3,"",ISNUMBER($G$2:$G$181),ROW($A$1:$A$180)),ROW(D4))),"")</f>
        <v/>
      </c>
      <c r="Y7" s="5" t="str" cm="1">
        <f t="array" ref="Y7">IFERROR(INDEX($F$2:$F$181,SMALL(_xlfn.IFS($G$2:$G$181&lt;Y$2,"",$G$2:$G$181&gt;Y$3,"",ISNUMBER($G$2:$G$181),ROW($A$1:$A$180)),ROW(E4))),"")</f>
        <v/>
      </c>
    </row>
    <row r="8" spans="1:25" ht="14.55" thickTop="1" x14ac:dyDescent="0.3">
      <c r="A8" s="78"/>
      <c r="B8" s="84">
        <v>3</v>
      </c>
      <c r="C8" s="7" t="s">
        <v>4</v>
      </c>
      <c r="D8" s="54"/>
      <c r="E8" s="54"/>
      <c r="F8" s="67" t="e">
        <f t="shared" ref="F8" si="3">(AVERAGEIF(D8:E8,"&gt;0",D8:E8))*10^3*100/8</f>
        <v>#DIV/0!</v>
      </c>
      <c r="G8" s="6"/>
      <c r="H8" s="5">
        <f t="array" ref="H8">IFERROR(INDEX($F$2:$F$181,SMALL(IF($G$2:$G$181=2,ROW($A$1:$A$163),""),ROW(A2))),"")</f>
        <v>362500</v>
      </c>
      <c r="J8" s="35"/>
      <c r="K8" s="37">
        <f t="array" ref="K8">IFERROR(INDEX($I$2:$I$81,SMALL(IF(ISNUMBER($I$2:$I$81),ROW($A$1:$A$80),""),ROW(A7))),"")</f>
        <v>13437500</v>
      </c>
      <c r="L8" s="37">
        <f t="array" ref="L8">IFERROR(INDEX($J$2:$J$81,SMALL(IF(ISNUMBER($J$2:$J$81),ROW($A$1:$A$80),""),ROW(A7))),"")</f>
        <v>2844265.0632456886</v>
      </c>
      <c r="M8" s="60"/>
      <c r="N8" s="8" t="str">
        <f t="array" ref="N8">IFERROR(INDEX($F$2:$F$181,SMALL(_xlfn.IFS($G$2:$G$181&lt;$N$2,"",$G$2:$G$181&gt;$N$3,"",ISNUMBER($G$2:$G$181),ROW($A$1:$A$180)),ROW(A5))),"")</f>
        <v/>
      </c>
      <c r="O8" s="8" t="str">
        <f t="array" ref="O8">IFERROR(INDEX($F$2:$F$181,SMALL(_xlfn.IFS($G$2:$G$181&lt;$O$2,"",$G$2:$G$181&gt;$O$3,"",ISNUMBER($G$2:$G$181),ROW($A$1:$A$180)),ROW(A5))),"")</f>
        <v/>
      </c>
      <c r="P8" s="8" t="str">
        <f t="array" ref="P8">IFERROR(INDEX($F$2:$F$181,SMALL(_xlfn.IFS($G$2:$G$181&lt;$P$2,"",$G$2:$G$181&gt;$P$3,"",ISNUMBER($G$2:$G$181),ROW($A$1:$A$180)),ROW(A5))),"")</f>
        <v/>
      </c>
      <c r="Q8" s="8" t="str">
        <f t="array" ref="Q8">IFERROR(INDEX($F$2:$F$181,SMALL(_xlfn.IFS($G$2:$G$181&lt;$Q$2,"",$G$2:$G$181&gt;$Q$3,"",ISNUMBER($G$2:$G$181),ROW($A$1:$A$180)),ROW(A5))),"")</f>
        <v/>
      </c>
      <c r="R8" s="8" t="str">
        <f t="array" ref="R8">IFERROR(INDEX($F$2:$F$181,SMALL(_xlfn.IFS($G$2:$G$181&lt;$R$2,"",$G$2:$G$181&gt;$R$3,"",ISNUMBER($G$2:$G$181),ROW($A$1:$A$180)),ROW(A5))),"")</f>
        <v/>
      </c>
      <c r="S8" s="9" t="str">
        <f t="array" ref="S8">IFERROR(INDEX($F$2:$F$181,SMALL(_xlfn.IFS($G$2:$G$181&lt;$S$2,"",$G$2:$G$181&gt;$S$3,"",ISNUMBER($G$2:$G$181),ROW($A$1:$A$180)),ROW(A5))),"")</f>
        <v/>
      </c>
      <c r="T8" s="5" t="str">
        <f t="array" ref="T8">IFERROR(INDEX($F$2:$F$181,SMALL(_xlfn.IFS($G$2:$G$181&lt;$T$2,"",$G$2:$G$181&gt;$T$3,"",ISNUMBER($G$2:$G$181),ROW($A$1:$A$180)),ROW(A5))),"")</f>
        <v/>
      </c>
      <c r="U8" s="5" t="str">
        <f t="array" ref="U8">IFERROR(INDEX($F$2:$F$181,SMALL(_xlfn.IFS($G$2:$G$181&lt;$U$2,"",$G$2:$G$181&gt;$U$3,"",ISNUMBER($G$2:$G$181),ROW($A$1:$A$180)),ROW(A5))),"")</f>
        <v/>
      </c>
      <c r="V8" s="5" t="str" cm="1">
        <f t="array" ref="V8">IFERROR(INDEX($F$2:$F$181,SMALL(_xlfn.IFS($G$2:$G$181&lt;V$2,"",$G$2:$G$181&gt;V$3,"",ISNUMBER($G$2:$G$181),ROW($A$1:$A$180)),ROW(B5))),"")</f>
        <v/>
      </c>
      <c r="W8" s="5" t="str" cm="1">
        <f t="array" ref="W8">IFERROR(INDEX($F$2:$F$181,SMALL(_xlfn.IFS($G$2:$G$181&lt;W$2,"",$G$2:$G$181&gt;W$3,"",ISNUMBER($G$2:$G$181),ROW($A$1:$A$180)),ROW(C5))),"")</f>
        <v/>
      </c>
      <c r="X8" s="5" t="str" cm="1">
        <f t="array" ref="X8">IFERROR(INDEX($F$2:$F$181,SMALL(_xlfn.IFS($G$2:$G$181&lt;X$2,"",$G$2:$G$181&gt;X$3,"",ISNUMBER($G$2:$G$181),ROW($A$1:$A$180)),ROW(D5))),"")</f>
        <v/>
      </c>
      <c r="Y8" s="5" t="str" cm="1">
        <f t="array" ref="Y8">IFERROR(INDEX($F$2:$F$181,SMALL(_xlfn.IFS($G$2:$G$181&lt;Y$2,"",$G$2:$G$181&gt;Y$3,"",ISNUMBER($G$2:$G$181),ROW($A$1:$A$180)),ROW(E5))),"")</f>
        <v/>
      </c>
    </row>
    <row r="9" spans="1:25" x14ac:dyDescent="0.3">
      <c r="A9" s="78"/>
      <c r="B9" s="82"/>
      <c r="C9" s="10" t="s">
        <v>2</v>
      </c>
      <c r="D9" s="10"/>
      <c r="E9" s="10"/>
      <c r="F9" s="68" t="e">
        <f t="shared" ref="F9" si="4">(AVERAGEIF(D9:E9,"&gt;0",D9:E9))*10^4*100/8</f>
        <v>#DIV/0!</v>
      </c>
      <c r="G9" s="6"/>
      <c r="H9" s="5">
        <f t="array" ref="H9">IFERROR(INDEX($F$2:$F$181,SMALL(IF($G$2:$G$181=2,ROW($A$1:$A$163),""),ROW(A3))),"")</f>
        <v>181250</v>
      </c>
      <c r="I9" s="5">
        <f>AVERAGE(H7:H9)</f>
        <v>310416.66666666669</v>
      </c>
      <c r="J9" s="35">
        <f>STDEV(H7:H9)</f>
        <v>112557.85549366754</v>
      </c>
      <c r="K9" s="37">
        <f t="array" ref="K9">IFERROR(INDEX($I$2:$I$81,SMALL(IF(ISNUMBER($I$2:$I$81),ROW($A$1:$A$80),""),ROW(A8))),"")</f>
        <v>11062500</v>
      </c>
      <c r="L9" s="37">
        <f t="array" ref="L9">IFERROR(INDEX($J$2:$J$81,SMALL(IF(ISNUMBER($J$2:$J$81),ROW($A$1:$A$80),""),ROW(A8))),"")</f>
        <v>1084334.473306092</v>
      </c>
      <c r="M9" s="60"/>
      <c r="N9" s="8" t="str">
        <f t="array" ref="N9">IFERROR(INDEX($F$2:$F$181,SMALL(_xlfn.IFS($G$2:$G$181&lt;$N$2,"",$G$2:$G$181&gt;$N$3,"",ISNUMBER($G$2:$G$181),ROW($A$1:$A$180)),ROW(A6))),"")</f>
        <v/>
      </c>
      <c r="O9" s="8" t="str">
        <f t="array" ref="O9">IFERROR(INDEX($F$2:$F$181,SMALL(_xlfn.IFS($G$2:$G$181&lt;$O$2,"",$G$2:$G$181&gt;$O$3,"",ISNUMBER($G$2:$G$181),ROW($A$1:$A$180)),ROW(A6))),"")</f>
        <v/>
      </c>
      <c r="P9" s="8" t="str">
        <f t="array" ref="P9">IFERROR(INDEX($F$2:$F$181,SMALL(_xlfn.IFS($G$2:$G$181&lt;$P$2,"",$G$2:$G$181&gt;$P$3,"",ISNUMBER($G$2:$G$181),ROW($A$1:$A$180)),ROW(A6))),"")</f>
        <v/>
      </c>
      <c r="Q9" s="8" t="str">
        <f t="array" ref="Q9">IFERROR(INDEX($F$2:$F$181,SMALL(_xlfn.IFS($G$2:$G$181&lt;$Q$2,"",$G$2:$G$181&gt;$Q$3,"",ISNUMBER($G$2:$G$181),ROW($A$1:$A$180)),ROW(A6))),"")</f>
        <v/>
      </c>
      <c r="R9" s="8" t="str">
        <f t="array" ref="R9">IFERROR(INDEX($F$2:$F$181,SMALL(_xlfn.IFS($G$2:$G$181&lt;$R$2,"",$G$2:$G$181&gt;$R$3,"",ISNUMBER($G$2:$G$181),ROW($A$1:$A$180)),ROW(A6))),"")</f>
        <v/>
      </c>
      <c r="S9" s="9" t="str">
        <f t="array" ref="S9">IFERROR(INDEX($F$2:$F$181,SMALL(_xlfn.IFS($G$2:$G$181&lt;$S$2,"",$G$2:$G$181&gt;$S$3,"",ISNUMBER($G$2:$G$181),ROW($A$1:$A$180)),ROW(A6))),"")</f>
        <v/>
      </c>
      <c r="T9" s="5" t="str">
        <f t="array" ref="T9">IFERROR(INDEX($F$2:$F$181,SMALL(_xlfn.IFS($G$2:$G$181&lt;$T$2,"",$G$2:$G$181&gt;$T$3,"",ISNUMBER($G$2:$G$181),ROW($A$1:$A$180)),ROW(A6))),"")</f>
        <v/>
      </c>
      <c r="U9" s="5" t="str">
        <f t="array" ref="U9">IFERROR(INDEX($F$2:$F$181,SMALL(_xlfn.IFS($G$2:$G$181&lt;$U$2,"",$G$2:$G$181&gt;$U$3,"",ISNUMBER($G$2:$G$181),ROW($A$1:$A$180)),ROW(A6))),"")</f>
        <v/>
      </c>
      <c r="V9" s="5" t="str" cm="1">
        <f t="array" ref="V9">IFERROR(INDEX($F$2:$F$181,SMALL(_xlfn.IFS($G$2:$G$181&lt;V$2,"",$G$2:$G$181&gt;V$3,"",ISNUMBER($G$2:$G$181),ROW($A$1:$A$180)),ROW(B6))),"")</f>
        <v/>
      </c>
      <c r="W9" s="5" t="str" cm="1">
        <f t="array" ref="W9">IFERROR(INDEX($F$2:$F$181,SMALL(_xlfn.IFS($G$2:$G$181&lt;W$2,"",$G$2:$G$181&gt;W$3,"",ISNUMBER($G$2:$G$181),ROW($A$1:$A$180)),ROW(C6))),"")</f>
        <v/>
      </c>
      <c r="X9" s="5" t="str" cm="1">
        <f t="array" ref="X9">IFERROR(INDEX($F$2:$F$181,SMALL(_xlfn.IFS($G$2:$G$181&lt;X$2,"",$G$2:$G$181&gt;X$3,"",ISNUMBER($G$2:$G$181),ROW($A$1:$A$180)),ROW(D6))),"")</f>
        <v/>
      </c>
      <c r="Y9" s="5" t="str" cm="1">
        <f t="array" ref="Y9">IFERROR(INDEX($F$2:$F$181,SMALL(_xlfn.IFS($G$2:$G$181&lt;Y$2,"",$G$2:$G$181&gt;Y$3,"",ISNUMBER($G$2:$G$181),ROW($A$1:$A$180)),ROW(E6))),"")</f>
        <v/>
      </c>
    </row>
    <row r="10" spans="1:25" ht="14.55" thickBot="1" x14ac:dyDescent="0.35">
      <c r="A10" s="79"/>
      <c r="B10" s="85"/>
      <c r="C10" s="31" t="s">
        <v>3</v>
      </c>
      <c r="D10" s="31">
        <v>30</v>
      </c>
      <c r="E10" s="31">
        <v>34</v>
      </c>
      <c r="F10" s="69">
        <f t="shared" ref="F10" si="5">(AVERAGEIF(D10:E10,"&gt;0",D10:E10))*10^5*100/8</f>
        <v>40000000</v>
      </c>
      <c r="G10" s="6">
        <v>1</v>
      </c>
      <c r="H10" s="5" t="s">
        <v>13</v>
      </c>
      <c r="J10" s="35"/>
      <c r="K10" s="37" t="str">
        <f t="array" ref="K10">IFERROR(INDEX($I$2:$I$81,SMALL(IF(ISNUMBER($I$2:$I$81),ROW($A$1:$A$80),""),ROW(A9))),"")</f>
        <v/>
      </c>
      <c r="L10" s="37" t="str">
        <f t="array" ref="L10">IFERROR(INDEX($J$2:$J$81,SMALL(IF(ISNUMBER($J$2:$J$81),ROW($A$1:$A$80),""),ROW(A9))),"")</f>
        <v/>
      </c>
      <c r="M10" s="60"/>
      <c r="N10" s="8" t="str">
        <f t="array" ref="N10">IFERROR(INDEX($F$2:$F$181,SMALL(_xlfn.IFS($G$2:$G$181&lt;$N$2,"",$G$2:$G$181&gt;$N$3,"",ISNUMBER($G$2:$G$181),ROW($A$1:$A$180)),ROW(A7))),"")</f>
        <v/>
      </c>
      <c r="O10" s="8" t="str">
        <f t="array" ref="O10">IFERROR(INDEX($F$2:$F$181,SMALL(_xlfn.IFS($G$2:$G$181&lt;$O$2,"",$G$2:$G$181&gt;$O$3,"",ISNUMBER($G$2:$G$181),ROW($A$1:$A$180)),ROW(A7))),"")</f>
        <v/>
      </c>
      <c r="P10" s="8" t="str">
        <f t="array" ref="P10">IFERROR(INDEX($F$2:$F$181,SMALL(_xlfn.IFS($G$2:$G$181&lt;$P$2,"",$G$2:$G$181&gt;$P$3,"",ISNUMBER($G$2:$G$181),ROW($A$1:$A$180)),ROW(A7))),"")</f>
        <v/>
      </c>
      <c r="Q10" s="8" t="str">
        <f t="array" ref="Q10">IFERROR(INDEX($F$2:$F$181,SMALL(_xlfn.IFS($G$2:$G$181&lt;$Q$2,"",$G$2:$G$181&gt;$Q$3,"",ISNUMBER($G$2:$G$181),ROW($A$1:$A$180)),ROW(A7))),"")</f>
        <v/>
      </c>
      <c r="R10" s="8" t="str">
        <f t="array" ref="R10">IFERROR(INDEX($F$2:$F$181,SMALL(_xlfn.IFS($G$2:$G$181&lt;$R$2,"",$G$2:$G$181&gt;$R$3,"",ISNUMBER($G$2:$G$181),ROW($A$1:$A$180)),ROW(A7))),"")</f>
        <v/>
      </c>
      <c r="S10" s="9" t="str">
        <f t="array" ref="S10">IFERROR(INDEX($F$2:$F$181,SMALL(_xlfn.IFS($G$2:$G$181&lt;$S$2,"",$G$2:$G$181&gt;$S$3,"",ISNUMBER($G$2:$G$181),ROW($A$1:$A$180)),ROW(A7))),"")</f>
        <v/>
      </c>
      <c r="T10" s="5" t="str">
        <f t="array" ref="T10">IFERROR(INDEX($F$2:$F$181,SMALL(_xlfn.IFS($G$2:$G$181&lt;$T$2,"",$G$2:$G$181&gt;$T$3,"",ISNUMBER($G$2:$G$181),ROW($A$1:$A$180)),ROW(A7))),"")</f>
        <v/>
      </c>
      <c r="U10" s="5" t="str">
        <f t="array" ref="U10">IFERROR(INDEX($F$2:$F$181,SMALL(_xlfn.IFS($G$2:$G$181&lt;$U$2,"",$G$2:$G$181&gt;$U$3,"",ISNUMBER($G$2:$G$181),ROW($A$1:$A$180)),ROW(A7))),"")</f>
        <v/>
      </c>
      <c r="V10" s="5" t="str" cm="1">
        <f t="array" ref="V10">IFERROR(INDEX($F$2:$F$181,SMALL(_xlfn.IFS($G$2:$G$181&lt;V$2,"",$G$2:$G$181&gt;V$3,"",ISNUMBER($G$2:$G$181),ROW($A$1:$A$180)),ROW(B7))),"")</f>
        <v/>
      </c>
      <c r="W10" s="5" t="str" cm="1">
        <f t="array" ref="W10">IFERROR(INDEX($F$2:$F$181,SMALL(_xlfn.IFS($G$2:$G$181&lt;W$2,"",$G$2:$G$181&gt;W$3,"",ISNUMBER($G$2:$G$181),ROW($A$1:$A$180)),ROW(C7))),"")</f>
        <v/>
      </c>
      <c r="X10" s="5" t="str" cm="1">
        <f t="array" ref="X10">IFERROR(INDEX($F$2:$F$181,SMALL(_xlfn.IFS($G$2:$G$181&lt;X$2,"",$G$2:$G$181&gt;X$3,"",ISNUMBER($G$2:$G$181),ROW($A$1:$A$180)),ROW(D7))),"")</f>
        <v/>
      </c>
      <c r="Y10" s="5" t="str" cm="1">
        <f t="array" ref="Y10">IFERROR(INDEX($F$2:$F$181,SMALL(_xlfn.IFS($G$2:$G$181&lt;Y$2,"",$G$2:$G$181&gt;Y$3,"",ISNUMBER($G$2:$G$181),ROW($A$1:$A$180)),ROW(E7))),"")</f>
        <v/>
      </c>
    </row>
    <row r="11" spans="1:25" ht="16.55" customHeight="1" thickTop="1" x14ac:dyDescent="0.3">
      <c r="A11" s="77" t="s">
        <v>59</v>
      </c>
      <c r="B11" s="81">
        <v>1</v>
      </c>
      <c r="C11" s="26" t="s">
        <v>4</v>
      </c>
      <c r="D11" s="26"/>
      <c r="E11" s="26"/>
      <c r="F11" s="67" t="e">
        <f t="shared" ref="F11" si="6">(AVERAGEIF(D11:E11,"&gt;0",D11:E11))*10^3*100/8</f>
        <v>#DIV/0!</v>
      </c>
      <c r="G11" s="6"/>
      <c r="H11" s="5">
        <f t="array" ref="H11">IFERROR(INDEX($F$2:$F$181,SMALL(IF($G$2:$G$181=3,ROW($A$1:$A$163),""),ROW(A1))),"")</f>
        <v>8250000</v>
      </c>
      <c r="J11" s="35"/>
      <c r="K11" s="37" t="str">
        <f t="array" ref="K11">IFERROR(INDEX($I$2:$I$81,SMALL(IF(ISNUMBER($I$2:$I$81),ROW($A$1:$A$80),""),ROW(A10))),"")</f>
        <v/>
      </c>
      <c r="L11" s="37" t="str">
        <f t="array" ref="L11">IFERROR(INDEX($J$2:$J$81,SMALL(IF(ISNUMBER($J$2:$J$81),ROW($A$1:$A$80),""),ROW(A10))),"")</f>
        <v/>
      </c>
      <c r="M11" s="60"/>
      <c r="N11" s="8" t="str">
        <f t="array" ref="N11">IFERROR(INDEX($F$2:$F$181,SMALL(_xlfn.IFS($G$2:$G$181&lt;$N$2,"",$G$2:$G$181&gt;$N$3,"",ISNUMBER($G$2:$G$181),ROW($A$1:$A$180)),ROW(A8))),"")</f>
        <v/>
      </c>
      <c r="O11" s="8" t="str">
        <f t="array" ref="O11">IFERROR(INDEX($F$2:$F$181,SMALL(_xlfn.IFS($G$2:$G$181&lt;$O$2,"",$G$2:$G$181&gt;$O$3,"",ISNUMBER($G$2:$G$181),ROW($A$1:$A$180)),ROW(A8))),"")</f>
        <v/>
      </c>
      <c r="P11" s="8" t="str">
        <f t="array" ref="P11">IFERROR(INDEX($F$2:$F$181,SMALL(_xlfn.IFS($G$2:$G$181&lt;$P$2,"",$G$2:$G$181&gt;$P$3,"",ISNUMBER($G$2:$G$181),ROW($A$1:$A$180)),ROW(A8))),"")</f>
        <v/>
      </c>
      <c r="Q11" s="8" t="str">
        <f t="array" ref="Q11">IFERROR(INDEX($F$2:$F$181,SMALL(_xlfn.IFS($G$2:$G$181&lt;$Q$2,"",$G$2:$G$181&gt;$Q$3,"",ISNUMBER($G$2:$G$181),ROW($A$1:$A$180)),ROW(A8))),"")</f>
        <v/>
      </c>
      <c r="R11" s="8" t="str">
        <f t="array" ref="R11">IFERROR(INDEX($F$2:$F$181,SMALL(_xlfn.IFS($G$2:$G$181&lt;$R$2,"",$G$2:$G$181&gt;$R$3,"",ISNUMBER($G$2:$G$181),ROW($A$1:$A$180)),ROW(A8))),"")</f>
        <v/>
      </c>
      <c r="S11" s="9" t="str">
        <f t="array" ref="S11">IFERROR(INDEX($F$2:$F$181,SMALL(_xlfn.IFS($G$2:$G$181&lt;$S$2,"",$G$2:$G$181&gt;$S$3,"",ISNUMBER($G$2:$G$181),ROW($A$1:$A$180)),ROW(A8))),"")</f>
        <v/>
      </c>
      <c r="T11" s="5" t="str">
        <f t="array" ref="T11">IFERROR(INDEX($F$2:$F$181,SMALL(_xlfn.IFS($G$2:$G$181&lt;$T$2,"",$G$2:$G$181&gt;$T$3,"",ISNUMBER($G$2:$G$181),ROW($A$1:$A$180)),ROW(A8))),"")</f>
        <v/>
      </c>
      <c r="U11" s="5" t="str">
        <f t="array" ref="U11">IFERROR(INDEX($F$2:$F$181,SMALL(_xlfn.IFS($G$2:$G$181&lt;$U$2,"",$G$2:$G$181&gt;$U$3,"",ISNUMBER($G$2:$G$181),ROW($A$1:$A$180)),ROW(A8))),"")</f>
        <v/>
      </c>
      <c r="V11" s="5" t="str" cm="1">
        <f t="array" ref="V11">IFERROR(INDEX($F$2:$F$181,SMALL(_xlfn.IFS($G$2:$G$181&lt;V$2,"",$G$2:$G$181&gt;V$3,"",ISNUMBER($G$2:$G$181),ROW($A$1:$A$180)),ROW(B8))),"")</f>
        <v/>
      </c>
      <c r="W11" s="5" t="str" cm="1">
        <f t="array" ref="W11">IFERROR(INDEX($F$2:$F$181,SMALL(_xlfn.IFS($G$2:$G$181&lt;W$2,"",$G$2:$G$181&gt;W$3,"",ISNUMBER($G$2:$G$181),ROW($A$1:$A$180)),ROW(C8))),"")</f>
        <v/>
      </c>
      <c r="X11" s="5" t="str" cm="1">
        <f t="array" ref="X11">IFERROR(INDEX($F$2:$F$181,SMALL(_xlfn.IFS($G$2:$G$181&lt;X$2,"",$G$2:$G$181&gt;X$3,"",ISNUMBER($G$2:$G$181),ROW($A$1:$A$180)),ROW(D8))),"")</f>
        <v/>
      </c>
      <c r="Y11" s="5" t="str" cm="1">
        <f t="array" ref="Y11">IFERROR(INDEX($F$2:$F$181,SMALL(_xlfn.IFS($G$2:$G$181&lt;Y$2,"",$G$2:$G$181&gt;Y$3,"",ISNUMBER($G$2:$G$181),ROW($A$1:$A$180)),ROW(E8))),"")</f>
        <v/>
      </c>
    </row>
    <row r="12" spans="1:25" x14ac:dyDescent="0.3">
      <c r="A12" s="78"/>
      <c r="B12" s="82"/>
      <c r="C12" s="10" t="s">
        <v>2</v>
      </c>
      <c r="D12" s="10">
        <v>72</v>
      </c>
      <c r="E12" s="10">
        <v>60</v>
      </c>
      <c r="F12" s="68">
        <f t="shared" ref="F12" si="7">(AVERAGEIF(D12:E12,"&gt;0",D12:E12))*10^4*100/8</f>
        <v>8250000</v>
      </c>
      <c r="G12" s="6">
        <v>3</v>
      </c>
      <c r="H12" s="5">
        <f t="array" ref="H12">IFERROR(INDEX($F$2:$F$181,SMALL(IF($G$2:$G$181=3,ROW($A$1:$A$163),""),ROW(A2))),"")</f>
        <v>6250000</v>
      </c>
      <c r="J12" s="35"/>
      <c r="K12" s="37" t="str">
        <f t="array" ref="K12">IFERROR(INDEX($I$2:$I$81,SMALL(IF(ISNUMBER($I$2:$I$81),ROW($A$1:$A$80),""),ROW(A11))),"")</f>
        <v/>
      </c>
      <c r="L12" s="37" t="str">
        <f t="array" ref="L12">IFERROR(INDEX($J$2:$J$81,SMALL(IF(ISNUMBER($J$2:$J$81),ROW($A$1:$A$80),""),ROW(A11))),"")</f>
        <v/>
      </c>
      <c r="M12" s="60"/>
      <c r="N12" s="8" t="str">
        <f t="array" ref="N12">IFERROR(INDEX($F$2:$F$181,SMALL(_xlfn.IFS($G$2:$G$181&lt;$N$2,"",$G$2:$G$181&gt;$N$3,"",ISNUMBER($G$2:$G$181),ROW($A$1:$A$180)),ROW(A9))),"")</f>
        <v/>
      </c>
      <c r="O12" s="8" t="str">
        <f t="array" ref="O12">IFERROR(INDEX($F$2:$F$181,SMALL(_xlfn.IFS($G$2:$G$181&lt;$O$2,"",$G$2:$G$181&gt;$O$3,"",ISNUMBER($G$2:$G$181),ROW($A$1:$A$180)),ROW(A9))),"")</f>
        <v/>
      </c>
      <c r="P12" s="8" t="str">
        <f t="array" ref="P12">IFERROR(INDEX($F$2:$F$181,SMALL(_xlfn.IFS($G$2:$G$181&lt;$P$2,"",$G$2:$G$181&gt;$P$3,"",ISNUMBER($G$2:$G$181),ROW($A$1:$A$180)),ROW(A9))),"")</f>
        <v/>
      </c>
      <c r="Q12" s="8" t="str">
        <f t="array" ref="Q12">IFERROR(INDEX($F$2:$F$181,SMALL(_xlfn.IFS($G$2:$G$181&lt;$Q$2,"",$G$2:$G$181&gt;$Q$3,"",ISNUMBER($G$2:$G$181),ROW($A$1:$A$180)),ROW(A9))),"")</f>
        <v/>
      </c>
      <c r="R12" s="8" t="str">
        <f t="array" ref="R12">IFERROR(INDEX($F$2:$F$181,SMALL(_xlfn.IFS($G$2:$G$181&lt;$R$2,"",$G$2:$G$181&gt;$R$3,"",ISNUMBER($G$2:$G$181),ROW($A$1:$A$180)),ROW(A9))),"")</f>
        <v/>
      </c>
      <c r="S12" s="9" t="str">
        <f t="array" ref="S12">IFERROR(INDEX($F$2:$F$181,SMALL(_xlfn.IFS($G$2:$G$181&lt;$S$2,"",$G$2:$G$181&gt;$S$3,"",ISNUMBER($G$2:$G$181),ROW($A$1:$A$180)),ROW(A9))),"")</f>
        <v/>
      </c>
      <c r="T12" s="5" t="str">
        <f t="array" ref="T12">IFERROR(INDEX($F$2:$F$181,SMALL(_xlfn.IFS($G$2:$G$181&lt;$T$2,"",$G$2:$G$181&gt;$T$3,"",ISNUMBER($G$2:$G$181),ROW($A$1:$A$180)),ROW(A9))),"")</f>
        <v/>
      </c>
      <c r="U12" s="5" t="str">
        <f t="array" ref="U12">IFERROR(INDEX($F$2:$F$181,SMALL(_xlfn.IFS($G$2:$G$181&lt;$U$2,"",$G$2:$G$181&gt;$U$3,"",ISNUMBER($G$2:$G$181),ROW($A$1:$A$180)),ROW(A9))),"")</f>
        <v/>
      </c>
      <c r="V12" s="5" t="str" cm="1">
        <f t="array" ref="V12">IFERROR(INDEX($F$2:$F$181,SMALL(_xlfn.IFS($G$2:$G$181&lt;V$2,"",$G$2:$G$181&gt;V$3,"",ISNUMBER($G$2:$G$181),ROW($A$1:$A$180)),ROW(B9))),"")</f>
        <v/>
      </c>
      <c r="W12" s="5" t="str" cm="1">
        <f t="array" ref="W12">IFERROR(INDEX($F$2:$F$181,SMALL(_xlfn.IFS($G$2:$G$181&lt;W$2,"",$G$2:$G$181&gt;W$3,"",ISNUMBER($G$2:$G$181),ROW($A$1:$A$180)),ROW(C9))),"")</f>
        <v/>
      </c>
      <c r="X12" s="5" t="str" cm="1">
        <f t="array" ref="X12">IFERROR(INDEX($F$2:$F$181,SMALL(_xlfn.IFS($G$2:$G$181&lt;X$2,"",$G$2:$G$181&gt;X$3,"",ISNUMBER($G$2:$G$181),ROW($A$1:$A$180)),ROW(D9))),"")</f>
        <v/>
      </c>
      <c r="Y12" s="5" t="str" cm="1">
        <f t="array" ref="Y12">IFERROR(INDEX($F$2:$F$181,SMALL(_xlfn.IFS($G$2:$G$181&lt;Y$2,"",$G$2:$G$181&gt;Y$3,"",ISNUMBER($G$2:$G$181),ROW($A$1:$A$180)),ROW(E9))),"")</f>
        <v/>
      </c>
    </row>
    <row r="13" spans="1:25" ht="14.55" thickBot="1" x14ac:dyDescent="0.35">
      <c r="A13" s="78"/>
      <c r="B13" s="83"/>
      <c r="C13" s="11" t="s">
        <v>3</v>
      </c>
      <c r="D13" s="11">
        <v>7</v>
      </c>
      <c r="E13" s="11">
        <v>4</v>
      </c>
      <c r="F13" s="69">
        <f t="shared" ref="F13" si="8">(AVERAGEIF(D13:E13,"&gt;0",D13:E13))*10^5*100/8</f>
        <v>6875000</v>
      </c>
      <c r="G13" s="6"/>
      <c r="H13" s="5">
        <f t="array" ref="H13">IFERROR(INDEX($F$2:$F$181,SMALL(IF($G$2:$G$181=3,ROW($A$1:$A$163),""),ROW(A3))),"")</f>
        <v>10000000</v>
      </c>
      <c r="I13" s="5">
        <f>AVERAGE(H11:H13)</f>
        <v>8166666.666666667</v>
      </c>
      <c r="J13" s="35">
        <f>STDEV(H11:H13)</f>
        <v>1876388.3748662823</v>
      </c>
      <c r="K13" s="37" t="str">
        <f t="array" ref="K13">IFERROR(INDEX($I$2:$I$81,SMALL(IF(ISNUMBER($I$2:$I$81),ROW($A$1:$A$80),""),ROW(A12))),"")</f>
        <v/>
      </c>
      <c r="L13" s="37" t="str">
        <f t="array" ref="L13">IFERROR(INDEX($J$2:$J$81,SMALL(IF(ISNUMBER($J$2:$J$81),ROW($A$1:$A$80),""),ROW(A12))),"")</f>
        <v/>
      </c>
      <c r="M13" s="60"/>
      <c r="N13" s="8" t="str">
        <f t="array" ref="N13">IFERROR(INDEX($F$2:$F$181,SMALL(_xlfn.IFS($G$2:$G$181&lt;$N$2,"",$G$2:$G$181&gt;$N$3,"",ISNUMBER($G$2:$G$181),ROW($A$1:$A$180)),ROW(A10))),"")</f>
        <v/>
      </c>
      <c r="O13" s="8" t="str">
        <f t="array" ref="O13">IFERROR(INDEX($F$2:$F$181,SMALL(_xlfn.IFS($G$2:$G$181&lt;$O$2,"",$G$2:$G$181&gt;$O$3,"",ISNUMBER($G$2:$G$181),ROW($A$1:$A$180)),ROW(A10))),"")</f>
        <v/>
      </c>
      <c r="P13" s="8" t="str">
        <f t="array" ref="P13">IFERROR(INDEX($F$2:$F$181,SMALL(_xlfn.IFS($G$2:$G$181&lt;$P$2,"",$G$2:$G$181&gt;$P$3,"",ISNUMBER($G$2:$G$181),ROW($A$1:$A$180)),ROW(A10))),"")</f>
        <v/>
      </c>
      <c r="Q13" s="8" t="str">
        <f t="array" ref="Q13">IFERROR(INDEX($F$2:$F$181,SMALL(_xlfn.IFS($G$2:$G$181&lt;$Q$2,"",$G$2:$G$181&gt;$Q$3,"",ISNUMBER($G$2:$G$181),ROW($A$1:$A$180)),ROW(A10))),"")</f>
        <v/>
      </c>
      <c r="R13" s="8" t="str">
        <f t="array" ref="R13">IFERROR(INDEX($F$2:$F$181,SMALL(_xlfn.IFS($G$2:$G$181&lt;$R$2,"",$G$2:$G$181&gt;$R$3,"",ISNUMBER($G$2:$G$181),ROW($A$1:$A$180)),ROW(A10))),"")</f>
        <v/>
      </c>
      <c r="S13" s="9" t="str">
        <f t="array" ref="S13">IFERROR(INDEX($F$2:$F$181,SMALL(_xlfn.IFS($G$2:$G$181&lt;$S$2,"",$G$2:$G$181&gt;$S$3,"",ISNUMBER($G$2:$G$181),ROW($A$1:$A$180)),ROW(A10))),"")</f>
        <v/>
      </c>
      <c r="T13" s="5" t="str">
        <f t="array" ref="T13">IFERROR(INDEX($F$2:$F$181,SMALL(_xlfn.IFS($G$2:$G$181&lt;$T$2,"",$G$2:$G$181&gt;$T$3,"",ISNUMBER($G$2:$G$181),ROW($A$1:$A$180)),ROW(A10))),"")</f>
        <v/>
      </c>
      <c r="U13" s="5" t="str">
        <f t="array" ref="U13">IFERROR(INDEX($F$2:$F$181,SMALL(_xlfn.IFS($G$2:$G$181&lt;$U$2,"",$G$2:$G$181&gt;$U$3,"",ISNUMBER($G$2:$G$181),ROW($A$1:$A$180)),ROW(A10))),"")</f>
        <v/>
      </c>
      <c r="V13" s="5" t="str" cm="1">
        <f t="array" ref="V13">IFERROR(INDEX($F$2:$F$181,SMALL(_xlfn.IFS($G$2:$G$181&lt;V$2,"",$G$2:$G$181&gt;V$3,"",ISNUMBER($G$2:$G$181),ROW($A$1:$A$180)),ROW(B10))),"")</f>
        <v/>
      </c>
      <c r="W13" s="5" t="str" cm="1">
        <f t="array" ref="W13">IFERROR(INDEX($F$2:$F$181,SMALL(_xlfn.IFS($G$2:$G$181&lt;W$2,"",$G$2:$G$181&gt;W$3,"",ISNUMBER($G$2:$G$181),ROW($A$1:$A$180)),ROW(C10))),"")</f>
        <v/>
      </c>
      <c r="X13" s="5" t="str" cm="1">
        <f t="array" ref="X13">IFERROR(INDEX($F$2:$F$181,SMALL(_xlfn.IFS($G$2:$G$181&lt;X$2,"",$G$2:$G$181&gt;X$3,"",ISNUMBER($G$2:$G$181),ROW($A$1:$A$180)),ROW(D10))),"")</f>
        <v/>
      </c>
      <c r="Y13" s="5" t="str" cm="1">
        <f t="array" ref="Y13">IFERROR(INDEX($F$2:$F$181,SMALL(_xlfn.IFS($G$2:$G$181&lt;Y$2,"",$G$2:$G$181&gt;Y$3,"",ISNUMBER($G$2:$G$181),ROW($A$1:$A$180)),ROW(E10))),"")</f>
        <v/>
      </c>
    </row>
    <row r="14" spans="1:25" ht="14.55" thickTop="1" x14ac:dyDescent="0.3">
      <c r="A14" s="78"/>
      <c r="B14" s="84">
        <v>2</v>
      </c>
      <c r="C14" s="7" t="s">
        <v>4</v>
      </c>
      <c r="D14" s="7"/>
      <c r="E14" s="7"/>
      <c r="F14" s="67" t="e">
        <f t="shared" ref="F14" si="9">(AVERAGEIF(D14:E14,"&gt;0",D14:E14))*10^3*100/8</f>
        <v>#DIV/0!</v>
      </c>
      <c r="G14" s="6"/>
      <c r="H14" s="5" t="s">
        <v>14</v>
      </c>
      <c r="J14" s="36"/>
      <c r="K14" s="37" t="str">
        <f t="array" ref="K14">IFERROR(INDEX($I$2:$I$81,SMALL(IF(ISNUMBER($I$2:$I$81),ROW($A$1:$A$80),""),ROW(A13))),"")</f>
        <v/>
      </c>
      <c r="L14" s="37" t="str">
        <f t="array" ref="L14">IFERROR(INDEX($J$2:$J$81,SMALL(IF(ISNUMBER($J$2:$J$81),ROW($A$1:$A$80),""),ROW(A13))),"")</f>
        <v/>
      </c>
      <c r="M14" s="60"/>
      <c r="N14" s="8" t="str">
        <f t="array" ref="N14">IFERROR(INDEX($F$2:$F$181,SMALL(_xlfn.IFS($G$2:$G$181&lt;$N$2,"",$G$2:$G$181&gt;$N$3,"",ISNUMBER($G$2:$G$181),ROW($A$1:$A$180)),ROW(A11))),"")</f>
        <v/>
      </c>
      <c r="O14" s="8" t="str">
        <f t="array" ref="O14">IFERROR(INDEX($F$2:$F$181,SMALL(_xlfn.IFS($G$2:$G$181&lt;$O$2,"",$G$2:$G$181&gt;$O$3,"",ISNUMBER($G$2:$G$181),ROW($A$1:$A$180)),ROW(A11))),"")</f>
        <v/>
      </c>
      <c r="P14" s="8" t="str">
        <f t="array" ref="P14">IFERROR(INDEX($F$2:$F$181,SMALL(_xlfn.IFS($G$2:$G$181&lt;$P$2,"",$G$2:$G$181&gt;$P$3,"",ISNUMBER($G$2:$G$181),ROW($A$1:$A$180)),ROW(A11))),"")</f>
        <v/>
      </c>
      <c r="Q14" s="8" t="str">
        <f t="array" ref="Q14">IFERROR(INDEX($F$2:$F$181,SMALL(_xlfn.IFS($G$2:$G$181&lt;$Q$2,"",$G$2:$G$181&gt;$Q$3,"",ISNUMBER($G$2:$G$181),ROW($A$1:$A$180)),ROW(A11))),"")</f>
        <v/>
      </c>
      <c r="R14" s="8" t="str">
        <f t="array" ref="R14">IFERROR(INDEX($F$2:$F$181,SMALL(_xlfn.IFS($G$2:$G$181&lt;$R$2,"",$G$2:$G$181&gt;$R$3,"",ISNUMBER($G$2:$G$181),ROW($A$1:$A$180)),ROW(A11))),"")</f>
        <v/>
      </c>
      <c r="S14" s="9" t="str">
        <f t="array" ref="S14">IFERROR(INDEX($F$2:$F$181,SMALL(_xlfn.IFS($G$2:$G$181&lt;$S$2,"",$G$2:$G$181&gt;$S$3,"",ISNUMBER($G$2:$G$181),ROW($A$1:$A$180)),ROW(A11))),"")</f>
        <v/>
      </c>
      <c r="T14" s="5" t="str">
        <f t="array" ref="T14">IFERROR(INDEX($F$2:$F$181,SMALL(_xlfn.IFS($G$2:$G$181&lt;$T$2,"",$G$2:$G$181&gt;$T$3,"",ISNUMBER($G$2:$G$181),ROW($A$1:$A$180)),ROW(A11))),"")</f>
        <v/>
      </c>
      <c r="U14" s="5" t="str">
        <f t="array" ref="U14">IFERROR(INDEX($F$2:$F$181,SMALL(_xlfn.IFS($G$2:$G$181&lt;$U$2,"",$G$2:$G$181&gt;$U$3,"",ISNUMBER($G$2:$G$181),ROW($A$1:$A$180)),ROW(A11))),"")</f>
        <v/>
      </c>
      <c r="V14" s="5" t="str" cm="1">
        <f t="array" ref="V14">IFERROR(INDEX($F$2:$F$181,SMALL(_xlfn.IFS($G$2:$G$181&lt;V$2,"",$G$2:$G$181&gt;V$3,"",ISNUMBER($G$2:$G$181),ROW($A$1:$A$180)),ROW(B11))),"")</f>
        <v/>
      </c>
      <c r="W14" s="5" t="str" cm="1">
        <f t="array" ref="W14">IFERROR(INDEX($F$2:$F$181,SMALL(_xlfn.IFS($G$2:$G$181&lt;W$2,"",$G$2:$G$181&gt;W$3,"",ISNUMBER($G$2:$G$181),ROW($A$1:$A$180)),ROW(C11))),"")</f>
        <v/>
      </c>
      <c r="X14" s="5" t="str" cm="1">
        <f t="array" ref="X14">IFERROR(INDEX($F$2:$F$181,SMALL(_xlfn.IFS($G$2:$G$181&lt;X$2,"",$G$2:$G$181&gt;X$3,"",ISNUMBER($G$2:$G$181),ROW($A$1:$A$180)),ROW(D11))),"")</f>
        <v/>
      </c>
      <c r="Y14" s="5" t="str" cm="1">
        <f t="array" ref="Y14">IFERROR(INDEX($F$2:$F$181,SMALL(_xlfn.IFS($G$2:$G$181&lt;Y$2,"",$G$2:$G$181&gt;Y$3,"",ISNUMBER($G$2:$G$181),ROW($A$1:$A$180)),ROW(E11))),"")</f>
        <v/>
      </c>
    </row>
    <row r="15" spans="1:25" x14ac:dyDescent="0.3">
      <c r="A15" s="78"/>
      <c r="B15" s="82"/>
      <c r="C15" s="10" t="s">
        <v>2</v>
      </c>
      <c r="D15" s="10">
        <v>41</v>
      </c>
      <c r="E15" s="10">
        <v>38</v>
      </c>
      <c r="F15" s="68">
        <f t="shared" ref="F15" si="10">(AVERAGEIF(D15:E15,"&gt;0",D15:E15))*10^4*100/8</f>
        <v>4937500</v>
      </c>
      <c r="G15" s="6"/>
      <c r="H15" s="5">
        <f t="array" ref="H15">IFERROR(INDEX($F$2:$F$181,SMALL(IF($G$2:$G$181=4,ROW($A$1:$A$163),""),ROW(A1))),"")</f>
        <v>3475000</v>
      </c>
      <c r="J15" s="36"/>
      <c r="K15" s="37" t="str">
        <f t="array" ref="K15">IFERROR(INDEX($I$2:$I$81,SMALL(IF(ISNUMBER($I$2:$I$81),ROW($A$1:$A$80),""),ROW(A14))),"")</f>
        <v/>
      </c>
      <c r="L15" s="37" t="str">
        <f t="array" ref="L15">IFERROR(INDEX($J$2:$J$81,SMALL(IF(ISNUMBER($J$2:$J$81),ROW($A$1:$A$80),""),ROW(A14))),"")</f>
        <v/>
      </c>
      <c r="M15" s="60"/>
      <c r="N15" s="8" t="str">
        <f t="array" ref="N15">IFERROR(INDEX($F$2:$F$181,SMALL(_xlfn.IFS($G$2:$G$181&lt;$N$2,"",$G$2:$G$181&gt;$N$3,"",ISNUMBER($G$2:$G$181),ROW($A$1:$A$180)),ROW(A12))),"")</f>
        <v/>
      </c>
      <c r="O15" s="8" t="str">
        <f t="array" ref="O15">IFERROR(INDEX($F$2:$F$181,SMALL(_xlfn.IFS($G$2:$G$181&lt;$O$2,"",$G$2:$G$181&gt;$O$3,"",ISNUMBER($G$2:$G$181),ROW($A$1:$A$180)),ROW(A12))),"")</f>
        <v/>
      </c>
      <c r="P15" s="8" t="str">
        <f t="array" ref="P15">IFERROR(INDEX($F$2:$F$181,SMALL(_xlfn.IFS($G$2:$G$181&lt;$P$2,"",$G$2:$G$181&gt;$P$3,"",ISNUMBER($G$2:$G$181),ROW($A$1:$A$180)),ROW(A12))),"")</f>
        <v/>
      </c>
      <c r="Q15" s="8" t="str">
        <f t="array" ref="Q15">IFERROR(INDEX($F$2:$F$181,SMALL(_xlfn.IFS($G$2:$G$181&lt;$Q$2,"",$G$2:$G$181&gt;$Q$3,"",ISNUMBER($G$2:$G$181),ROW($A$1:$A$180)),ROW(A12))),"")</f>
        <v/>
      </c>
      <c r="R15" s="8" t="str">
        <f t="array" ref="R15">IFERROR(INDEX($F$2:$F$181,SMALL(_xlfn.IFS($G$2:$G$181&lt;$R$2,"",$G$2:$G$181&gt;$R$3,"",ISNUMBER($G$2:$G$181),ROW($A$1:$A$180)),ROW(A12))),"")</f>
        <v/>
      </c>
      <c r="S15" s="9" t="str">
        <f t="array" ref="S15">IFERROR(INDEX($F$2:$F$181,SMALL(_xlfn.IFS($G$2:$G$181&lt;$S$2,"",$G$2:$G$181&gt;$S$3,"",ISNUMBER($G$2:$G$181),ROW($A$1:$A$180)),ROW(A12))),"")</f>
        <v/>
      </c>
      <c r="T15" s="5" t="str">
        <f t="array" ref="T15">IFERROR(INDEX($F$2:$F$181,SMALL(_xlfn.IFS($G$2:$G$181&lt;$T$2,"",$G$2:$G$181&gt;$T$3,"",ISNUMBER($G$2:$G$181),ROW($A$1:$A$180)),ROW(A12))),"")</f>
        <v/>
      </c>
      <c r="U15" s="5" t="str">
        <f t="array" ref="U15">IFERROR(INDEX($F$2:$F$181,SMALL(_xlfn.IFS($G$2:$G$181&lt;$U$2,"",$G$2:$G$181&gt;$U$3,"",ISNUMBER($G$2:$G$181),ROW($A$1:$A$180)),ROW(A12))),"")</f>
        <v/>
      </c>
      <c r="V15" s="5" t="str" cm="1">
        <f t="array" ref="V15">IFERROR(INDEX($F$2:$F$181,SMALL(_xlfn.IFS($G$2:$G$181&lt;V$2,"",$G$2:$G$181&gt;V$3,"",ISNUMBER($G$2:$G$181),ROW($A$1:$A$180)),ROW(B12))),"")</f>
        <v/>
      </c>
      <c r="W15" s="5" t="str" cm="1">
        <f t="array" ref="W15">IFERROR(INDEX($F$2:$F$181,SMALL(_xlfn.IFS($G$2:$G$181&lt;W$2,"",$G$2:$G$181&gt;W$3,"",ISNUMBER($G$2:$G$181),ROW($A$1:$A$180)),ROW(C12))),"")</f>
        <v/>
      </c>
      <c r="X15" s="5" t="str" cm="1">
        <f t="array" ref="X15">IFERROR(INDEX($F$2:$F$181,SMALL(_xlfn.IFS($G$2:$G$181&lt;X$2,"",$G$2:$G$181&gt;X$3,"",ISNUMBER($G$2:$G$181),ROW($A$1:$A$180)),ROW(D12))),"")</f>
        <v/>
      </c>
      <c r="Y15" s="5" t="str" cm="1">
        <f t="array" ref="Y15">IFERROR(INDEX($F$2:$F$181,SMALL(_xlfn.IFS($G$2:$G$181&lt;Y$2,"",$G$2:$G$181&gt;Y$3,"",ISNUMBER($G$2:$G$181),ROW($A$1:$A$180)),ROW(E12))),"")</f>
        <v/>
      </c>
    </row>
    <row r="16" spans="1:25" ht="14.55" thickBot="1" x14ac:dyDescent="0.35">
      <c r="A16" s="78"/>
      <c r="B16" s="83"/>
      <c r="C16" s="11" t="s">
        <v>3</v>
      </c>
      <c r="D16" s="11">
        <v>6</v>
      </c>
      <c r="E16" s="11">
        <v>4</v>
      </c>
      <c r="F16" s="69">
        <f t="shared" ref="F16" si="11">(AVERAGEIF(D16:E16,"&gt;0",D16:E16))*10^5*100/8</f>
        <v>6250000</v>
      </c>
      <c r="G16" s="6">
        <v>3</v>
      </c>
      <c r="H16" s="5">
        <f t="array" ref="H16">IFERROR(INDEX($F$2:$F$181,SMALL(IF($G$2:$G$181=4,ROW($A$1:$A$163),""),ROW(A2))),"")</f>
        <v>3625000</v>
      </c>
      <c r="J16" s="36"/>
      <c r="K16" s="37" t="str">
        <f t="array" ref="K16">IFERROR(INDEX($I$2:$I$81,SMALL(IF(ISNUMBER($I$2:$I$81),ROW($A$1:$A$80),""),ROW(A15))),"")</f>
        <v/>
      </c>
      <c r="L16" s="37" t="str">
        <f t="array" ref="L16">IFERROR(INDEX($J$2:$J$81,SMALL(IF(ISNUMBER($J$2:$J$81),ROW($A$1:$A$80),""),ROW(A15))),"")</f>
        <v/>
      </c>
      <c r="M16" s="60"/>
      <c r="N16" s="8" t="str">
        <f t="array" ref="N16">IFERROR(INDEX($F$2:$F$181,SMALL(_xlfn.IFS($G$2:$G$181&lt;$N$2,"",$G$2:$G$181&gt;$N$3,"",ISNUMBER($G$2:$G$181),ROW($A$1:$A$180)),ROW(A13))),"")</f>
        <v/>
      </c>
      <c r="O16" s="8" t="str">
        <f t="array" ref="O16">IFERROR(INDEX($F$2:$F$181,SMALL(_xlfn.IFS($G$2:$G$181&lt;$O$2,"",$G$2:$G$181&gt;$O$3,"",ISNUMBER($G$2:$G$181),ROW($A$1:$A$180)),ROW(A13))),"")</f>
        <v/>
      </c>
      <c r="P16" s="8" t="str">
        <f t="array" ref="P16">IFERROR(INDEX($F$2:$F$181,SMALL(_xlfn.IFS($G$2:$G$181&lt;$P$2,"",$G$2:$G$181&gt;$P$3,"",ISNUMBER($G$2:$G$181),ROW($A$1:$A$180)),ROW(A13))),"")</f>
        <v/>
      </c>
      <c r="Q16" s="8" t="str">
        <f t="array" ref="Q16">IFERROR(INDEX($F$2:$F$181,SMALL(_xlfn.IFS($G$2:$G$181&lt;$Q$2,"",$G$2:$G$181&gt;$Q$3,"",ISNUMBER($G$2:$G$181),ROW($A$1:$A$180)),ROW(A13))),"")</f>
        <v/>
      </c>
      <c r="R16" s="8" t="str">
        <f t="array" ref="R16">IFERROR(INDEX($F$2:$F$181,SMALL(_xlfn.IFS($G$2:$G$181&lt;$R$2,"",$G$2:$G$181&gt;$R$3,"",ISNUMBER($G$2:$G$181),ROW($A$1:$A$180)),ROW(A13))),"")</f>
        <v/>
      </c>
      <c r="S16" s="9" t="str">
        <f t="array" ref="S16">IFERROR(INDEX($F$2:$F$181,SMALL(_xlfn.IFS($G$2:$G$181&lt;$S$2,"",$G$2:$G$181&gt;$S$3,"",ISNUMBER($G$2:$G$181),ROW($A$1:$A$180)),ROW(A13))),"")</f>
        <v/>
      </c>
      <c r="T16" s="5" t="str">
        <f t="array" ref="T16">IFERROR(INDEX($F$2:$F$181,SMALL(_xlfn.IFS($G$2:$G$181&lt;$T$2,"",$G$2:$G$181&gt;$T$3,"",ISNUMBER($G$2:$G$181),ROW($A$1:$A$180)),ROW(A13))),"")</f>
        <v/>
      </c>
      <c r="U16" s="5" t="str">
        <f t="array" ref="U16">IFERROR(INDEX($F$2:$F$181,SMALL(_xlfn.IFS($G$2:$G$181&lt;$U$2,"",$G$2:$G$181&gt;$U$3,"",ISNUMBER($G$2:$G$181),ROW($A$1:$A$180)),ROW(A13))),"")</f>
        <v/>
      </c>
      <c r="V16" s="5" t="str" cm="1">
        <f t="array" ref="V16">IFERROR(INDEX($F$2:$F$181,SMALL(_xlfn.IFS($G$2:$G$181&lt;V$2,"",$G$2:$G$181&gt;V$3,"",ISNUMBER($G$2:$G$181),ROW($A$1:$A$180)),ROW(B13))),"")</f>
        <v/>
      </c>
      <c r="W16" s="5" t="str" cm="1">
        <f t="array" ref="W16">IFERROR(INDEX($F$2:$F$181,SMALL(_xlfn.IFS($G$2:$G$181&lt;W$2,"",$G$2:$G$181&gt;W$3,"",ISNUMBER($G$2:$G$181),ROW($A$1:$A$180)),ROW(C13))),"")</f>
        <v/>
      </c>
      <c r="X16" s="5" t="str" cm="1">
        <f t="array" ref="X16">IFERROR(INDEX($F$2:$F$181,SMALL(_xlfn.IFS($G$2:$G$181&lt;X$2,"",$G$2:$G$181&gt;X$3,"",ISNUMBER($G$2:$G$181),ROW($A$1:$A$180)),ROW(D13))),"")</f>
        <v/>
      </c>
      <c r="Y16" s="5" t="str" cm="1">
        <f t="array" ref="Y16">IFERROR(INDEX($F$2:$F$181,SMALL(_xlfn.IFS($G$2:$G$181&lt;Y$2,"",$G$2:$G$181&gt;Y$3,"",ISNUMBER($G$2:$G$181),ROW($A$1:$A$180)),ROW(E13))),"")</f>
        <v/>
      </c>
    </row>
    <row r="17" spans="1:25" ht="14.55" thickTop="1" x14ac:dyDescent="0.3">
      <c r="A17" s="78"/>
      <c r="B17" s="84">
        <v>3</v>
      </c>
      <c r="C17" s="7" t="s">
        <v>4</v>
      </c>
      <c r="D17" s="7"/>
      <c r="E17" s="7"/>
      <c r="F17" s="67" t="e">
        <f t="shared" ref="F17" si="12">(AVERAGEIF(D17:E17,"&gt;0",D17:E17))*10^3*100/8</f>
        <v>#DIV/0!</v>
      </c>
      <c r="G17" s="6"/>
      <c r="H17" s="5">
        <f t="array" ref="H17">IFERROR(INDEX($F$2:$F$181,SMALL(IF($G$2:$G$181=4,ROW($A$1:$A$163),""),ROW(A3))),"")</f>
        <v>3000000</v>
      </c>
      <c r="I17" s="5">
        <f>AVERAGE(H15:H17)</f>
        <v>3366666.6666666665</v>
      </c>
      <c r="J17" s="35">
        <f>STDEV(H15:H17)</f>
        <v>326279.53250753158</v>
      </c>
      <c r="K17" s="37" t="str">
        <f t="array" ref="K17">IFERROR(INDEX($I$2:$I$81,SMALL(IF(ISNUMBER($I$2:$I$81),ROW($A$1:$A$80),""),ROW(A16))),"")</f>
        <v/>
      </c>
      <c r="L17" s="37" t="str">
        <f t="array" ref="L17">IFERROR(INDEX($J$2:$J$81,SMALL(IF(ISNUMBER($J$2:$J$81),ROW($A$1:$A$80),""),ROW(A16))),"")</f>
        <v/>
      </c>
      <c r="M17" s="60"/>
      <c r="N17" s="8" t="str">
        <f t="array" ref="N17">IFERROR(INDEX($F$2:$F$181,SMALL(_xlfn.IFS($G$2:$G$181&lt;$N$2,"",$G$2:$G$181&gt;$N$3,"",ISNUMBER($G$2:$G$181),ROW($A$1:$A$180)),ROW(A14))),"")</f>
        <v/>
      </c>
      <c r="O17" s="8" t="str">
        <f t="array" ref="O17">IFERROR(INDEX($F$2:$F$181,SMALL(_xlfn.IFS($G$2:$G$181&lt;$O$2,"",$G$2:$G$181&gt;$O$3,"",ISNUMBER($G$2:$G$181),ROW($A$1:$A$180)),ROW(A14))),"")</f>
        <v/>
      </c>
      <c r="P17" s="8" t="str">
        <f t="array" ref="P17">IFERROR(INDEX($F$2:$F$181,SMALL(_xlfn.IFS($G$2:$G$181&lt;$P$2,"",$G$2:$G$181&gt;$P$3,"",ISNUMBER($G$2:$G$181),ROW($A$1:$A$180)),ROW(A14))),"")</f>
        <v/>
      </c>
      <c r="Q17" s="8" t="str">
        <f t="array" ref="Q17">IFERROR(INDEX($F$2:$F$181,SMALL(_xlfn.IFS($G$2:$G$181&lt;$Q$2,"",$G$2:$G$181&gt;$Q$3,"",ISNUMBER($G$2:$G$181),ROW($A$1:$A$180)),ROW(A14))),"")</f>
        <v/>
      </c>
      <c r="R17" s="8" t="str">
        <f t="array" ref="R17">IFERROR(INDEX($F$2:$F$181,SMALL(_xlfn.IFS($G$2:$G$181&lt;$R$2,"",$G$2:$G$181&gt;$R$3,"",ISNUMBER($G$2:$G$181),ROW($A$1:$A$180)),ROW(A14))),"")</f>
        <v/>
      </c>
      <c r="S17" s="9" t="str">
        <f t="array" ref="S17">IFERROR(INDEX($F$2:$F$181,SMALL(_xlfn.IFS($G$2:$G$181&lt;$S$2,"",$G$2:$G$181&gt;$S$3,"",ISNUMBER($G$2:$G$181),ROW($A$1:$A$180)),ROW(A14))),"")</f>
        <v/>
      </c>
      <c r="T17" s="5" t="str">
        <f t="array" ref="T17">IFERROR(INDEX($F$2:$F$181,SMALL(_xlfn.IFS($G$2:$G$181&lt;$T$2,"",$G$2:$G$181&gt;$T$3,"",ISNUMBER($G$2:$G$181),ROW($A$1:$A$180)),ROW(A14))),"")</f>
        <v/>
      </c>
      <c r="U17" s="5" t="str">
        <f t="array" ref="U17">IFERROR(INDEX($F$2:$F$181,SMALL(_xlfn.IFS($G$2:$G$181&lt;$U$2,"",$G$2:$G$181&gt;$U$3,"",ISNUMBER($G$2:$G$181),ROW($A$1:$A$180)),ROW(A14))),"")</f>
        <v/>
      </c>
      <c r="V17" s="5" t="str" cm="1">
        <f t="array" ref="V17">IFERROR(INDEX($F$2:$F$181,SMALL(_xlfn.IFS($G$2:$G$181&lt;V$2,"",$G$2:$G$181&gt;V$3,"",ISNUMBER($G$2:$G$181),ROW($A$1:$A$180)),ROW(B14))),"")</f>
        <v/>
      </c>
      <c r="W17" s="5" t="str" cm="1">
        <f t="array" ref="W17">IFERROR(INDEX($F$2:$F$181,SMALL(_xlfn.IFS($G$2:$G$181&lt;W$2,"",$G$2:$G$181&gt;W$3,"",ISNUMBER($G$2:$G$181),ROW($A$1:$A$180)),ROW(C14))),"")</f>
        <v/>
      </c>
      <c r="X17" s="5" t="str" cm="1">
        <f t="array" ref="X17">IFERROR(INDEX($F$2:$F$181,SMALL(_xlfn.IFS($G$2:$G$181&lt;X$2,"",$G$2:$G$181&gt;X$3,"",ISNUMBER($G$2:$G$181),ROW($A$1:$A$180)),ROW(D14))),"")</f>
        <v/>
      </c>
      <c r="Y17" s="5" t="str" cm="1">
        <f t="array" ref="Y17">IFERROR(INDEX($F$2:$F$181,SMALL(_xlfn.IFS($G$2:$G$181&lt;Y$2,"",$G$2:$G$181&gt;Y$3,"",ISNUMBER($G$2:$G$181),ROW($A$1:$A$180)),ROW(E14))),"")</f>
        <v/>
      </c>
    </row>
    <row r="18" spans="1:25" x14ac:dyDescent="0.3">
      <c r="A18" s="78"/>
      <c r="B18" s="82"/>
      <c r="C18" s="10" t="s">
        <v>2</v>
      </c>
      <c r="D18" s="10">
        <v>71</v>
      </c>
      <c r="E18" s="10">
        <v>81</v>
      </c>
      <c r="F18" s="68">
        <f t="shared" ref="F18" si="13">(AVERAGEIF(D18:E18,"&gt;0",D18:E18))*10^4*100/8</f>
        <v>9500000</v>
      </c>
      <c r="G18" s="6"/>
      <c r="H18" s="5" t="s">
        <v>15</v>
      </c>
      <c r="J18" s="36"/>
      <c r="K18" s="37" t="str">
        <f t="array" ref="K18">IFERROR(INDEX($I$2:$I$81,SMALL(IF(ISNUMBER($I$2:$I$81),ROW($A$1:$A$80),""),ROW(A17))),"")</f>
        <v/>
      </c>
      <c r="L18" s="37" t="str">
        <f t="array" ref="L18">IFERROR(INDEX($J$2:$J$81,SMALL(IF(ISNUMBER($J$2:$J$81),ROW($A$1:$A$80),""),ROW(A17))),"")</f>
        <v/>
      </c>
      <c r="M18" s="60"/>
      <c r="N18" s="8" t="str">
        <f t="array" ref="N18">IFERROR(INDEX($F$2:$F$181,SMALL(_xlfn.IFS($G$2:$G$181&lt;$N$2,"",$G$2:$G$181&gt;$N$3,"",ISNUMBER($G$2:$G$181),ROW($A$1:$A$180)),ROW(A15))),"")</f>
        <v/>
      </c>
      <c r="O18" s="8" t="str">
        <f t="array" ref="O18">IFERROR(INDEX($F$2:$F$181,SMALL(_xlfn.IFS($G$2:$G$181&lt;$O$2,"",$G$2:$G$181&gt;$O$3,"",ISNUMBER($G$2:$G$181),ROW($A$1:$A$180)),ROW(A15))),"")</f>
        <v/>
      </c>
      <c r="P18" s="8" t="str">
        <f t="array" ref="P18">IFERROR(INDEX($F$2:$F$181,SMALL(_xlfn.IFS($G$2:$G$181&lt;$P$2,"",$G$2:$G$181&gt;$P$3,"",ISNUMBER($G$2:$G$181),ROW($A$1:$A$180)),ROW(A15))),"")</f>
        <v/>
      </c>
      <c r="Q18" s="8" t="str">
        <f t="array" ref="Q18">IFERROR(INDEX($F$2:$F$181,SMALL(_xlfn.IFS($G$2:$G$181&lt;$Q$2,"",$G$2:$G$181&gt;$Q$3,"",ISNUMBER($G$2:$G$181),ROW($A$1:$A$180)),ROW(A15))),"")</f>
        <v/>
      </c>
      <c r="R18" s="8" t="str">
        <f t="array" ref="R18">IFERROR(INDEX($F$2:$F$181,SMALL(_xlfn.IFS($G$2:$G$181&lt;$R$2,"",$G$2:$G$181&gt;$R$3,"",ISNUMBER($G$2:$G$181),ROW($A$1:$A$180)),ROW(A15))),"")</f>
        <v/>
      </c>
      <c r="S18" s="9" t="str">
        <f t="array" ref="S18">IFERROR(INDEX($F$2:$F$181,SMALL(_xlfn.IFS($G$2:$G$181&lt;$S$2,"",$G$2:$G$181&gt;$S$3,"",ISNUMBER($G$2:$G$181),ROW($A$1:$A$180)),ROW(A15))),"")</f>
        <v/>
      </c>
      <c r="T18" s="5" t="str">
        <f t="array" ref="T18">IFERROR(INDEX($F$2:$F$181,SMALL(_xlfn.IFS($G$2:$G$181&lt;$T$2,"",$G$2:$G$181&gt;$T$3,"",ISNUMBER($G$2:$G$181),ROW($A$1:$A$180)),ROW(A15))),"")</f>
        <v/>
      </c>
      <c r="U18" s="5" t="str">
        <f t="array" ref="U18">IFERROR(INDEX($F$2:$F$181,SMALL(_xlfn.IFS($G$2:$G$181&lt;$U$2,"",$G$2:$G$181&gt;$U$3,"",ISNUMBER($G$2:$G$181),ROW($A$1:$A$180)),ROW(A15))),"")</f>
        <v/>
      </c>
      <c r="V18" s="5" t="str" cm="1">
        <f t="array" ref="V18">IFERROR(INDEX($F$2:$F$181,SMALL(_xlfn.IFS($G$2:$G$181&lt;V$2,"",$G$2:$G$181&gt;V$3,"",ISNUMBER($G$2:$G$181),ROW($A$1:$A$180)),ROW(B15))),"")</f>
        <v/>
      </c>
      <c r="W18" s="5" t="str" cm="1">
        <f t="array" ref="W18">IFERROR(INDEX($F$2:$F$181,SMALL(_xlfn.IFS($G$2:$G$181&lt;W$2,"",$G$2:$G$181&gt;W$3,"",ISNUMBER($G$2:$G$181),ROW($A$1:$A$180)),ROW(C15))),"")</f>
        <v/>
      </c>
      <c r="X18" s="5" t="str" cm="1">
        <f t="array" ref="X18">IFERROR(INDEX($F$2:$F$181,SMALL(_xlfn.IFS($G$2:$G$181&lt;X$2,"",$G$2:$G$181&gt;X$3,"",ISNUMBER($G$2:$G$181),ROW($A$1:$A$180)),ROW(D15))),"")</f>
        <v/>
      </c>
      <c r="Y18" s="5" t="str" cm="1">
        <f t="array" ref="Y18">IFERROR(INDEX($F$2:$F$181,SMALL(_xlfn.IFS($G$2:$G$181&lt;Y$2,"",$G$2:$G$181&gt;Y$3,"",ISNUMBER($G$2:$G$181),ROW($A$1:$A$180)),ROW(E15))),"")</f>
        <v/>
      </c>
    </row>
    <row r="19" spans="1:25" ht="14.55" thickBot="1" x14ac:dyDescent="0.35">
      <c r="A19" s="79"/>
      <c r="B19" s="85"/>
      <c r="C19" s="31" t="s">
        <v>3</v>
      </c>
      <c r="D19" s="31">
        <v>8</v>
      </c>
      <c r="E19" s="31">
        <v>8</v>
      </c>
      <c r="F19" s="69">
        <f t="shared" ref="F19" si="14">(AVERAGEIF(D19:E19,"&gt;0",D19:E19))*10^5*100/8</f>
        <v>10000000</v>
      </c>
      <c r="G19" s="6">
        <v>3</v>
      </c>
      <c r="H19" s="5">
        <f t="array" ref="H19">IFERROR(INDEX($F$2:$F$181,SMALL(IF($G$2:$G$181=5,ROW($A$1:$A$163),""),ROW(A1))),"")</f>
        <v>5625000</v>
      </c>
      <c r="J19" s="36"/>
      <c r="K19" s="37" t="str">
        <f t="array" ref="K19">IFERROR(INDEX($I$2:$I$81,SMALL(IF(ISNUMBER($I$2:$I$81),ROW($A$1:$A$80),""),ROW(A18))),"")</f>
        <v/>
      </c>
      <c r="L19" s="37" t="str">
        <f t="array" ref="L19">IFERROR(INDEX($J$2:$J$81,SMALL(IF(ISNUMBER($J$2:$J$81),ROW($A$1:$A$80),""),ROW(A18))),"")</f>
        <v/>
      </c>
      <c r="M19" s="60"/>
      <c r="N19" s="8" t="str">
        <f t="array" ref="N19">IFERROR(INDEX($F$2:$F$181,SMALL(_xlfn.IFS($G$2:$G$181&lt;$N$2,"",$G$2:$G$181&gt;$N$3,"",ISNUMBER($G$2:$G$181),ROW($A$1:$A$180)),ROW(A16))),"")</f>
        <v/>
      </c>
      <c r="O19" s="8" t="str">
        <f t="array" ref="O19">IFERROR(INDEX($F$2:$F$181,SMALL(_xlfn.IFS($G$2:$G$181&lt;$O$2,"",$G$2:$G$181&gt;$O$3,"",ISNUMBER($G$2:$G$181),ROW($A$1:$A$180)),ROW(A16))),"")</f>
        <v/>
      </c>
      <c r="P19" s="8" t="str">
        <f t="array" ref="P19">IFERROR(INDEX($F$2:$F$181,SMALL(_xlfn.IFS($G$2:$G$181&lt;$P$2,"",$G$2:$G$181&gt;$P$3,"",ISNUMBER($G$2:$G$181),ROW($A$1:$A$180)),ROW(A16))),"")</f>
        <v/>
      </c>
      <c r="Q19" s="8" t="str">
        <f t="array" ref="Q19">IFERROR(INDEX($F$2:$F$181,SMALL(_xlfn.IFS($G$2:$G$181&lt;$Q$2,"",$G$2:$G$181&gt;$Q$3,"",ISNUMBER($G$2:$G$181),ROW($A$1:$A$180)),ROW(A16))),"")</f>
        <v/>
      </c>
      <c r="R19" s="8" t="str">
        <f t="array" ref="R19">IFERROR(INDEX($F$2:$F$181,SMALL(_xlfn.IFS($G$2:$G$181&lt;$R$2,"",$G$2:$G$181&gt;$R$3,"",ISNUMBER($G$2:$G$181),ROW($A$1:$A$180)),ROW(A16))),"")</f>
        <v/>
      </c>
      <c r="S19" s="9" t="str">
        <f t="array" ref="S19">IFERROR(INDEX($F$2:$F$181,SMALL(_xlfn.IFS($G$2:$G$181&lt;$S$2,"",$G$2:$G$181&gt;$S$3,"",ISNUMBER($G$2:$G$181),ROW($A$1:$A$180)),ROW(A16))),"")</f>
        <v/>
      </c>
      <c r="T19" s="5" t="str">
        <f t="array" ref="T19">IFERROR(INDEX($F$2:$F$181,SMALL(_xlfn.IFS($G$2:$G$181&lt;$T$2,"",$G$2:$G$181&gt;$T$3,"",ISNUMBER($G$2:$G$181),ROW($A$1:$A$180)),ROW(A16))),"")</f>
        <v/>
      </c>
      <c r="U19" s="5" t="str">
        <f t="array" ref="U19">IFERROR(INDEX($F$2:$F$181,SMALL(_xlfn.IFS($G$2:$G$181&lt;$U$2,"",$G$2:$G$181&gt;$U$3,"",ISNUMBER($G$2:$G$181),ROW($A$1:$A$180)),ROW(A16))),"")</f>
        <v/>
      </c>
      <c r="V19" s="5" t="str" cm="1">
        <f t="array" ref="V19">IFERROR(INDEX($F$2:$F$181,SMALL(_xlfn.IFS($G$2:$G$181&lt;V$2,"",$G$2:$G$181&gt;V$3,"",ISNUMBER($G$2:$G$181),ROW($A$1:$A$180)),ROW(B16))),"")</f>
        <v/>
      </c>
      <c r="W19" s="5" t="str" cm="1">
        <f t="array" ref="W19">IFERROR(INDEX($F$2:$F$181,SMALL(_xlfn.IFS($G$2:$G$181&lt;W$2,"",$G$2:$G$181&gt;W$3,"",ISNUMBER($G$2:$G$181),ROW($A$1:$A$180)),ROW(C16))),"")</f>
        <v/>
      </c>
      <c r="X19" s="5" t="str" cm="1">
        <f t="array" ref="X19">IFERROR(INDEX($F$2:$F$181,SMALL(_xlfn.IFS($G$2:$G$181&lt;X$2,"",$G$2:$G$181&gt;X$3,"",ISNUMBER($G$2:$G$181),ROW($A$1:$A$180)),ROW(D16))),"")</f>
        <v/>
      </c>
      <c r="Y19" s="5" t="str" cm="1">
        <f t="array" ref="Y19">IFERROR(INDEX($F$2:$F$181,SMALL(_xlfn.IFS($G$2:$G$181&lt;Y$2,"",$G$2:$G$181&gt;Y$3,"",ISNUMBER($G$2:$G$181),ROW($A$1:$A$180)),ROW(E16))),"")</f>
        <v/>
      </c>
    </row>
    <row r="20" spans="1:25" ht="14.55" thickTop="1" x14ac:dyDescent="0.3">
      <c r="A20" s="77" t="s">
        <v>60</v>
      </c>
      <c r="B20" s="81">
        <v>1</v>
      </c>
      <c r="C20" s="26" t="s">
        <v>4</v>
      </c>
      <c r="D20" s="53"/>
      <c r="E20" s="53"/>
      <c r="F20" s="67" t="e">
        <f t="shared" ref="F20" si="15">(AVERAGEIF(D20:E20,"&gt;0",D20:E20))*10^3*100/8</f>
        <v>#DIV/0!</v>
      </c>
      <c r="G20" s="6"/>
      <c r="H20" s="5">
        <f t="array" ref="H20">IFERROR(INDEX($F$2:$F$181,SMALL(IF($G$2:$G$181=5,ROW($A$1:$A$163),""),ROW(A2))),"")</f>
        <v>3312500</v>
      </c>
      <c r="J20" s="36"/>
      <c r="K20" s="37" t="str">
        <f t="array" ref="K20">IFERROR(INDEX($I$2:$I$81,SMALL(IF(ISNUMBER($I$2:$I$81),ROW($A$1:$A$80),""),ROW(A19))),"")</f>
        <v/>
      </c>
      <c r="L20" s="37" t="str">
        <f t="array" ref="L20">IFERROR(INDEX($J$2:$J$81,SMALL(IF(ISNUMBER($J$2:$J$81),ROW($A$1:$A$80),""),ROW(A19))),"")</f>
        <v/>
      </c>
      <c r="M20" s="60"/>
      <c r="N20" s="8" t="str">
        <f t="array" ref="N20">IFERROR(INDEX($F$2:$F$181,SMALL(_xlfn.IFS($G$2:$G$181&lt;$N$2,"",$G$2:$G$181&gt;$N$3,"",ISNUMBER($G$2:$G$181),ROW($A$1:$A$180)),ROW(A17))),"")</f>
        <v/>
      </c>
      <c r="O20" s="8" t="str">
        <f t="array" ref="O20">IFERROR(INDEX($F$2:$F$181,SMALL(_xlfn.IFS($G$2:$G$181&lt;$O$2,"",$G$2:$G$181&gt;$O$3,"",ISNUMBER($G$2:$G$181),ROW($A$1:$A$180)),ROW(A17))),"")</f>
        <v/>
      </c>
      <c r="P20" s="8" t="str">
        <f t="array" ref="P20">IFERROR(INDEX($F$2:$F$181,SMALL(_xlfn.IFS($G$2:$G$181&lt;$P$2,"",$G$2:$G$181&gt;$P$3,"",ISNUMBER($G$2:$G$181),ROW($A$1:$A$180)),ROW(A17))),"")</f>
        <v/>
      </c>
      <c r="Q20" s="8" t="str">
        <f t="array" ref="Q20">IFERROR(INDEX($F$2:$F$181,SMALL(_xlfn.IFS($G$2:$G$181&lt;$Q$2,"",$G$2:$G$181&gt;$Q$3,"",ISNUMBER($G$2:$G$181),ROW($A$1:$A$180)),ROW(A17))),"")</f>
        <v/>
      </c>
      <c r="R20" s="8" t="str">
        <f t="array" ref="R20">IFERROR(INDEX($F$2:$F$181,SMALL(_xlfn.IFS($G$2:$G$181&lt;$R$2,"",$G$2:$G$181&gt;$R$3,"",ISNUMBER($G$2:$G$181),ROW($A$1:$A$180)),ROW(A17))),"")</f>
        <v/>
      </c>
      <c r="S20" s="9" t="str">
        <f t="array" ref="S20">IFERROR(INDEX($F$2:$F$181,SMALL(_xlfn.IFS($G$2:$G$181&lt;$S$2,"",$G$2:$G$181&gt;$S$3,"",ISNUMBER($G$2:$G$181),ROW($A$1:$A$180)),ROW(A17))),"")</f>
        <v/>
      </c>
      <c r="T20" s="5" t="str">
        <f t="array" ref="T20">IFERROR(INDEX($F$2:$F$181,SMALL(_xlfn.IFS($G$2:$G$181&lt;$T$2,"",$G$2:$G$181&gt;$T$3,"",ISNUMBER($G$2:$G$181),ROW($A$1:$A$180)),ROW(A17))),"")</f>
        <v/>
      </c>
      <c r="U20" s="5" t="str">
        <f t="array" ref="U20">IFERROR(INDEX($F$2:$F$181,SMALL(_xlfn.IFS($G$2:$G$181&lt;$U$2,"",$G$2:$G$181&gt;$U$3,"",ISNUMBER($G$2:$G$181),ROW($A$1:$A$180)),ROW(A17))),"")</f>
        <v/>
      </c>
      <c r="V20" s="5" t="str" cm="1">
        <f t="array" ref="V20">IFERROR(INDEX($F$2:$F$181,SMALL(_xlfn.IFS($G$2:$G$181&lt;V$2,"",$G$2:$G$181&gt;V$3,"",ISNUMBER($G$2:$G$181),ROW($A$1:$A$180)),ROW(B17))),"")</f>
        <v/>
      </c>
      <c r="W20" s="5" t="str" cm="1">
        <f t="array" ref="W20">IFERROR(INDEX($F$2:$F$181,SMALL(_xlfn.IFS($G$2:$G$181&lt;W$2,"",$G$2:$G$181&gt;W$3,"",ISNUMBER($G$2:$G$181),ROW($A$1:$A$180)),ROW(C17))),"")</f>
        <v/>
      </c>
      <c r="X20" s="5" t="str" cm="1">
        <f t="array" ref="X20">IFERROR(INDEX($F$2:$F$181,SMALL(_xlfn.IFS($G$2:$G$181&lt;X$2,"",$G$2:$G$181&gt;X$3,"",ISNUMBER($G$2:$G$181),ROW($A$1:$A$180)),ROW(D17))),"")</f>
        <v/>
      </c>
      <c r="Y20" s="5" t="str" cm="1">
        <f t="array" ref="Y20">IFERROR(INDEX($F$2:$F$181,SMALL(_xlfn.IFS($G$2:$G$181&lt;Y$2,"",$G$2:$G$181&gt;Y$3,"",ISNUMBER($G$2:$G$181),ROW($A$1:$A$180)),ROW(E17))),"")</f>
        <v/>
      </c>
    </row>
    <row r="21" spans="1:25" x14ac:dyDescent="0.3">
      <c r="A21" s="78"/>
      <c r="B21" s="82"/>
      <c r="C21" s="10" t="s">
        <v>2</v>
      </c>
      <c r="D21" s="10">
        <v>28</v>
      </c>
      <c r="E21" s="10">
        <v>34</v>
      </c>
      <c r="F21" s="68">
        <f t="shared" ref="F21" si="16">(AVERAGEIF(D21:E21,"&gt;0",D21:E21))*10^4*100/8</f>
        <v>3875000</v>
      </c>
      <c r="G21" s="6"/>
      <c r="H21" s="5">
        <f t="array" ref="H21">IFERROR(INDEX($F$2:$F$181,SMALL(IF($G$2:$G$181=5,ROW($A$1:$A$163),""),ROW(A3))),"")</f>
        <v>2312500</v>
      </c>
      <c r="I21" s="5">
        <f>AVERAGE(H19:H21)</f>
        <v>3750000</v>
      </c>
      <c r="J21" s="35">
        <f>STDEV(H19:H21)</f>
        <v>1699034.6523835233</v>
      </c>
      <c r="K21" s="37" t="str">
        <f t="array" ref="K21">IFERROR(INDEX($I$2:$I$81,SMALL(IF(ISNUMBER($I$2:$I$81),ROW($A$1:$A$80),""),ROW(A20))),"")</f>
        <v/>
      </c>
      <c r="L21" s="37" t="str">
        <f t="array" ref="L21">IFERROR(INDEX($J$2:$J$81,SMALL(IF(ISNUMBER($J$2:$J$81),ROW($A$1:$A$80),""),ROW(A20))),"")</f>
        <v/>
      </c>
      <c r="M21" s="60"/>
      <c r="N21" s="8" t="str">
        <f t="array" ref="N21">IFERROR(INDEX($F$2:$F$181,SMALL(_xlfn.IFS($G$2:$G$181&lt;$N$2,"",$G$2:$G$181&gt;$N$3,"",ISNUMBER($G$2:$G$181),ROW($A$1:$A$180)),ROW(A18))),"")</f>
        <v/>
      </c>
      <c r="O21" s="8" t="str">
        <f t="array" ref="O21">IFERROR(INDEX($F$2:$F$181,SMALL(_xlfn.IFS($G$2:$G$181&lt;$O$2,"",$G$2:$G$181&gt;$O$3,"",ISNUMBER($G$2:$G$181),ROW($A$1:$A$180)),ROW(A18))),"")</f>
        <v/>
      </c>
      <c r="P21" s="8" t="str">
        <f t="array" ref="P21">IFERROR(INDEX($F$2:$F$181,SMALL(_xlfn.IFS($G$2:$G$181&lt;$P$2,"",$G$2:$G$181&gt;$P$3,"",ISNUMBER($G$2:$G$181),ROW($A$1:$A$180)),ROW(A18))),"")</f>
        <v/>
      </c>
      <c r="Q21" s="8" t="str">
        <f t="array" ref="Q21">IFERROR(INDEX($F$2:$F$181,SMALL(_xlfn.IFS($G$2:$G$181&lt;$Q$2,"",$G$2:$G$181&gt;$Q$3,"",ISNUMBER($G$2:$G$181),ROW($A$1:$A$180)),ROW(A18))),"")</f>
        <v/>
      </c>
      <c r="R21" s="8" t="str">
        <f t="array" ref="R21">IFERROR(INDEX($F$2:$F$181,SMALL(_xlfn.IFS($G$2:$G$181&lt;$R$2,"",$G$2:$G$181&gt;$R$3,"",ISNUMBER($G$2:$G$181),ROW($A$1:$A$180)),ROW(A18))),"")</f>
        <v/>
      </c>
      <c r="S21" s="9" t="str">
        <f t="array" ref="S21">IFERROR(INDEX($F$2:$F$181,SMALL(_xlfn.IFS($G$2:$G$181&lt;$S$2,"",$G$2:$G$181&gt;$S$3,"",ISNUMBER($G$2:$G$181),ROW($A$1:$A$180)),ROW(A18))),"")</f>
        <v/>
      </c>
      <c r="T21" s="5" t="str">
        <f t="array" ref="T21">IFERROR(INDEX($F$2:$F$181,SMALL(_xlfn.IFS($G$2:$G$181&lt;$T$2,"",$G$2:$G$181&gt;$T$3,"",ISNUMBER($G$2:$G$181),ROW($A$1:$A$180)),ROW(A18))),"")</f>
        <v/>
      </c>
      <c r="U21" s="5" t="str">
        <f t="array" ref="U21">IFERROR(INDEX($F$2:$F$181,SMALL(_xlfn.IFS($G$2:$G$181&lt;$U$2,"",$G$2:$G$181&gt;$U$3,"",ISNUMBER($G$2:$G$181),ROW($A$1:$A$180)),ROW(A18))),"")</f>
        <v/>
      </c>
      <c r="V21" s="5" t="str" cm="1">
        <f t="array" ref="V21">IFERROR(INDEX($F$2:$F$181,SMALL(_xlfn.IFS($G$2:$G$181&lt;V$2,"",$G$2:$G$181&gt;V$3,"",ISNUMBER($G$2:$G$181),ROW($A$1:$A$180)),ROW(B18))),"")</f>
        <v/>
      </c>
      <c r="W21" s="5" t="str" cm="1">
        <f t="array" ref="W21">IFERROR(INDEX($F$2:$F$181,SMALL(_xlfn.IFS($G$2:$G$181&lt;W$2,"",$G$2:$G$181&gt;W$3,"",ISNUMBER($G$2:$G$181),ROW($A$1:$A$180)),ROW(C18))),"")</f>
        <v/>
      </c>
      <c r="X21" s="5" t="str" cm="1">
        <f t="array" ref="X21">IFERROR(INDEX($F$2:$F$181,SMALL(_xlfn.IFS($G$2:$G$181&lt;X$2,"",$G$2:$G$181&gt;X$3,"",ISNUMBER($G$2:$G$181),ROW($A$1:$A$180)),ROW(D18))),"")</f>
        <v/>
      </c>
      <c r="Y21" s="5" t="str" cm="1">
        <f t="array" ref="Y21">IFERROR(INDEX($F$2:$F$181,SMALL(_xlfn.IFS($G$2:$G$181&lt;Y$2,"",$G$2:$G$181&gt;Y$3,"",ISNUMBER($G$2:$G$181),ROW($A$1:$A$180)),ROW(E18))),"")</f>
        <v/>
      </c>
    </row>
    <row r="22" spans="1:25" ht="14.55" thickBot="1" x14ac:dyDescent="0.35">
      <c r="A22" s="78"/>
      <c r="B22" s="83"/>
      <c r="C22" s="11" t="s">
        <v>3</v>
      </c>
      <c r="D22" s="11">
        <v>5</v>
      </c>
      <c r="E22" s="11">
        <v>4</v>
      </c>
      <c r="F22" s="69">
        <f t="shared" ref="F22" si="17">(AVERAGEIF(D22:E22,"&gt;0",D22:E22))*10^5*100/8</f>
        <v>5625000</v>
      </c>
      <c r="G22" s="6">
        <v>5</v>
      </c>
      <c r="H22" s="5" t="s">
        <v>16</v>
      </c>
      <c r="J22" s="36"/>
      <c r="K22" s="37" t="str">
        <f t="array" ref="K22">IFERROR(INDEX($I$2:$I$81,SMALL(IF(ISNUMBER($I$2:$I$81),ROW($A$1:$A$80),""),ROW(A21))),"")</f>
        <v/>
      </c>
      <c r="L22" s="37" t="str">
        <f t="array" ref="L22">IFERROR(INDEX($J$2:$J$81,SMALL(IF(ISNUMBER($J$2:$J$81),ROW($A$1:$A$80),""),ROW(A21))),"")</f>
        <v/>
      </c>
      <c r="M22" s="61"/>
      <c r="N22" s="42" t="s">
        <v>35</v>
      </c>
      <c r="O22" s="42" t="s">
        <v>36</v>
      </c>
      <c r="P22" s="42" t="s">
        <v>37</v>
      </c>
      <c r="Q22" s="42" t="s">
        <v>38</v>
      </c>
      <c r="R22" s="43" t="s">
        <v>39</v>
      </c>
      <c r="S22" s="43" t="s">
        <v>40</v>
      </c>
      <c r="T22" s="41" t="s">
        <v>41</v>
      </c>
      <c r="U22" s="41" t="s">
        <v>42</v>
      </c>
      <c r="V22" s="41" t="s">
        <v>42</v>
      </c>
      <c r="W22" s="41" t="s">
        <v>42</v>
      </c>
      <c r="X22" s="41" t="s">
        <v>42</v>
      </c>
      <c r="Y22" s="41" t="s">
        <v>42</v>
      </c>
    </row>
    <row r="23" spans="1:25" ht="14.55" thickTop="1" x14ac:dyDescent="0.3">
      <c r="A23" s="78"/>
      <c r="B23" s="84">
        <v>2</v>
      </c>
      <c r="C23" s="7" t="s">
        <v>4</v>
      </c>
      <c r="D23" s="54"/>
      <c r="E23" s="54"/>
      <c r="F23" s="67" t="e">
        <f t="shared" ref="F23" si="18">(AVERAGEIF(D23:E23,"&gt;0",D23:E23))*10^3*100/8</f>
        <v>#DIV/0!</v>
      </c>
      <c r="G23" s="6"/>
      <c r="H23" s="5">
        <f t="array" ref="H23">IFERROR(INDEX($F$2:$F$181,SMALL(IF($G$2:$G$181=6,ROW($A$1:$A$163),""),ROW(A1))),"")</f>
        <v>368750</v>
      </c>
      <c r="J23" s="36"/>
      <c r="K23" s="37" t="str">
        <f t="array" ref="K23">IFERROR(INDEX($I$2:$I$81,SMALL(IF(ISNUMBER($I$2:$I$81),ROW($A$1:$A$80),""),ROW(A22))),"")</f>
        <v/>
      </c>
      <c r="L23" s="37" t="str">
        <f t="array" ref="L23">IFERROR(INDEX($J$2:$J$81,SMALL(IF(ISNUMBER($J$2:$J$81),ROW($A$1:$A$80),""),ROW(A22))),"")</f>
        <v/>
      </c>
      <c r="M23" s="61"/>
      <c r="N23" s="8">
        <f>AVERAGE(N4:N21)</f>
        <v>27916666.666666668</v>
      </c>
      <c r="O23" s="8">
        <f t="shared" ref="O23:Y23" si="19">AVERAGE(O4:O21)</f>
        <v>310416.66666666669</v>
      </c>
      <c r="P23" s="8">
        <f t="shared" si="19"/>
        <v>8166666.666666667</v>
      </c>
      <c r="Q23" s="8">
        <f t="shared" si="19"/>
        <v>3366666.6666666665</v>
      </c>
      <c r="R23" s="8">
        <f t="shared" si="19"/>
        <v>3750000</v>
      </c>
      <c r="S23" s="8">
        <f t="shared" si="19"/>
        <v>240833.33333333334</v>
      </c>
      <c r="T23" s="8">
        <f t="shared" si="19"/>
        <v>13437500</v>
      </c>
      <c r="U23" s="8">
        <f t="shared" si="19"/>
        <v>11062500</v>
      </c>
      <c r="V23" s="8" t="e">
        <f t="shared" si="19"/>
        <v>#DIV/0!</v>
      </c>
      <c r="W23" s="8" t="e">
        <f t="shared" si="19"/>
        <v>#DIV/0!</v>
      </c>
      <c r="X23" s="8" t="e">
        <f t="shared" si="19"/>
        <v>#DIV/0!</v>
      </c>
      <c r="Y23" s="8" t="e">
        <f t="shared" si="19"/>
        <v>#DIV/0!</v>
      </c>
    </row>
    <row r="24" spans="1:25" x14ac:dyDescent="0.3">
      <c r="A24" s="78"/>
      <c r="B24" s="82"/>
      <c r="C24" s="10" t="s">
        <v>2</v>
      </c>
      <c r="D24" s="10">
        <v>26</v>
      </c>
      <c r="E24" s="10">
        <v>27</v>
      </c>
      <c r="F24" s="68">
        <f t="shared" ref="F24" si="20">(AVERAGEIF(D24:E24,"&gt;0",D24:E24))*10^4*100/8</f>
        <v>3312500</v>
      </c>
      <c r="G24" s="6">
        <v>5</v>
      </c>
      <c r="H24" s="5">
        <f t="array" ref="H24">IFERROR(INDEX($F$2:$F$181,SMALL(IF($G$2:$G$181=6,ROW($A$1:$A$163),""),ROW(A2))),"")</f>
        <v>198750</v>
      </c>
      <c r="J24" s="36"/>
      <c r="K24" s="37" t="str">
        <f t="array" ref="K24">IFERROR(INDEX($I$2:$I$81,SMALL(IF(ISNUMBER($I$2:$I$81),ROW($A$1:$A$80),""),ROW(A23))),"")</f>
        <v/>
      </c>
      <c r="L24" s="37" t="str">
        <f t="array" ref="L24">IFERROR(INDEX($J$2:$J$81,SMALL(IF(ISNUMBER($J$2:$J$81),ROW($A$1:$A$80),""),ROW(A23))),"")</f>
        <v/>
      </c>
      <c r="M24" s="61"/>
      <c r="N24" s="42" t="s">
        <v>43</v>
      </c>
      <c r="O24" s="42" t="s">
        <v>44</v>
      </c>
      <c r="P24" s="42" t="s">
        <v>45</v>
      </c>
      <c r="Q24" s="42" t="s">
        <v>46</v>
      </c>
      <c r="R24" s="43" t="s">
        <v>47</v>
      </c>
      <c r="S24" s="43" t="s">
        <v>48</v>
      </c>
      <c r="T24" s="41" t="s">
        <v>50</v>
      </c>
      <c r="U24" s="41" t="s">
        <v>49</v>
      </c>
      <c r="V24" s="41" t="s">
        <v>49</v>
      </c>
      <c r="W24" s="41" t="s">
        <v>49</v>
      </c>
      <c r="X24" s="41" t="s">
        <v>49</v>
      </c>
      <c r="Y24" s="41" t="s">
        <v>49</v>
      </c>
    </row>
    <row r="25" spans="1:25" ht="14.55" thickBot="1" x14ac:dyDescent="0.35">
      <c r="A25" s="78"/>
      <c r="B25" s="83"/>
      <c r="C25" s="11" t="s">
        <v>3</v>
      </c>
      <c r="D25" s="11">
        <v>2</v>
      </c>
      <c r="E25" s="11"/>
      <c r="F25" s="69">
        <f t="shared" ref="F25" si="21">(AVERAGEIF(D25:E25,"&gt;0",D25:E25))*10^5*100/8</f>
        <v>2500000</v>
      </c>
      <c r="G25" s="6"/>
      <c r="H25" s="5">
        <f t="array" ref="H25">IFERROR(INDEX($F$2:$F$181,SMALL(IF($G$2:$G$181=6,ROW($A$1:$A$163),""),ROW(A3))),"")</f>
        <v>155000</v>
      </c>
      <c r="I25" s="5">
        <f>AVERAGE(H23:H25)</f>
        <v>240833.33333333334</v>
      </c>
      <c r="J25" s="35">
        <f>STDEV(H23:H25)</f>
        <v>112918.20417157425</v>
      </c>
      <c r="K25" s="37" t="str">
        <f t="array" ref="K25">IFERROR(INDEX($I$2:$I$81,SMALL(IF(ISNUMBER($I$2:$I$81),ROW($A$1:$A$80),""),ROW(A24))),"")</f>
        <v/>
      </c>
      <c r="L25" s="37" t="str">
        <f t="array" ref="L25">IFERROR(INDEX($J$2:$J$81,SMALL(IF(ISNUMBER($J$2:$J$81),ROW($A$1:$A$80),""),ROW(A24))),"")</f>
        <v/>
      </c>
      <c r="M25" s="61"/>
      <c r="N25" s="13">
        <f t="shared" ref="N25:P25" si="22">STDEV(N4:N21)</f>
        <v>11116101.309961746</v>
      </c>
      <c r="O25" s="13">
        <f t="shared" si="22"/>
        <v>112557.85549366754</v>
      </c>
      <c r="P25" s="13">
        <f t="shared" si="22"/>
        <v>1876388.3748662823</v>
      </c>
      <c r="Q25" s="13">
        <f>STDEV(Q4:Q21)</f>
        <v>326279.53250753158</v>
      </c>
      <c r="R25" s="13">
        <f t="shared" ref="R25:Y25" si="23">STDEV(R4:R21)</f>
        <v>1699034.6523835233</v>
      </c>
      <c r="S25" s="13">
        <f t="shared" si="23"/>
        <v>112918.20417157425</v>
      </c>
      <c r="T25" s="13">
        <f t="shared" si="23"/>
        <v>2844265.0632456886</v>
      </c>
      <c r="U25" s="13">
        <f t="shared" si="23"/>
        <v>1084334.473306092</v>
      </c>
      <c r="V25" s="13" t="e">
        <f t="shared" si="23"/>
        <v>#DIV/0!</v>
      </c>
      <c r="W25" s="13" t="e">
        <f t="shared" si="23"/>
        <v>#DIV/0!</v>
      </c>
      <c r="X25" s="13" t="e">
        <f t="shared" si="23"/>
        <v>#DIV/0!</v>
      </c>
      <c r="Y25" s="13" t="e">
        <f t="shared" si="23"/>
        <v>#DIV/0!</v>
      </c>
    </row>
    <row r="26" spans="1:25" ht="14.55" thickTop="1" x14ac:dyDescent="0.3">
      <c r="A26" s="78"/>
      <c r="B26" s="84">
        <v>3</v>
      </c>
      <c r="C26" s="7" t="s">
        <v>4</v>
      </c>
      <c r="D26" s="54"/>
      <c r="E26" s="54"/>
      <c r="F26" s="67" t="e">
        <f t="shared" ref="F26" si="24">(AVERAGEIF(D26:E26,"&gt;0",D26:E26))*10^3*100/8</f>
        <v>#DIV/0!</v>
      </c>
      <c r="G26" s="6"/>
      <c r="H26" s="5" t="s">
        <v>17</v>
      </c>
      <c r="J26" s="36"/>
      <c r="K26" s="37" t="str">
        <f t="array" ref="K26">IFERROR(INDEX($I$2:$I$81,SMALL(IF(ISNUMBER($I$2:$I$81),ROW($A$1:$A$80),""),ROW(A25))),"")</f>
        <v/>
      </c>
      <c r="L26" s="37" t="str">
        <f t="array" ref="L26">IFERROR(INDEX($J$2:$J$81,SMALL(IF(ISNUMBER($J$2:$J$81),ROW($A$1:$A$80),""),ROW(A25))),"")</f>
        <v/>
      </c>
      <c r="M26" s="60"/>
      <c r="N26" s="13"/>
      <c r="O26" s="8"/>
      <c r="P26" s="8"/>
      <c r="Q26" s="8"/>
      <c r="R26" s="9"/>
      <c r="S26" s="9"/>
    </row>
    <row r="27" spans="1:25" x14ac:dyDescent="0.3">
      <c r="A27" s="78"/>
      <c r="B27" s="82"/>
      <c r="C27" s="10" t="s">
        <v>2</v>
      </c>
      <c r="D27" s="10">
        <v>20</v>
      </c>
      <c r="E27" s="10">
        <v>17</v>
      </c>
      <c r="F27" s="68">
        <f t="shared" ref="F27" si="25">(AVERAGEIF(D27:E27,"&gt;0",D27:E27))*10^4*100/8</f>
        <v>2312500</v>
      </c>
      <c r="G27" s="6">
        <v>5</v>
      </c>
      <c r="H27" s="5">
        <f t="array" ref="H27">IFERROR(INDEX($F$2:$F$181,SMALL(IF($G$2:$G$181=7,ROW($A$1:$A$163),""),ROW(A1))),"")</f>
        <v>10562500</v>
      </c>
      <c r="J27" s="36"/>
      <c r="K27" s="37" t="str">
        <f t="array" ref="K27">IFERROR(INDEX($I$2:$I$81,SMALL(IF(ISNUMBER($I$2:$I$81),ROW($A$1:$A$80),""),ROW(A26))),"")</f>
        <v/>
      </c>
      <c r="L27" s="37" t="str">
        <f t="array" ref="L27">IFERROR(INDEX($J$2:$J$81,SMALL(IF(ISNUMBER($J$2:$J$81),ROW($A$1:$A$80),""),ROW(A26))),"")</f>
        <v/>
      </c>
      <c r="M27" s="60"/>
      <c r="N27" s="13"/>
      <c r="O27" s="8"/>
      <c r="P27" s="8"/>
      <c r="Q27" s="8"/>
      <c r="R27" s="9"/>
      <c r="S27" s="9"/>
    </row>
    <row r="28" spans="1:25" ht="14.55" thickBot="1" x14ac:dyDescent="0.35">
      <c r="A28" s="79"/>
      <c r="B28" s="85"/>
      <c r="C28" s="31" t="s">
        <v>3</v>
      </c>
      <c r="D28" s="31">
        <v>2</v>
      </c>
      <c r="E28" s="31">
        <v>2</v>
      </c>
      <c r="F28" s="69">
        <f t="shared" ref="F28" si="26">(AVERAGEIF(D28:E28,"&gt;0",D28:E28))*10^5*100/8</f>
        <v>2500000</v>
      </c>
      <c r="G28" s="6"/>
      <c r="H28" s="5">
        <f t="array" ref="H28">IFERROR(INDEX($F$2:$F$181,SMALL(IF($G$2:$G$181=7,ROW($A$1:$A$163),""),ROW(A2))),"")</f>
        <v>13500000</v>
      </c>
      <c r="J28" s="36"/>
      <c r="K28" s="12"/>
      <c r="L28" s="37" t="str">
        <f t="array" ref="L28">IFERROR(INDEX($J$2:$J$81,SMALL(IF(ISNUMBER($J$2:$J$81),ROW($A$1:$A$80),""),ROW(A27))),"")</f>
        <v/>
      </c>
      <c r="M28" s="60"/>
      <c r="N28" s="13"/>
      <c r="O28" s="8">
        <f>N23/O23</f>
        <v>89.932885906040269</v>
      </c>
      <c r="P28" s="8"/>
      <c r="Q28" s="8">
        <f t="shared" ref="Q28:U28" si="27">P23/Q23</f>
        <v>2.4257425742574261</v>
      </c>
      <c r="R28" s="8"/>
      <c r="S28" s="8">
        <f t="shared" si="27"/>
        <v>15.570934256055363</v>
      </c>
      <c r="T28" s="8"/>
      <c r="U28" s="8">
        <f t="shared" si="27"/>
        <v>1.2146892655367232</v>
      </c>
      <c r="W28" s="5" t="e">
        <f>V23/W23</f>
        <v>#DIV/0!</v>
      </c>
      <c r="Y28" s="5" t="e">
        <f>X23/Y23</f>
        <v>#DIV/0!</v>
      </c>
    </row>
    <row r="29" spans="1:25" ht="14.55" thickTop="1" x14ac:dyDescent="0.3">
      <c r="A29" s="77" t="s">
        <v>61</v>
      </c>
      <c r="B29" s="81">
        <v>1</v>
      </c>
      <c r="C29" s="26" t="s">
        <v>4</v>
      </c>
      <c r="D29" s="53"/>
      <c r="E29" s="53"/>
      <c r="F29" s="67" t="e">
        <f t="shared" ref="F29" si="28">(AVERAGEIF(D29:E29,"&gt;0",D29:E29))*10^3*100/8</f>
        <v>#DIV/0!</v>
      </c>
      <c r="G29" s="6"/>
      <c r="H29" s="5">
        <f t="array" ref="H29">IFERROR(INDEX($F$2:$F$181,SMALL(IF($G$2:$G$181=7,ROW($A$1:$A$163),""),ROW(A3))),"")</f>
        <v>16250000</v>
      </c>
      <c r="I29" s="5">
        <f>AVERAGE(H27:H29)</f>
        <v>13437500</v>
      </c>
      <c r="J29" s="35">
        <f>STDEV(H27:H29)</f>
        <v>2844265.0632456886</v>
      </c>
      <c r="K29" s="12"/>
      <c r="L29" s="37" t="str">
        <f t="array" ref="L29">IFERROR(INDEX($J$2:$J$81,SMALL(IF(ISNUMBER($J$2:$J$81),ROW($A$1:$A$80),""),ROW(A28))),"")</f>
        <v/>
      </c>
      <c r="M29" s="60"/>
      <c r="N29" s="13"/>
      <c r="O29" s="8"/>
      <c r="P29" s="8"/>
      <c r="Q29" s="8"/>
      <c r="R29" s="8"/>
      <c r="S29" s="8">
        <f>S23/$O$23</f>
        <v>0.77583892617449668</v>
      </c>
      <c r="T29" s="8"/>
      <c r="U29" s="8">
        <f t="shared" ref="U29:Y29" si="29">U23/$O$23</f>
        <v>35.63758389261745</v>
      </c>
      <c r="V29" s="8"/>
      <c r="W29" s="8" t="e">
        <f t="shared" si="29"/>
        <v>#DIV/0!</v>
      </c>
      <c r="X29" s="8"/>
      <c r="Y29" s="8" t="e">
        <f t="shared" si="29"/>
        <v>#DIV/0!</v>
      </c>
    </row>
    <row r="30" spans="1:25" x14ac:dyDescent="0.3">
      <c r="A30" s="78"/>
      <c r="B30" s="82"/>
      <c r="C30" s="10" t="s">
        <v>2</v>
      </c>
      <c r="D30" s="10">
        <v>78</v>
      </c>
      <c r="E30" s="10">
        <v>91</v>
      </c>
      <c r="F30" s="68">
        <f t="shared" ref="F30" si="30">(AVERAGEIF(D30:E30,"&gt;0",D30:E30))*10^4*100/8</f>
        <v>10562500</v>
      </c>
      <c r="G30" s="6">
        <v>7</v>
      </c>
      <c r="H30" s="5" t="s">
        <v>18</v>
      </c>
      <c r="J30" s="36"/>
      <c r="K30" s="12"/>
      <c r="L30" s="37" t="str">
        <f t="array" ref="L30">IFERROR(INDEX($J$2:$J$81,SMALL(IF(ISNUMBER($J$2:$J$81),ROW($A$1:$A$80),""),ROW(A29))),"")</f>
        <v/>
      </c>
      <c r="M30" s="37"/>
      <c r="N30" s="13"/>
      <c r="O30" s="8"/>
      <c r="P30" s="8"/>
      <c r="Q30" s="8"/>
      <c r="R30" s="9"/>
      <c r="S30" s="9"/>
    </row>
    <row r="31" spans="1:25" ht="14.55" thickBot="1" x14ac:dyDescent="0.35">
      <c r="A31" s="78"/>
      <c r="B31" s="83"/>
      <c r="C31" s="11" t="s">
        <v>3</v>
      </c>
      <c r="D31" s="11">
        <v>7</v>
      </c>
      <c r="E31" s="11"/>
      <c r="F31" s="69">
        <f t="shared" ref="F31" si="31">(AVERAGEIF(D31:E31,"&gt;0",D31:E31))*10^5*100/8</f>
        <v>8750000</v>
      </c>
      <c r="G31" s="6"/>
      <c r="H31" s="5">
        <f t="array" ref="H31">IFERROR(INDEX($F$2:$F$181,SMALL(IF($G$2:$G$181=8,ROW($A$1:$A$163),""),ROW(A1))),"")</f>
        <v>10125000</v>
      </c>
      <c r="J31" s="36"/>
      <c r="K31" s="12"/>
      <c r="L31" s="37" t="str">
        <f t="array" ref="L31">IFERROR(INDEX($J$2:$J$81,SMALL(IF(ISNUMBER($J$2:$J$81),ROW($A$1:$A$80),""),ROW(A30))),"")</f>
        <v/>
      </c>
      <c r="M31" s="37"/>
      <c r="N31" s="13"/>
      <c r="O31" s="8"/>
      <c r="P31" s="8"/>
      <c r="Q31" s="8"/>
      <c r="R31" s="9"/>
      <c r="S31" s="9"/>
      <c r="T31" s="8"/>
      <c r="U31" s="8"/>
    </row>
    <row r="32" spans="1:25" ht="14.55" thickTop="1" x14ac:dyDescent="0.3">
      <c r="A32" s="78"/>
      <c r="B32" s="84">
        <v>2</v>
      </c>
      <c r="C32" s="7" t="s">
        <v>4</v>
      </c>
      <c r="D32" s="54"/>
      <c r="E32" s="54"/>
      <c r="F32" s="67" t="e">
        <f t="shared" ref="F32" si="32">(AVERAGEIF(D32:E32,"&gt;0",D32:E32))*10^3*100/8</f>
        <v>#DIV/0!</v>
      </c>
      <c r="G32" s="6"/>
      <c r="H32" s="5">
        <f t="array" ref="H32">IFERROR(INDEX($F$2:$F$181,SMALL(IF($G$2:$G$181=8,ROW($A$1:$A$163),""),ROW(A2))),"")</f>
        <v>10812500</v>
      </c>
      <c r="J32" s="36"/>
      <c r="K32" s="12"/>
      <c r="L32" s="37" t="str">
        <f t="array" ref="L32">IFERROR(INDEX($J$2:$J$81,SMALL(IF(ISNUMBER($J$2:$J$81),ROW($A$1:$A$80),""),ROW(A31))),"")</f>
        <v/>
      </c>
      <c r="M32" s="37"/>
      <c r="N32" s="13"/>
      <c r="O32" s="8"/>
      <c r="P32" s="8"/>
      <c r="Q32" s="8"/>
      <c r="R32" s="9"/>
      <c r="S32" s="9"/>
      <c r="T32" s="13"/>
      <c r="U32" s="13"/>
    </row>
    <row r="33" spans="1:19" x14ac:dyDescent="0.3">
      <c r="A33" s="78"/>
      <c r="B33" s="82"/>
      <c r="C33" s="10" t="s">
        <v>2</v>
      </c>
      <c r="D33" s="10">
        <v>108</v>
      </c>
      <c r="E33" s="10">
        <v>108</v>
      </c>
      <c r="F33" s="68">
        <f t="shared" ref="F33" si="33">(AVERAGEIF(D33:E33,"&gt;0",D33:E33))*10^4*100/8</f>
        <v>13500000</v>
      </c>
      <c r="G33" s="6">
        <v>7</v>
      </c>
      <c r="H33" s="5">
        <f t="array" ref="H33">IFERROR(INDEX($F$2:$F$181,SMALL(IF($G$2:$G$181=8,ROW($A$1:$A$163),""),ROW(A3))),"")</f>
        <v>12250000</v>
      </c>
      <c r="I33" s="5">
        <f>AVERAGE(H31:H33)</f>
        <v>11062500</v>
      </c>
      <c r="J33" s="35">
        <f>STDEV(H31:H33)</f>
        <v>1084334.473306092</v>
      </c>
      <c r="K33" s="12"/>
      <c r="L33" s="37" t="str">
        <f t="array" ref="L33">IFERROR(INDEX($J$2:$J$81,SMALL(IF(ISNUMBER($J$2:$J$81),ROW($A$1:$A$80),""),ROW(A32))),"")</f>
        <v/>
      </c>
      <c r="M33" s="60"/>
      <c r="N33" s="13"/>
      <c r="O33" s="8"/>
      <c r="P33" s="8"/>
      <c r="Q33" s="8"/>
      <c r="R33" s="9"/>
      <c r="S33" s="9"/>
    </row>
    <row r="34" spans="1:19" ht="14.55" thickBot="1" x14ac:dyDescent="0.35">
      <c r="A34" s="78"/>
      <c r="B34" s="83"/>
      <c r="C34" s="11" t="s">
        <v>3</v>
      </c>
      <c r="D34" s="11">
        <v>10</v>
      </c>
      <c r="E34" s="11">
        <v>16</v>
      </c>
      <c r="F34" s="69">
        <f t="shared" ref="F34" si="34">(AVERAGEIF(D34:E34,"&gt;0",D34:E34))*10^5*100/8</f>
        <v>16250000</v>
      </c>
      <c r="G34" s="6"/>
      <c r="H34" s="5" t="s">
        <v>19</v>
      </c>
      <c r="J34" s="36"/>
      <c r="K34" s="12"/>
      <c r="L34" s="37" t="str">
        <f t="array" ref="L34">IFERROR(INDEX($J$2:$J$81,SMALL(IF(ISNUMBER($J$2:$J$81),ROW($A$1:$A$80),""),ROW(A33))),"")</f>
        <v/>
      </c>
      <c r="M34" s="60"/>
      <c r="N34" s="13"/>
      <c r="O34" s="8"/>
      <c r="P34" s="8"/>
      <c r="Q34" s="8"/>
      <c r="R34" s="9"/>
      <c r="S34" s="9"/>
    </row>
    <row r="35" spans="1:19" ht="14.55" thickTop="1" x14ac:dyDescent="0.3">
      <c r="A35" s="78"/>
      <c r="B35" s="84">
        <v>3</v>
      </c>
      <c r="C35" s="7" t="s">
        <v>4</v>
      </c>
      <c r="D35" s="54"/>
      <c r="E35" s="54"/>
      <c r="F35" s="67" t="e">
        <f t="shared" ref="F35" si="35">(AVERAGEIF(D35:E35,"&gt;0",D35:E35))*10^3*100/8</f>
        <v>#DIV/0!</v>
      </c>
      <c r="G35" s="6"/>
      <c r="H35" s="5" t="str">
        <f t="array" ref="H35">IFERROR(INDEX($F$2:$F$181,SMALL(IF($G$2:$G$181=9,ROW($A$1:$A$163),""),ROW(A1))),"")</f>
        <v/>
      </c>
      <c r="J35" s="36"/>
      <c r="K35" s="12"/>
      <c r="L35" s="37" t="str">
        <f t="array" ref="L35">IFERROR(INDEX($J$2:$J$81,SMALL(IF(ISNUMBER($J$2:$J$81),ROW($A$1:$A$80),""),ROW(A34))),"")</f>
        <v/>
      </c>
      <c r="M35" s="60"/>
      <c r="N35" s="13"/>
      <c r="O35" s="8"/>
      <c r="P35" s="8"/>
      <c r="Q35" s="8"/>
      <c r="R35" s="9"/>
      <c r="S35" s="9"/>
    </row>
    <row r="36" spans="1:19" x14ac:dyDescent="0.3">
      <c r="A36" s="78"/>
      <c r="B36" s="82"/>
      <c r="C36" s="10" t="s">
        <v>2</v>
      </c>
      <c r="D36" s="10">
        <v>95</v>
      </c>
      <c r="E36" s="10">
        <v>90</v>
      </c>
      <c r="F36" s="68">
        <f t="shared" ref="F36" si="36">(AVERAGEIF(D36:E36,"&gt;0",D36:E36))*10^4*100/8</f>
        <v>11562500</v>
      </c>
      <c r="G36" s="6"/>
      <c r="H36" s="5" t="str">
        <f t="array" ref="H36">IFERROR(INDEX($F$2:$F$181,SMALL(IF($G$2:$G$181=9,ROW($A$1:$A$163),""),ROW(A2))),"")</f>
        <v/>
      </c>
      <c r="J36" s="36"/>
      <c r="K36" s="12"/>
      <c r="L36" s="12"/>
      <c r="M36" s="62"/>
      <c r="N36" s="13"/>
      <c r="O36" s="8"/>
      <c r="P36" s="8"/>
      <c r="Q36" s="8"/>
      <c r="R36" s="9"/>
      <c r="S36" s="9"/>
    </row>
    <row r="37" spans="1:19" ht="14.55" thickBot="1" x14ac:dyDescent="0.35">
      <c r="A37" s="79"/>
      <c r="B37" s="85"/>
      <c r="C37" s="31" t="s">
        <v>3</v>
      </c>
      <c r="D37" s="31">
        <v>16</v>
      </c>
      <c r="E37" s="31">
        <v>10</v>
      </c>
      <c r="F37" s="69">
        <f t="shared" ref="F37" si="37">(AVERAGEIF(D37:E37,"&gt;0",D37:E37))*10^5*100/8</f>
        <v>16250000</v>
      </c>
      <c r="G37" s="6">
        <v>7</v>
      </c>
      <c r="H37" s="5" t="str">
        <f t="array" ref="H37">IFERROR(INDEX($F$2:$F$181,SMALL(IF($G$2:$G$181=9,ROW($A$1:$A$163),""),ROW(A3))),"")</f>
        <v/>
      </c>
      <c r="I37" s="5" t="e">
        <f>AVERAGE(H35:H37)</f>
        <v>#DIV/0!</v>
      </c>
      <c r="J37" s="35" t="e">
        <f>STDEV(H35:H37)</f>
        <v>#DIV/0!</v>
      </c>
      <c r="K37" s="12"/>
      <c r="L37" s="12"/>
      <c r="M37" s="62"/>
      <c r="N37" s="13"/>
      <c r="O37" s="8"/>
      <c r="P37" s="8"/>
      <c r="Q37" s="8"/>
      <c r="R37" s="9"/>
      <c r="S37" s="9"/>
    </row>
    <row r="38" spans="1:19" ht="14.55" thickTop="1" x14ac:dyDescent="0.3">
      <c r="A38" s="80" t="s">
        <v>55</v>
      </c>
      <c r="B38" s="72">
        <v>1</v>
      </c>
      <c r="C38" s="7" t="s">
        <v>53</v>
      </c>
      <c r="D38" s="26"/>
      <c r="E38" s="26"/>
      <c r="F38" s="67" t="e">
        <f>(AVERAGEIF(D38:E38,"&gt;0",D38:E38))*10^2*100/8</f>
        <v>#DIV/0!</v>
      </c>
      <c r="G38" s="6"/>
      <c r="H38" s="5" t="s">
        <v>20</v>
      </c>
      <c r="J38" s="36"/>
      <c r="K38" s="12"/>
      <c r="L38" s="12"/>
      <c r="M38" s="62"/>
      <c r="N38" s="13"/>
      <c r="O38" s="8"/>
      <c r="P38" s="13"/>
      <c r="Q38" s="13"/>
      <c r="R38" s="9"/>
      <c r="S38" s="9"/>
    </row>
    <row r="39" spans="1:19" x14ac:dyDescent="0.3">
      <c r="A39" s="78"/>
      <c r="B39" s="73"/>
      <c r="C39" s="10" t="s">
        <v>4</v>
      </c>
      <c r="D39" s="10">
        <v>34</v>
      </c>
      <c r="E39" s="10">
        <v>28</v>
      </c>
      <c r="F39" s="68">
        <f>(AVERAGEIF(D39:E39,"&gt;0",D39:E39))*10^3*100/8</f>
        <v>387500</v>
      </c>
      <c r="G39" s="6">
        <v>2</v>
      </c>
      <c r="H39" s="5" t="str">
        <f t="array" ref="H39">IFERROR(INDEX($F$2:$F$181,SMALL(IF($G$2:$G$181=10,ROW($A$1:$A$163),""),ROW(A1))),"")</f>
        <v/>
      </c>
      <c r="J39" s="36"/>
      <c r="K39" s="12"/>
      <c r="L39" s="12"/>
      <c r="M39" s="62"/>
      <c r="N39" s="13"/>
      <c r="O39" s="8"/>
      <c r="P39" s="13"/>
      <c r="Q39" s="13"/>
      <c r="R39" s="9"/>
      <c r="S39" s="9"/>
    </row>
    <row r="40" spans="1:19" ht="14.55" thickBot="1" x14ac:dyDescent="0.35">
      <c r="A40" s="78"/>
      <c r="B40" s="74"/>
      <c r="C40" s="31" t="s">
        <v>2</v>
      </c>
      <c r="D40" s="11"/>
      <c r="E40" s="11"/>
      <c r="F40" s="69" t="e">
        <f>(AVERAGEIF(D40:E40,"&gt;0",D40:E40))*10^4*100/8</f>
        <v>#DIV/0!</v>
      </c>
      <c r="G40" s="6"/>
      <c r="H40" s="5" t="str">
        <f t="array" ref="H40">IFERROR(INDEX($F$2:$F$181,SMALL(IF($G$2:$G$181=10,ROW($A$1:$A$163),""),ROW(A2))),"")</f>
        <v/>
      </c>
      <c r="J40" s="36"/>
      <c r="K40" s="12"/>
      <c r="L40" s="12"/>
      <c r="M40" s="62"/>
      <c r="N40" s="13"/>
      <c r="O40" s="8"/>
      <c r="P40" s="13"/>
      <c r="Q40" s="13"/>
      <c r="R40" s="9"/>
      <c r="S40" s="9"/>
    </row>
    <row r="41" spans="1:19" ht="14.55" thickTop="1" x14ac:dyDescent="0.3">
      <c r="A41" s="78"/>
      <c r="B41" s="75">
        <v>2</v>
      </c>
      <c r="C41" s="7" t="s">
        <v>53</v>
      </c>
      <c r="D41" s="7"/>
      <c r="E41" s="7"/>
      <c r="F41" s="67" t="e">
        <f t="shared" ref="F41" si="38">(AVERAGEIF(D41:E41,"&gt;0",D41:E41))*10^2*100/8</f>
        <v>#DIV/0!</v>
      </c>
      <c r="G41" s="6"/>
      <c r="H41" s="5" t="str">
        <f t="array" ref="H41">IFERROR(INDEX($F$2:$F$181,SMALL(IF($G$2:$G$181=10,ROW($A$1:$A$163),""),ROW(A3))),"")</f>
        <v/>
      </c>
      <c r="I41" s="5" t="e">
        <f>AVERAGE(H39:H41)</f>
        <v>#DIV/0!</v>
      </c>
      <c r="J41" s="35" t="e">
        <f>STDEV(H39:H41)</f>
        <v>#DIV/0!</v>
      </c>
      <c r="K41" s="12"/>
      <c r="L41" s="12"/>
      <c r="M41" s="62"/>
      <c r="N41" s="13"/>
      <c r="O41" s="8"/>
      <c r="P41" s="13"/>
      <c r="Q41" s="13"/>
      <c r="R41" s="9"/>
      <c r="S41" s="9"/>
    </row>
    <row r="42" spans="1:19" x14ac:dyDescent="0.3">
      <c r="A42" s="78"/>
      <c r="B42" s="73"/>
      <c r="C42" s="10" t="s">
        <v>4</v>
      </c>
      <c r="D42" s="10">
        <v>27</v>
      </c>
      <c r="E42" s="10">
        <v>31</v>
      </c>
      <c r="F42" s="68">
        <f t="shared" ref="F42" si="39">(AVERAGEIF(D42:E42,"&gt;0",D42:E42))*10^3*100/8</f>
        <v>362500</v>
      </c>
      <c r="G42" s="6">
        <v>2</v>
      </c>
      <c r="H42" s="5" t="s">
        <v>21</v>
      </c>
      <c r="J42" s="36"/>
      <c r="K42" s="12"/>
      <c r="L42" s="12"/>
      <c r="M42" s="62"/>
      <c r="N42" s="13"/>
      <c r="O42" s="8"/>
      <c r="P42" s="13"/>
      <c r="Q42" s="13"/>
      <c r="R42" s="9"/>
      <c r="S42" s="9"/>
    </row>
    <row r="43" spans="1:19" ht="14.55" thickBot="1" x14ac:dyDescent="0.35">
      <c r="A43" s="78"/>
      <c r="B43" s="74"/>
      <c r="C43" s="31" t="s">
        <v>2</v>
      </c>
      <c r="D43" s="11"/>
      <c r="E43" s="11"/>
      <c r="F43" s="69" t="e">
        <f t="shared" ref="F43" si="40">(AVERAGEIF(D43:E43,"&gt;0",D43:E43))*10^4*100/8</f>
        <v>#DIV/0!</v>
      </c>
      <c r="G43" s="6"/>
      <c r="H43" s="5" t="str">
        <f t="array" ref="H43">IFERROR(INDEX($F$2:$F$181,SMALL(IF($G$2:$G$181=11,ROW($A$1:$A$163),""),ROW(A1))),"")</f>
        <v/>
      </c>
      <c r="J43" s="36"/>
      <c r="K43" s="12"/>
      <c r="L43" s="12"/>
      <c r="M43" s="62"/>
      <c r="N43" s="13"/>
      <c r="O43" s="8"/>
      <c r="P43" s="13"/>
      <c r="Q43" s="13"/>
      <c r="R43" s="9"/>
      <c r="S43" s="9"/>
    </row>
    <row r="44" spans="1:19" ht="14.55" thickTop="1" x14ac:dyDescent="0.3">
      <c r="A44" s="78"/>
      <c r="B44" s="75">
        <v>3</v>
      </c>
      <c r="C44" s="7" t="s">
        <v>53</v>
      </c>
      <c r="D44" s="7">
        <v>201</v>
      </c>
      <c r="E44" s="7"/>
      <c r="F44" s="67">
        <f t="shared" ref="F44" si="41">(AVERAGEIF(D44:E44,"&gt;0",D44:E44))*10^2*100/8</f>
        <v>251250</v>
      </c>
      <c r="G44" s="6"/>
      <c r="H44" s="5" t="str">
        <f t="array" ref="H44">IFERROR(INDEX($F$2:$F$181,SMALL(IF($G$2:$G$181=11,ROW($A$1:$A$163),""),ROW(A2))),"")</f>
        <v/>
      </c>
      <c r="J44" s="36"/>
      <c r="K44" s="12"/>
      <c r="L44" s="12"/>
      <c r="M44" s="62"/>
      <c r="N44" s="13"/>
      <c r="O44" s="8"/>
      <c r="P44" s="13"/>
      <c r="Q44" s="13"/>
      <c r="R44" s="9"/>
      <c r="S44" s="9"/>
    </row>
    <row r="45" spans="1:19" x14ac:dyDescent="0.3">
      <c r="A45" s="78"/>
      <c r="B45" s="73"/>
      <c r="C45" s="10" t="s">
        <v>4</v>
      </c>
      <c r="D45" s="10">
        <v>14</v>
      </c>
      <c r="E45" s="10">
        <v>15</v>
      </c>
      <c r="F45" s="68">
        <f t="shared" ref="F45" si="42">(AVERAGEIF(D45:E45,"&gt;0",D45:E45))*10^3*100/8</f>
        <v>181250</v>
      </c>
      <c r="G45" s="6">
        <v>2</v>
      </c>
      <c r="H45" s="5" t="str">
        <f t="array" ref="H45">IFERROR(INDEX($F$2:$F$181,SMALL(IF($G$2:$G$181=11,ROW($A$1:$A$163),""),ROW(A3))),"")</f>
        <v/>
      </c>
      <c r="I45" s="5" t="e">
        <f>AVERAGE(H43:H45)</f>
        <v>#DIV/0!</v>
      </c>
      <c r="J45" s="35" t="e">
        <f>STDEV(H43:H45)</f>
        <v>#DIV/0!</v>
      </c>
      <c r="K45" s="12"/>
      <c r="L45" s="12"/>
      <c r="M45" s="62"/>
      <c r="N45" s="13"/>
      <c r="O45" s="8"/>
      <c r="P45" s="13"/>
      <c r="Q45" s="13"/>
      <c r="R45" s="9"/>
      <c r="S45" s="9"/>
    </row>
    <row r="46" spans="1:19" ht="14.55" thickBot="1" x14ac:dyDescent="0.35">
      <c r="A46" s="79"/>
      <c r="B46" s="76"/>
      <c r="C46" s="31" t="s">
        <v>2</v>
      </c>
      <c r="D46" s="31"/>
      <c r="E46" s="31"/>
      <c r="F46" s="69" t="e">
        <f t="shared" ref="F46" si="43">(AVERAGEIF(D46:E46,"&gt;0",D46:E46))*10^4*100/8</f>
        <v>#DIV/0!</v>
      </c>
      <c r="G46" s="6"/>
      <c r="H46" s="5" t="s">
        <v>22</v>
      </c>
      <c r="J46" s="36"/>
      <c r="K46" s="12"/>
      <c r="L46" s="12"/>
      <c r="M46" s="62"/>
      <c r="N46" s="13"/>
      <c r="O46" s="8"/>
      <c r="P46" s="13"/>
      <c r="Q46" s="13"/>
      <c r="R46" s="9"/>
      <c r="S46" s="9"/>
    </row>
    <row r="47" spans="1:19" ht="14.55" thickTop="1" x14ac:dyDescent="0.3">
      <c r="A47" s="80" t="s">
        <v>66</v>
      </c>
      <c r="B47" s="72">
        <v>1</v>
      </c>
      <c r="C47" s="7" t="s">
        <v>4</v>
      </c>
      <c r="D47" s="26">
        <v>278</v>
      </c>
      <c r="E47" s="26"/>
      <c r="F47" s="67">
        <f t="shared" ref="F47" si="44">(AVERAGEIF(D47:E47,"&gt;0",D47:E47))*10^3*100/8</f>
        <v>3475000</v>
      </c>
      <c r="G47" s="6">
        <v>4</v>
      </c>
      <c r="H47" s="5" t="str">
        <f t="array" ref="H47">IFERROR(INDEX($F$2:$F$181,SMALL(IF($G$2:$G$181=12,ROW($A$1:$A$163),""),ROW(A1))),"")</f>
        <v/>
      </c>
      <c r="J47" s="36"/>
      <c r="K47" s="12"/>
      <c r="L47" s="12"/>
      <c r="M47" s="62"/>
      <c r="N47" s="13"/>
      <c r="O47" s="8"/>
      <c r="P47" s="13"/>
      <c r="Q47" s="13"/>
      <c r="R47" s="9"/>
      <c r="S47" s="9"/>
    </row>
    <row r="48" spans="1:19" x14ac:dyDescent="0.3">
      <c r="A48" s="78"/>
      <c r="B48" s="73"/>
      <c r="C48" s="10" t="s">
        <v>2</v>
      </c>
      <c r="D48" s="10">
        <v>24</v>
      </c>
      <c r="E48" s="10">
        <v>18</v>
      </c>
      <c r="F48" s="68">
        <f t="shared" ref="F48" si="45">(AVERAGEIF(D48:E48,"&gt;0",D48:E48))*10^4*100/8</f>
        <v>2625000</v>
      </c>
      <c r="G48" s="6"/>
      <c r="H48" s="5" t="str">
        <f t="array" ref="H48">IFERROR(INDEX($F$2:$F$181,SMALL(IF($G$2:$G$181=12,ROW($A$1:$A$163),""),ROW(A2))),"")</f>
        <v/>
      </c>
      <c r="J48" s="36"/>
      <c r="K48" s="12"/>
      <c r="L48" s="12"/>
      <c r="M48" s="62"/>
      <c r="N48" s="13"/>
      <c r="O48" s="8"/>
      <c r="P48" s="13"/>
      <c r="Q48" s="13"/>
      <c r="R48" s="9"/>
      <c r="S48" s="9"/>
    </row>
    <row r="49" spans="1:21" ht="14.55" thickBot="1" x14ac:dyDescent="0.35">
      <c r="A49" s="78"/>
      <c r="B49" s="74"/>
      <c r="C49" s="31" t="s">
        <v>3</v>
      </c>
      <c r="D49" s="11"/>
      <c r="E49" s="11"/>
      <c r="F49" s="69" t="e">
        <f t="shared" ref="F49" si="46">(AVERAGEIF(D49:E49,"&gt;0",D49:E49))*10^5*100/8</f>
        <v>#DIV/0!</v>
      </c>
      <c r="G49" s="6"/>
      <c r="H49" s="5" t="str">
        <f t="array" ref="H49">IFERROR(INDEX($F$2:$F$181,SMALL(IF($G$2:$G$181=12,ROW($A$1:$A$163),""),ROW(A3))),"")</f>
        <v/>
      </c>
      <c r="I49" s="5" t="e">
        <f>AVERAGE(H47:H49)</f>
        <v>#DIV/0!</v>
      </c>
      <c r="J49" s="35" t="e">
        <f>STDEV(H47:H49)</f>
        <v>#DIV/0!</v>
      </c>
      <c r="K49" s="12"/>
      <c r="L49" s="12"/>
      <c r="M49" s="62"/>
      <c r="N49" s="13"/>
      <c r="O49" s="8"/>
      <c r="P49" s="13"/>
      <c r="Q49" s="13"/>
      <c r="R49" s="9"/>
      <c r="S49" s="9"/>
    </row>
    <row r="50" spans="1:21" ht="14.55" thickTop="1" x14ac:dyDescent="0.3">
      <c r="A50" s="78"/>
      <c r="B50" s="75">
        <v>2</v>
      </c>
      <c r="C50" s="7" t="s">
        <v>4</v>
      </c>
      <c r="D50" s="7">
        <v>290</v>
      </c>
      <c r="E50" s="7"/>
      <c r="F50" s="67">
        <f t="shared" ref="F50" si="47">(AVERAGEIF(D50:E50,"&gt;0",D50:E50))*10^3*100/8</f>
        <v>3625000</v>
      </c>
      <c r="G50" s="6">
        <v>4</v>
      </c>
      <c r="H50" s="5" t="s">
        <v>23</v>
      </c>
      <c r="J50" s="36"/>
      <c r="K50" s="12"/>
      <c r="L50" s="12"/>
      <c r="M50" s="62"/>
      <c r="N50" s="13"/>
      <c r="O50" s="8"/>
      <c r="P50" s="13"/>
      <c r="Q50" s="13"/>
      <c r="R50" s="9"/>
      <c r="S50" s="9"/>
    </row>
    <row r="51" spans="1:21" x14ac:dyDescent="0.3">
      <c r="A51" s="78"/>
      <c r="B51" s="73"/>
      <c r="C51" s="10" t="s">
        <v>2</v>
      </c>
      <c r="D51" s="10">
        <v>30</v>
      </c>
      <c r="E51" s="10"/>
      <c r="F51" s="68">
        <f t="shared" ref="F51" si="48">(AVERAGEIF(D51:E51,"&gt;0",D51:E51))*10^4*100/8</f>
        <v>3750000</v>
      </c>
      <c r="G51" s="6"/>
      <c r="H51" s="5" t="str">
        <f t="array" ref="H51">IFERROR(INDEX($F$2:$F$181,SMALL(IF($G$2:$G$181=13,ROW($A$1:$A$163),""),ROW(A1))),"")</f>
        <v/>
      </c>
      <c r="J51" s="36"/>
      <c r="K51" s="12"/>
      <c r="L51" s="12"/>
      <c r="M51" s="62"/>
      <c r="N51" s="13"/>
      <c r="O51" s="8"/>
      <c r="P51" s="13"/>
      <c r="Q51" s="13"/>
      <c r="R51" s="9"/>
      <c r="S51" s="9"/>
    </row>
    <row r="52" spans="1:21" ht="14.55" thickBot="1" x14ac:dyDescent="0.35">
      <c r="A52" s="78"/>
      <c r="B52" s="74"/>
      <c r="C52" s="31" t="s">
        <v>3</v>
      </c>
      <c r="D52" s="11"/>
      <c r="E52" s="11"/>
      <c r="F52" s="69" t="e">
        <f t="shared" ref="F52" si="49">(AVERAGEIF(D52:E52,"&gt;0",D52:E52))*10^5*100/8</f>
        <v>#DIV/0!</v>
      </c>
      <c r="G52" s="6"/>
      <c r="H52" s="5" t="str">
        <f t="array" ref="H52">IFERROR(INDEX($F$2:$F$181,SMALL(IF($G$2:$G$181=13,ROW($A$1:$A$163),""),ROW(A2))),"")</f>
        <v/>
      </c>
      <c r="J52" s="36"/>
      <c r="K52" s="12"/>
      <c r="L52" s="12"/>
      <c r="M52" s="62"/>
      <c r="N52" s="13"/>
      <c r="O52" s="8"/>
      <c r="P52" s="13"/>
      <c r="Q52" s="13"/>
      <c r="R52" s="9"/>
      <c r="S52" s="9"/>
    </row>
    <row r="53" spans="1:21" ht="14.55" thickTop="1" x14ac:dyDescent="0.3">
      <c r="A53" s="78"/>
      <c r="B53" s="75">
        <v>3</v>
      </c>
      <c r="C53" s="7" t="s">
        <v>4</v>
      </c>
      <c r="D53" s="7">
        <v>288</v>
      </c>
      <c r="E53" s="7"/>
      <c r="F53" s="67">
        <f t="shared" ref="F53" si="50">(AVERAGEIF(D53:E53,"&gt;0",D53:E53))*10^3*100/8</f>
        <v>3600000</v>
      </c>
      <c r="G53" s="6"/>
      <c r="H53" s="5" t="str">
        <f t="array" ref="H53">IFERROR(INDEX($F$2:$F$181,SMALL(IF($G$2:$G$181=13,ROW($A$1:$A$163),""),ROW(A3))),"")</f>
        <v/>
      </c>
      <c r="I53" s="5" t="e">
        <f>AVERAGE(H51:H53)</f>
        <v>#DIV/0!</v>
      </c>
      <c r="J53" s="35" t="e">
        <f>STDEV(H51:H53)</f>
        <v>#DIV/0!</v>
      </c>
      <c r="K53" s="12"/>
      <c r="L53" s="12"/>
      <c r="M53" s="62"/>
      <c r="N53" s="13"/>
      <c r="O53" s="8"/>
      <c r="P53" s="13"/>
      <c r="Q53" s="13"/>
      <c r="R53" s="9"/>
      <c r="S53" s="9"/>
    </row>
    <row r="54" spans="1:21" x14ac:dyDescent="0.3">
      <c r="A54" s="78"/>
      <c r="B54" s="73"/>
      <c r="C54" s="10" t="s">
        <v>2</v>
      </c>
      <c r="D54" s="10">
        <v>28</v>
      </c>
      <c r="E54" s="10">
        <v>20</v>
      </c>
      <c r="F54" s="68">
        <f t="shared" ref="F54" si="51">(AVERAGEIF(D54:E54,"&gt;0",D54:E54))*10^4*100/8</f>
        <v>3000000</v>
      </c>
      <c r="G54" s="6">
        <v>4</v>
      </c>
      <c r="H54" s="5" t="s">
        <v>24</v>
      </c>
      <c r="J54" s="36"/>
      <c r="K54" s="12"/>
      <c r="L54" s="12"/>
      <c r="M54" s="62"/>
      <c r="N54" s="13"/>
      <c r="O54" s="8"/>
      <c r="P54" s="13"/>
      <c r="Q54" s="13"/>
      <c r="R54" s="9"/>
      <c r="S54" s="9"/>
    </row>
    <row r="55" spans="1:21" ht="14.55" thickBot="1" x14ac:dyDescent="0.35">
      <c r="A55" s="79"/>
      <c r="B55" s="76"/>
      <c r="C55" s="31" t="s">
        <v>3</v>
      </c>
      <c r="D55" s="31"/>
      <c r="E55" s="31"/>
      <c r="F55" s="69" t="e">
        <f t="shared" ref="F55" si="52">(AVERAGEIF(D55:E55,"&gt;0",D55:E55))*10^5*100/8</f>
        <v>#DIV/0!</v>
      </c>
      <c r="G55" s="6"/>
      <c r="H55" s="5" t="str">
        <f t="array" ref="H55">IFERROR(INDEX($F$2:$F$181,SMALL(IF($G$2:$G$181=14,ROW($A$1:$A$163),""),ROW(A1))),"")</f>
        <v/>
      </c>
      <c r="J55" s="36"/>
      <c r="K55" s="12"/>
      <c r="L55" s="12"/>
      <c r="M55" s="62"/>
      <c r="N55" s="13"/>
      <c r="O55" s="8"/>
      <c r="P55" s="13"/>
      <c r="Q55" s="13"/>
      <c r="R55" s="9"/>
      <c r="S55" s="9"/>
    </row>
    <row r="56" spans="1:21" ht="14.55" thickTop="1" x14ac:dyDescent="0.3">
      <c r="A56" s="77" t="s">
        <v>67</v>
      </c>
      <c r="B56" s="72">
        <v>1</v>
      </c>
      <c r="C56" s="26" t="s">
        <v>53</v>
      </c>
      <c r="D56" s="26">
        <v>295</v>
      </c>
      <c r="E56" s="26"/>
      <c r="F56" s="30">
        <f t="shared" ref="F56" si="53">(AVERAGEIF(D56:E56,"&gt;0",D56:E56))*10^2*100/8</f>
        <v>368750</v>
      </c>
      <c r="G56" s="6">
        <v>6</v>
      </c>
      <c r="H56" s="5" t="str">
        <f t="array" ref="H56">IFERROR(INDEX($F$2:$F$181,SMALL(IF($G$2:$G$181=14,ROW($A$1:$A$163),""),ROW(A2))),"")</f>
        <v/>
      </c>
      <c r="J56" s="36"/>
      <c r="K56" s="12"/>
      <c r="L56" s="12"/>
      <c r="M56" s="62"/>
      <c r="N56" s="13"/>
      <c r="O56" s="8"/>
      <c r="P56" s="13"/>
      <c r="Q56" s="13"/>
      <c r="R56" s="9"/>
      <c r="S56" s="9"/>
    </row>
    <row r="57" spans="1:21" x14ac:dyDescent="0.3">
      <c r="A57" s="78"/>
      <c r="B57" s="73"/>
      <c r="C57" s="10" t="s">
        <v>4</v>
      </c>
      <c r="D57" s="10">
        <v>33</v>
      </c>
      <c r="E57" s="10">
        <v>36</v>
      </c>
      <c r="F57" s="28">
        <f t="shared" ref="F57" si="54">(AVERAGEIF(D57:E57,"&gt;0",D57:E57))*10^3*100/8</f>
        <v>431250</v>
      </c>
      <c r="G57" s="6"/>
      <c r="H57" s="5" t="str">
        <f t="array" ref="H57">IFERROR(INDEX($F$2:$F$181,SMALL(IF($G$2:$G$181=14,ROW($A$1:$A$163),""),ROW(A3))),"")</f>
        <v/>
      </c>
      <c r="I57" s="5" t="e">
        <f>AVERAGE(H55:H57)</f>
        <v>#DIV/0!</v>
      </c>
      <c r="J57" s="35" t="e">
        <f>STDEV(H55:H57)</f>
        <v>#DIV/0!</v>
      </c>
      <c r="K57" s="12"/>
      <c r="L57" s="12"/>
      <c r="M57" s="62"/>
      <c r="N57" s="13"/>
      <c r="O57" s="8"/>
      <c r="P57" s="13"/>
      <c r="Q57" s="13"/>
      <c r="R57" s="9"/>
      <c r="S57" s="9"/>
    </row>
    <row r="58" spans="1:21" ht="14.55" thickBot="1" x14ac:dyDescent="0.35">
      <c r="A58" s="78"/>
      <c r="B58" s="74"/>
      <c r="C58" s="11" t="s">
        <v>2</v>
      </c>
      <c r="D58" s="11"/>
      <c r="E58" s="11"/>
      <c r="F58" s="32" t="e">
        <f t="shared" ref="F58" si="55">(AVERAGEIF(D58:E58,"&gt;0",D58:E58))*10^4*100/8</f>
        <v>#DIV/0!</v>
      </c>
      <c r="G58" s="6"/>
      <c r="H58" s="5" t="s">
        <v>25</v>
      </c>
      <c r="J58" s="36"/>
      <c r="K58" s="12"/>
      <c r="L58" s="12"/>
      <c r="M58" s="62"/>
      <c r="N58" s="13"/>
      <c r="O58" s="8"/>
      <c r="P58" s="13"/>
      <c r="Q58" s="13"/>
      <c r="R58" s="9"/>
      <c r="S58" s="9"/>
    </row>
    <row r="59" spans="1:21" ht="14.55" thickTop="1" x14ac:dyDescent="0.3">
      <c r="A59" s="78"/>
      <c r="B59" s="75">
        <v>2</v>
      </c>
      <c r="C59" s="26" t="s">
        <v>53</v>
      </c>
      <c r="D59" s="7">
        <v>159</v>
      </c>
      <c r="E59" s="7"/>
      <c r="F59" s="30">
        <f t="shared" ref="F59" si="56">(AVERAGEIF(D59:E59,"&gt;0",D59:E59))*10^2*100/8</f>
        <v>198750</v>
      </c>
      <c r="G59" s="6">
        <v>6</v>
      </c>
      <c r="H59" s="5" t="str">
        <f t="array" ref="H59">IFERROR(INDEX($F$2:$F$181,SMALL(IF($G$2:$G$181=15,ROW($A$1:$A$163),""),ROW(A1))),"")</f>
        <v/>
      </c>
      <c r="J59" s="36"/>
      <c r="K59" s="12"/>
      <c r="L59" s="12"/>
      <c r="M59" s="62"/>
      <c r="N59" s="13"/>
      <c r="O59" s="8"/>
      <c r="P59" s="13"/>
      <c r="Q59" s="13"/>
      <c r="R59" s="9"/>
      <c r="S59" s="9"/>
    </row>
    <row r="60" spans="1:21" ht="14.55" thickBot="1" x14ac:dyDescent="0.35">
      <c r="A60" s="78"/>
      <c r="B60" s="73"/>
      <c r="C60" s="10" t="s">
        <v>4</v>
      </c>
      <c r="D60" s="10">
        <v>15</v>
      </c>
      <c r="E60" s="10">
        <v>8</v>
      </c>
      <c r="F60" s="28">
        <f t="shared" ref="F60" si="57">(AVERAGEIF(D60:E60,"&gt;0",D60:E60))*10^3*100/8</f>
        <v>143750</v>
      </c>
      <c r="G60" s="6"/>
      <c r="H60" s="5" t="str">
        <f t="array" ref="H60">IFERROR(INDEX($F$2:$F$181,SMALL(IF($G$2:$G$181=15,ROW($A$1:$A$163),""),ROW(A2))),"")</f>
        <v/>
      </c>
      <c r="J60" s="36"/>
      <c r="K60" s="12"/>
      <c r="L60" s="12"/>
      <c r="M60" s="62"/>
      <c r="N60" s="38"/>
      <c r="O60" s="8"/>
      <c r="P60" s="38"/>
      <c r="Q60" s="38"/>
      <c r="R60" s="39"/>
      <c r="S60" s="39"/>
      <c r="T60" s="40"/>
      <c r="U60" s="40"/>
    </row>
    <row r="61" spans="1:21" ht="14.55" thickBot="1" x14ac:dyDescent="0.35">
      <c r="A61" s="78"/>
      <c r="B61" s="74"/>
      <c r="C61" s="11" t="s">
        <v>2</v>
      </c>
      <c r="D61" s="11"/>
      <c r="E61" s="11"/>
      <c r="F61" s="32" t="e">
        <f t="shared" ref="F61" si="58">(AVERAGEIF(D61:E61,"&gt;0",D61:E61))*10^4*100/8</f>
        <v>#DIV/0!</v>
      </c>
      <c r="G61" s="6"/>
      <c r="H61" s="5" t="str">
        <f t="array" ref="H61">IFERROR(INDEX($F$2:$F$181,SMALL(IF($G$2:$G$181=15,ROW($A$1:$A$163),""),ROW(A3))),"")</f>
        <v/>
      </c>
      <c r="I61" s="5" t="e">
        <f>AVERAGE(H59:H61)</f>
        <v>#DIV/0!</v>
      </c>
      <c r="J61" s="35" t="e">
        <f>STDEV(H59:H61)</f>
        <v>#DIV/0!</v>
      </c>
      <c r="K61" s="12"/>
      <c r="L61" s="12"/>
      <c r="M61" s="62"/>
      <c r="N61" s="13"/>
      <c r="O61" s="8"/>
      <c r="P61" s="13"/>
      <c r="Q61" s="13"/>
      <c r="R61" s="9"/>
      <c r="S61" s="9"/>
    </row>
    <row r="62" spans="1:21" ht="14.55" thickTop="1" x14ac:dyDescent="0.3">
      <c r="A62" s="78"/>
      <c r="B62" s="75">
        <v>3</v>
      </c>
      <c r="C62" s="26" t="s">
        <v>53</v>
      </c>
      <c r="D62" s="7">
        <v>124</v>
      </c>
      <c r="E62" s="7"/>
      <c r="F62" s="30">
        <f t="shared" ref="F62" si="59">(AVERAGEIF(D62:E62,"&gt;0",D62:E62))*10^2*100/8</f>
        <v>155000</v>
      </c>
      <c r="G62" s="6">
        <v>6</v>
      </c>
      <c r="H62" s="5" t="s">
        <v>26</v>
      </c>
      <c r="J62" s="36"/>
      <c r="K62" s="12"/>
      <c r="L62" s="12"/>
      <c r="M62" s="62"/>
      <c r="N62" s="13"/>
      <c r="O62" s="8"/>
      <c r="P62" s="13"/>
      <c r="Q62" s="13"/>
      <c r="R62" s="9"/>
      <c r="S62" s="9"/>
    </row>
    <row r="63" spans="1:21" x14ac:dyDescent="0.3">
      <c r="A63" s="78"/>
      <c r="B63" s="73"/>
      <c r="C63" s="10" t="s">
        <v>4</v>
      </c>
      <c r="D63" s="10">
        <v>25</v>
      </c>
      <c r="E63" s="10">
        <v>21</v>
      </c>
      <c r="F63" s="28">
        <f t="shared" ref="F63" si="60">(AVERAGEIF(D63:E63,"&gt;0",D63:E63))*10^3*100/8</f>
        <v>287500</v>
      </c>
      <c r="G63" s="6"/>
      <c r="H63" s="5" t="str">
        <f t="array" ref="H63">IFERROR(INDEX($F$2:$F$181,SMALL(IF($G$2:$G$181=16,ROW($A$1:$A$163),""),ROW(A1))),"")</f>
        <v/>
      </c>
      <c r="J63" s="36"/>
      <c r="K63" s="12"/>
      <c r="L63" s="12"/>
      <c r="M63" s="62"/>
      <c r="N63" s="13"/>
      <c r="O63" s="8"/>
      <c r="P63" s="13"/>
      <c r="Q63" s="13"/>
      <c r="R63" s="9"/>
      <c r="S63" s="9"/>
    </row>
    <row r="64" spans="1:21" ht="14.55" thickBot="1" x14ac:dyDescent="0.35">
      <c r="A64" s="79"/>
      <c r="B64" s="76"/>
      <c r="C64" s="11" t="s">
        <v>2</v>
      </c>
      <c r="D64" s="31"/>
      <c r="E64" s="31"/>
      <c r="F64" s="32" t="e">
        <f t="shared" ref="F64" si="61">(AVERAGEIF(D64:E64,"&gt;0",D64:E64))*10^4*100/8</f>
        <v>#DIV/0!</v>
      </c>
      <c r="G64" s="6"/>
      <c r="H64" s="5" t="str">
        <f t="array" ref="H64">IFERROR(INDEX($F$2:$F$181,SMALL(IF($G$2:$G$181=16,ROW($A$1:$A$163),""),ROW(A2))),"")</f>
        <v/>
      </c>
      <c r="J64" s="36"/>
      <c r="K64" s="12"/>
      <c r="L64" s="12"/>
      <c r="M64" s="62"/>
      <c r="N64" s="13"/>
      <c r="O64" s="8"/>
      <c r="P64" s="13"/>
      <c r="Q64" s="13"/>
      <c r="R64" s="9"/>
      <c r="S64" s="9"/>
    </row>
    <row r="65" spans="1:19" ht="14.55" thickTop="1" x14ac:dyDescent="0.3">
      <c r="A65" s="77" t="s">
        <v>68</v>
      </c>
      <c r="B65" s="72">
        <v>1</v>
      </c>
      <c r="C65" s="7" t="s">
        <v>4</v>
      </c>
      <c r="D65" s="10"/>
      <c r="E65" s="10"/>
      <c r="F65" s="30" t="e">
        <f>(AVERAGEIF(D65:E65,"&gt;0",D65:E65))*10^3*100/8</f>
        <v>#DIV/0!</v>
      </c>
      <c r="G65" s="6"/>
      <c r="H65" s="5" t="str">
        <f t="array" ref="H65">IFERROR(INDEX($F$2:$F$181,SMALL(IF($G$2:$G$181=16,ROW($A$1:$A$163),""),ROW(A3))),"")</f>
        <v/>
      </c>
      <c r="I65" s="5" t="e">
        <f>AVERAGE(H63:H65)</f>
        <v>#DIV/0!</v>
      </c>
      <c r="J65" s="35" t="e">
        <f>STDEV(H63:H65)</f>
        <v>#DIV/0!</v>
      </c>
      <c r="K65" s="12"/>
      <c r="L65" s="12"/>
      <c r="M65" s="62"/>
      <c r="N65" s="13"/>
      <c r="O65" s="8"/>
      <c r="P65" s="13"/>
      <c r="Q65" s="13"/>
      <c r="R65" s="9"/>
      <c r="S65" s="9"/>
    </row>
    <row r="66" spans="1:19" x14ac:dyDescent="0.3">
      <c r="A66" s="78"/>
      <c r="B66" s="73"/>
      <c r="C66" s="10" t="s">
        <v>2</v>
      </c>
      <c r="D66" s="10">
        <v>94</v>
      </c>
      <c r="E66" s="10">
        <v>68</v>
      </c>
      <c r="F66" s="28">
        <f>(AVERAGEIF(D66:E66,"&gt;0",D66:E66))*10^4*100/8</f>
        <v>10125000</v>
      </c>
      <c r="G66" s="6">
        <v>8</v>
      </c>
      <c r="H66" s="5" t="s">
        <v>27</v>
      </c>
      <c r="J66" s="36"/>
      <c r="K66" s="12"/>
      <c r="L66" s="12"/>
      <c r="M66" s="62"/>
      <c r="N66" s="13"/>
      <c r="O66" s="8"/>
      <c r="P66" s="13"/>
      <c r="Q66" s="13"/>
      <c r="R66" s="9"/>
      <c r="S66" s="9"/>
    </row>
    <row r="67" spans="1:19" ht="14.55" thickBot="1" x14ac:dyDescent="0.35">
      <c r="A67" s="78"/>
      <c r="B67" s="74"/>
      <c r="C67" s="31" t="s">
        <v>3</v>
      </c>
      <c r="D67" s="11"/>
      <c r="E67" s="11"/>
      <c r="F67" s="32" t="e">
        <f>(AVERAGEIF(D67:E67,"&gt;0",D67:E67))*10^5*100/8</f>
        <v>#DIV/0!</v>
      </c>
      <c r="G67" s="6"/>
      <c r="H67" s="5" t="str">
        <f t="array" ref="H67">IFERROR(INDEX($F$2:$F$181,SMALL(IF($G$2:$G$181=17,ROW($A$1:$A$163),""),ROW(A1))),"")</f>
        <v/>
      </c>
      <c r="J67" s="36"/>
      <c r="K67" s="12"/>
      <c r="L67" s="12"/>
      <c r="M67" s="62"/>
      <c r="N67" s="13"/>
      <c r="O67" s="8"/>
      <c r="P67" s="13"/>
      <c r="Q67" s="13"/>
      <c r="R67" s="9"/>
      <c r="S67" s="9"/>
    </row>
    <row r="68" spans="1:19" x14ac:dyDescent="0.3">
      <c r="A68" s="78"/>
      <c r="B68" s="75">
        <v>2</v>
      </c>
      <c r="C68" s="7" t="s">
        <v>4</v>
      </c>
      <c r="D68" s="10"/>
      <c r="E68" s="10"/>
      <c r="F68" s="30" t="e">
        <f t="shared" ref="F68" si="62">(AVERAGEIF(D68:E68,"&gt;0",D68:E68))*10^3*100/8</f>
        <v>#DIV/0!</v>
      </c>
      <c r="G68" s="6"/>
      <c r="H68" s="5" t="str">
        <f t="array" ref="H68">IFERROR(INDEX($F$2:$F$181,SMALL(IF($G$2:$G$181=17,ROW($A$1:$A$163),""),ROW(A2))),"")</f>
        <v/>
      </c>
      <c r="J68" s="36"/>
      <c r="K68" s="12"/>
      <c r="L68" s="12"/>
      <c r="M68" s="62"/>
      <c r="N68" s="13"/>
      <c r="O68" s="8"/>
      <c r="P68" s="13"/>
      <c r="Q68" s="13"/>
      <c r="R68" s="9"/>
      <c r="S68" s="9"/>
    </row>
    <row r="69" spans="1:19" x14ac:dyDescent="0.3">
      <c r="A69" s="78"/>
      <c r="B69" s="73"/>
      <c r="C69" s="10" t="s">
        <v>2</v>
      </c>
      <c r="D69" s="10">
        <v>91</v>
      </c>
      <c r="E69" s="10">
        <v>82</v>
      </c>
      <c r="F69" s="28">
        <f t="shared" ref="F69" si="63">(AVERAGEIF(D69:E69,"&gt;0",D69:E69))*10^4*100/8</f>
        <v>10812500</v>
      </c>
      <c r="G69" s="6">
        <v>8</v>
      </c>
      <c r="H69" s="5" t="str">
        <f t="array" ref="H69">IFERROR(INDEX($F$2:$F$181,SMALL(IF($G$2:$G$181=17,ROW($A$1:$A$163),""),ROW(A3))),"")</f>
        <v/>
      </c>
      <c r="I69" s="5" t="e">
        <f>AVERAGE(H67:H69)</f>
        <v>#DIV/0!</v>
      </c>
      <c r="J69" s="35" t="e">
        <f>STDEV(H67:H69)</f>
        <v>#DIV/0!</v>
      </c>
      <c r="K69" s="12"/>
      <c r="L69" s="12"/>
      <c r="M69" s="62"/>
      <c r="N69" s="13"/>
      <c r="O69" s="8"/>
      <c r="P69" s="13"/>
      <c r="Q69" s="13"/>
      <c r="R69" s="9"/>
      <c r="S69" s="9"/>
    </row>
    <row r="70" spans="1:19" ht="14.55" thickBot="1" x14ac:dyDescent="0.35">
      <c r="A70" s="78"/>
      <c r="B70" s="74"/>
      <c r="C70" s="31" t="s">
        <v>3</v>
      </c>
      <c r="D70" s="11"/>
      <c r="E70" s="11"/>
      <c r="F70" s="32" t="e">
        <f t="shared" ref="F70" si="64">(AVERAGEIF(D70:E70,"&gt;0",D70:E70))*10^5*100/8</f>
        <v>#DIV/0!</v>
      </c>
      <c r="G70" s="6"/>
      <c r="H70" s="5" t="s">
        <v>28</v>
      </c>
      <c r="J70" s="36"/>
      <c r="K70" s="12"/>
      <c r="L70" s="12"/>
      <c r="M70" s="62"/>
      <c r="N70" s="13"/>
      <c r="O70" s="8"/>
      <c r="P70" s="13"/>
      <c r="Q70" s="13"/>
      <c r="R70" s="9"/>
      <c r="S70" s="9"/>
    </row>
    <row r="71" spans="1:19" x14ac:dyDescent="0.3">
      <c r="A71" s="78"/>
      <c r="B71" s="75">
        <v>3</v>
      </c>
      <c r="C71" s="7" t="s">
        <v>4</v>
      </c>
      <c r="D71" s="10"/>
      <c r="E71" s="10"/>
      <c r="F71" s="30" t="e">
        <f t="shared" ref="F71" si="65">(AVERAGEIF(D71:E71,"&gt;0",D71:E71))*10^3*100/8</f>
        <v>#DIV/0!</v>
      </c>
      <c r="G71" s="6"/>
      <c r="H71" s="5" t="str">
        <f t="array" ref="H71">IFERROR(INDEX($F$2:$F$181,SMALL(IF($G$2:$G$181=18,ROW($A$1:$A$180),""),ROW(A1))),"")</f>
        <v/>
      </c>
      <c r="J71" s="36"/>
      <c r="K71" s="12"/>
      <c r="L71" s="12"/>
      <c r="M71" s="62"/>
      <c r="N71" s="13"/>
      <c r="O71" s="8"/>
      <c r="P71" s="13"/>
      <c r="Q71" s="13"/>
      <c r="R71" s="9"/>
      <c r="S71" s="9"/>
    </row>
    <row r="72" spans="1:19" x14ac:dyDescent="0.3">
      <c r="A72" s="78"/>
      <c r="B72" s="73"/>
      <c r="C72" s="10" t="s">
        <v>2</v>
      </c>
      <c r="D72" s="10">
        <v>99</v>
      </c>
      <c r="E72" s="10">
        <v>97</v>
      </c>
      <c r="F72" s="28">
        <f t="shared" ref="F72" si="66">(AVERAGEIF(D72:E72,"&gt;0",D72:E72))*10^4*100/8</f>
        <v>12250000</v>
      </c>
      <c r="G72" s="6">
        <v>8</v>
      </c>
      <c r="H72" s="5" t="str">
        <f t="array" ref="H72">IFERROR(INDEX($F$2:$F$181,SMALL(IF($G$2:$G$181=18,ROW($A$1:$A$180),""),ROW(A2))),"")</f>
        <v/>
      </c>
      <c r="J72" s="36"/>
      <c r="K72" s="12"/>
      <c r="L72" s="12"/>
      <c r="M72" s="62"/>
      <c r="N72" s="13"/>
      <c r="O72" s="8"/>
      <c r="P72" s="13"/>
      <c r="Q72" s="13"/>
      <c r="R72" s="9"/>
      <c r="S72" s="9"/>
    </row>
    <row r="73" spans="1:19" ht="14.55" thickBot="1" x14ac:dyDescent="0.35">
      <c r="A73" s="79"/>
      <c r="B73" s="76"/>
      <c r="C73" s="31" t="s">
        <v>3</v>
      </c>
      <c r="D73" s="31"/>
      <c r="E73" s="31"/>
      <c r="F73" s="32" t="e">
        <f t="shared" ref="F73" si="67">(AVERAGEIF(D73:E73,"&gt;0",D73:E73))*10^5*100/8</f>
        <v>#DIV/0!</v>
      </c>
      <c r="G73" s="6"/>
      <c r="H73" s="5" t="str">
        <f t="array" ref="H73">IFERROR(INDEX($F$2:$F$181,SMALL(IF($G$2:$G$181=18,ROW($A$1:$A$180),""),ROW(A3))),"")</f>
        <v/>
      </c>
      <c r="I73" s="5" t="e">
        <f>AVERAGE(H71:H73)</f>
        <v>#DIV/0!</v>
      </c>
      <c r="J73" s="35" t="e">
        <f>STDEV(H71:H73)</f>
        <v>#DIV/0!</v>
      </c>
      <c r="K73" s="12"/>
      <c r="L73" s="12"/>
      <c r="M73" s="62"/>
      <c r="N73" s="13"/>
      <c r="O73" s="8"/>
      <c r="P73" s="13"/>
      <c r="Q73" s="13"/>
      <c r="R73" s="9"/>
      <c r="S73" s="9"/>
    </row>
    <row r="74" spans="1:19" ht="14.55" thickTop="1" x14ac:dyDescent="0.3">
      <c r="A74" s="77"/>
      <c r="B74" s="72">
        <v>1</v>
      </c>
      <c r="C74" s="26" t="s">
        <v>53</v>
      </c>
      <c r="D74" s="10"/>
      <c r="E74" s="10"/>
      <c r="F74" s="30" t="e">
        <f>(AVERAGEIF(D74:E74,"&gt;0",D74:E74))*10^2*100/8</f>
        <v>#DIV/0!</v>
      </c>
      <c r="G74" s="6"/>
      <c r="H74" s="5" t="s">
        <v>29</v>
      </c>
      <c r="J74" s="36"/>
      <c r="K74" s="12"/>
      <c r="L74" s="12"/>
      <c r="M74" s="62"/>
      <c r="N74" s="13"/>
      <c r="O74" s="8"/>
      <c r="P74" s="13"/>
      <c r="Q74" s="13"/>
      <c r="R74" s="9"/>
      <c r="S74" s="9"/>
    </row>
    <row r="75" spans="1:19" ht="14.55" thickBot="1" x14ac:dyDescent="0.35">
      <c r="A75" s="78"/>
      <c r="B75" s="73"/>
      <c r="C75" s="10" t="s">
        <v>4</v>
      </c>
      <c r="D75" s="11"/>
      <c r="E75" s="11"/>
      <c r="F75" s="28" t="e">
        <f>(AVERAGEIF(D75:E75,"&gt;0",D75:E75))*10^3*100/8</f>
        <v>#DIV/0!</v>
      </c>
      <c r="G75" s="6"/>
      <c r="H75" s="5" t="str">
        <f t="array" ref="H75">IFERROR(INDEX($F$2:$F$181,SMALL(IF($G$2:$G$181=19,ROW($A$1:$A$180),""),ROW(A1))),"")</f>
        <v/>
      </c>
      <c r="J75" s="36"/>
      <c r="K75" s="12"/>
      <c r="L75" s="12"/>
      <c r="M75" s="62"/>
      <c r="N75" s="13"/>
      <c r="O75" s="8"/>
      <c r="P75" s="13"/>
      <c r="Q75" s="13"/>
      <c r="R75" s="9"/>
      <c r="S75" s="9"/>
    </row>
    <row r="76" spans="1:19" ht="14.55" thickBot="1" x14ac:dyDescent="0.35">
      <c r="A76" s="78"/>
      <c r="B76" s="74"/>
      <c r="C76" s="11" t="s">
        <v>2</v>
      </c>
      <c r="D76" s="11"/>
      <c r="E76" s="11"/>
      <c r="F76" s="32" t="e">
        <f>(AVERAGEIF(D76:E76,"&gt;0",D76:E76))*10^4*100/8</f>
        <v>#DIV/0!</v>
      </c>
      <c r="G76" s="6"/>
      <c r="H76" s="5" t="str">
        <f t="array" ref="H76">IFERROR(INDEX($F$2:$F$181,SMALL(IF($G$2:$G$181=19,ROW($A$1:$A$180),""),ROW(A2))),"")</f>
        <v/>
      </c>
      <c r="J76" s="36"/>
      <c r="K76" s="12"/>
      <c r="L76" s="12"/>
      <c r="M76" s="62"/>
      <c r="N76" s="13"/>
      <c r="O76" s="8"/>
      <c r="P76" s="13"/>
      <c r="Q76" s="13"/>
      <c r="R76" s="9"/>
      <c r="S76" s="9"/>
    </row>
    <row r="77" spans="1:19" ht="14.55" thickTop="1" x14ac:dyDescent="0.3">
      <c r="A77" s="78"/>
      <c r="B77" s="75">
        <v>2</v>
      </c>
      <c r="C77" s="26" t="s">
        <v>53</v>
      </c>
      <c r="D77" s="7"/>
      <c r="E77" s="7"/>
      <c r="F77" s="30" t="e">
        <f t="shared" ref="F77" si="68">(AVERAGEIF(D77:E77,"&gt;0",D77:E77))*10^2*100/8</f>
        <v>#DIV/0!</v>
      </c>
      <c r="G77" s="6"/>
      <c r="H77" s="5" t="str">
        <f t="array" ref="H77">IFERROR(INDEX($F$2:$F$181,SMALL(IF($G$2:$G$181=19,ROW($A$1:$A$180),""),ROW(A3))),"")</f>
        <v/>
      </c>
      <c r="I77" s="5" t="e">
        <f>AVERAGE(H75:H77)</f>
        <v>#DIV/0!</v>
      </c>
      <c r="J77" s="35" t="e">
        <f>STDEV(H75:H77)</f>
        <v>#DIV/0!</v>
      </c>
      <c r="K77" s="12"/>
      <c r="L77" s="12"/>
      <c r="M77" s="62"/>
      <c r="N77" s="13"/>
      <c r="O77" s="8"/>
      <c r="P77" s="13"/>
      <c r="Q77" s="13"/>
      <c r="R77" s="9"/>
      <c r="S77" s="9"/>
    </row>
    <row r="78" spans="1:19" x14ac:dyDescent="0.3">
      <c r="A78" s="78"/>
      <c r="B78" s="73"/>
      <c r="C78" s="10" t="s">
        <v>4</v>
      </c>
      <c r="D78" s="10"/>
      <c r="E78" s="10"/>
      <c r="F78" s="28" t="e">
        <f t="shared" ref="F78" si="69">(AVERAGEIF(D78:E78,"&gt;0",D78:E78))*10^3*100/8</f>
        <v>#DIV/0!</v>
      </c>
      <c r="G78" s="6"/>
      <c r="H78" s="5" t="s">
        <v>30</v>
      </c>
      <c r="J78" s="36"/>
      <c r="K78" s="12"/>
      <c r="L78" s="12"/>
      <c r="M78" s="62"/>
      <c r="N78" s="13"/>
      <c r="O78" s="8"/>
      <c r="P78" s="13"/>
      <c r="Q78" s="13"/>
      <c r="R78" s="9"/>
      <c r="S78" s="9"/>
    </row>
    <row r="79" spans="1:19" ht="14.55" thickBot="1" x14ac:dyDescent="0.35">
      <c r="A79" s="78"/>
      <c r="B79" s="74"/>
      <c r="C79" s="11" t="s">
        <v>2</v>
      </c>
      <c r="D79" s="11"/>
      <c r="E79" s="11"/>
      <c r="F79" s="32" t="e">
        <f t="shared" ref="F79" si="70">(AVERAGEIF(D79:E79,"&gt;0",D79:E79))*10^4*100/8</f>
        <v>#DIV/0!</v>
      </c>
      <c r="G79" s="6"/>
      <c r="H79" s="5" t="str">
        <f t="array" ref="H79">IFERROR(INDEX($F$2:$F$181,SMALL(IF($G$2:$G$181=20,ROW($A$1:$A$180),""),ROW(A1))),"")</f>
        <v/>
      </c>
      <c r="J79" s="36"/>
      <c r="K79" s="12"/>
      <c r="L79" s="12"/>
      <c r="M79" s="62"/>
      <c r="N79" s="13"/>
      <c r="O79" s="8"/>
      <c r="P79" s="13"/>
      <c r="Q79" s="13"/>
      <c r="R79" s="9"/>
      <c r="S79" s="9"/>
    </row>
    <row r="80" spans="1:19" ht="14.55" thickTop="1" x14ac:dyDescent="0.3">
      <c r="A80" s="78"/>
      <c r="B80" s="75">
        <v>3</v>
      </c>
      <c r="C80" s="26" t="s">
        <v>53</v>
      </c>
      <c r="D80" s="7"/>
      <c r="E80" s="7"/>
      <c r="F80" s="30" t="e">
        <f t="shared" ref="F80" si="71">(AVERAGEIF(D80:E80,"&gt;0",D80:E80))*10^2*100/8</f>
        <v>#DIV/0!</v>
      </c>
      <c r="G80" s="6"/>
      <c r="H80" s="5" t="str">
        <f t="array" ref="H80">IFERROR(INDEX($F$2:$F$181,SMALL(IF($G$2:$G$181=20,ROW($A$1:$A$180),""),ROW(A2))),"")</f>
        <v/>
      </c>
      <c r="J80" s="36"/>
      <c r="K80" s="12"/>
      <c r="L80" s="12"/>
      <c r="M80" s="62"/>
      <c r="N80" s="13"/>
      <c r="O80" s="8"/>
      <c r="P80" s="13"/>
      <c r="Q80" s="13"/>
      <c r="R80" s="9"/>
      <c r="S80" s="9"/>
    </row>
    <row r="81" spans="1:22" x14ac:dyDescent="0.3">
      <c r="A81" s="78"/>
      <c r="B81" s="73"/>
      <c r="C81" s="10" t="s">
        <v>4</v>
      </c>
      <c r="D81" s="10"/>
      <c r="E81" s="10"/>
      <c r="F81" s="28" t="e">
        <f t="shared" ref="F81" si="72">(AVERAGEIF(D81:E81,"&gt;0",D81:E81))*10^3*100/8</f>
        <v>#DIV/0!</v>
      </c>
      <c r="G81" s="6"/>
      <c r="H81" s="5" t="str">
        <f t="array" ref="H81">IFERROR(INDEX($F$2:$F$181,SMALL(IF($G$2:$G$181=20,ROW($A$1:$A$180),""),ROW(A3))),"")</f>
        <v/>
      </c>
      <c r="I81" s="5" t="e">
        <f>AVERAGE(H79:H81)</f>
        <v>#DIV/0!</v>
      </c>
      <c r="J81" s="35" t="e">
        <f>STDEV(H79:H81)</f>
        <v>#DIV/0!</v>
      </c>
      <c r="K81" s="12"/>
      <c r="L81" s="12"/>
      <c r="M81" s="62"/>
      <c r="N81" s="13"/>
      <c r="O81" s="8"/>
      <c r="P81" s="13"/>
      <c r="Q81" s="13"/>
      <c r="R81" s="9"/>
      <c r="S81" s="9"/>
    </row>
    <row r="82" spans="1:22" ht="14.55" thickBot="1" x14ac:dyDescent="0.35">
      <c r="A82" s="79"/>
      <c r="B82" s="76"/>
      <c r="C82" s="11" t="s">
        <v>2</v>
      </c>
      <c r="D82" s="31"/>
      <c r="E82" s="31"/>
      <c r="F82" s="32" t="e">
        <f t="shared" ref="F82:F109" si="73">(AVERAGEIF(D82:E82,"&gt;0",D82:E82))*10^4*100/8</f>
        <v>#DIV/0!</v>
      </c>
      <c r="G82" s="6"/>
      <c r="J82" s="36"/>
      <c r="K82" s="12"/>
      <c r="L82" s="12"/>
      <c r="M82" s="62"/>
      <c r="N82" s="13"/>
      <c r="O82" s="8"/>
      <c r="P82" s="13"/>
      <c r="Q82" s="13"/>
      <c r="R82" s="9"/>
      <c r="S82" s="9"/>
    </row>
    <row r="83" spans="1:22" ht="14.55" thickTop="1" x14ac:dyDescent="0.3">
      <c r="A83" s="77"/>
      <c r="B83" s="72">
        <v>1</v>
      </c>
      <c r="C83" s="26" t="s">
        <v>53</v>
      </c>
      <c r="D83" s="26"/>
      <c r="E83" s="26"/>
      <c r="F83" s="30" t="e">
        <f t="shared" ref="F83:F107" si="74">(AVERAGEIF(D83:E83,"&gt;0",D83:E83))*10^2*100/8</f>
        <v>#DIV/0!</v>
      </c>
      <c r="G83" s="6"/>
      <c r="J83" s="36"/>
      <c r="K83" s="12"/>
      <c r="L83" s="12"/>
      <c r="M83" s="62"/>
      <c r="N83" s="13"/>
      <c r="O83" s="8"/>
      <c r="P83" s="13"/>
      <c r="Q83" s="13"/>
      <c r="R83" s="9"/>
      <c r="S83" s="9"/>
      <c r="T83" s="44"/>
      <c r="U83" s="44"/>
      <c r="V83" s="14"/>
    </row>
    <row r="84" spans="1:22" x14ac:dyDescent="0.3">
      <c r="A84" s="78"/>
      <c r="B84" s="73"/>
      <c r="C84" s="10" t="s">
        <v>4</v>
      </c>
      <c r="D84" s="10"/>
      <c r="E84" s="10"/>
      <c r="F84" s="28" t="e">
        <f t="shared" ref="F84:F108" si="75">(AVERAGEIF(D84:E84,"&gt;0",D84:E84))*10^3*100/8</f>
        <v>#DIV/0!</v>
      </c>
      <c r="G84" s="6"/>
      <c r="J84" s="36"/>
      <c r="K84" s="12"/>
      <c r="L84" s="12"/>
      <c r="M84" s="62"/>
      <c r="N84" s="13"/>
      <c r="O84" s="8"/>
      <c r="P84" s="13"/>
      <c r="Q84" s="13"/>
      <c r="R84" s="9"/>
      <c r="S84" s="9"/>
    </row>
    <row r="85" spans="1:22" ht="14.55" thickBot="1" x14ac:dyDescent="0.35">
      <c r="A85" s="78"/>
      <c r="B85" s="74"/>
      <c r="C85" s="11" t="s">
        <v>2</v>
      </c>
      <c r="D85" s="11"/>
      <c r="E85" s="11"/>
      <c r="F85" s="32" t="e">
        <f t="shared" si="73"/>
        <v>#DIV/0!</v>
      </c>
      <c r="G85" s="6"/>
      <c r="J85" s="36"/>
      <c r="K85" s="12"/>
      <c r="L85" s="12"/>
      <c r="M85" s="62"/>
      <c r="N85" s="13"/>
      <c r="O85" s="8"/>
      <c r="P85" s="13"/>
      <c r="Q85" s="13"/>
      <c r="R85" s="9"/>
      <c r="S85" s="9"/>
    </row>
    <row r="86" spans="1:22" ht="14.55" thickTop="1" x14ac:dyDescent="0.3">
      <c r="A86" s="78"/>
      <c r="B86" s="75">
        <v>2</v>
      </c>
      <c r="C86" s="26" t="s">
        <v>53</v>
      </c>
      <c r="D86" s="7"/>
      <c r="E86" s="7"/>
      <c r="F86" s="30" t="e">
        <f t="shared" si="74"/>
        <v>#DIV/0!</v>
      </c>
      <c r="G86" s="6"/>
      <c r="J86" s="36"/>
      <c r="K86" s="12"/>
      <c r="L86" s="12"/>
      <c r="M86" s="62"/>
      <c r="N86" s="13"/>
      <c r="O86" s="8"/>
      <c r="P86" s="13"/>
      <c r="Q86" s="13"/>
      <c r="R86" s="9"/>
      <c r="S86" s="9"/>
    </row>
    <row r="87" spans="1:22" x14ac:dyDescent="0.3">
      <c r="A87" s="78"/>
      <c r="B87" s="73"/>
      <c r="C87" s="10" t="s">
        <v>4</v>
      </c>
      <c r="D87" s="10"/>
      <c r="E87" s="10"/>
      <c r="F87" s="28" t="e">
        <f t="shared" si="75"/>
        <v>#DIV/0!</v>
      </c>
      <c r="G87" s="6"/>
      <c r="J87" s="36"/>
      <c r="K87" s="12"/>
      <c r="L87" s="12"/>
      <c r="M87" s="62"/>
      <c r="N87" s="13"/>
      <c r="O87" s="8"/>
      <c r="P87" s="13"/>
      <c r="Q87" s="13"/>
      <c r="R87" s="9"/>
      <c r="S87" s="9"/>
    </row>
    <row r="88" spans="1:22" ht="14.55" thickBot="1" x14ac:dyDescent="0.35">
      <c r="A88" s="78"/>
      <c r="B88" s="74"/>
      <c r="C88" s="11" t="s">
        <v>2</v>
      </c>
      <c r="D88" s="11"/>
      <c r="E88" s="11"/>
      <c r="F88" s="32" t="e">
        <f t="shared" si="73"/>
        <v>#DIV/0!</v>
      </c>
      <c r="G88" s="6"/>
      <c r="J88" s="36"/>
      <c r="K88" s="12"/>
      <c r="L88" s="12"/>
      <c r="M88" s="62"/>
      <c r="N88" s="13"/>
      <c r="O88" s="8"/>
      <c r="P88" s="13"/>
      <c r="Q88" s="13"/>
      <c r="R88" s="9"/>
      <c r="S88" s="9"/>
    </row>
    <row r="89" spans="1:22" ht="14.55" thickTop="1" x14ac:dyDescent="0.3">
      <c r="A89" s="78"/>
      <c r="B89" s="75">
        <v>3</v>
      </c>
      <c r="C89" s="26" t="s">
        <v>53</v>
      </c>
      <c r="D89" s="7"/>
      <c r="E89" s="7"/>
      <c r="F89" s="30" t="e">
        <f t="shared" si="74"/>
        <v>#DIV/0!</v>
      </c>
      <c r="G89" s="6"/>
      <c r="J89" s="36"/>
      <c r="K89" s="12"/>
      <c r="L89" s="12"/>
      <c r="M89" s="62"/>
      <c r="N89" s="13"/>
      <c r="O89" s="8"/>
      <c r="P89" s="13"/>
      <c r="Q89" s="13"/>
      <c r="R89" s="9"/>
      <c r="S89" s="9"/>
    </row>
    <row r="90" spans="1:22" x14ac:dyDescent="0.3">
      <c r="A90" s="78"/>
      <c r="B90" s="73"/>
      <c r="C90" s="10" t="s">
        <v>4</v>
      </c>
      <c r="D90" s="10"/>
      <c r="E90" s="10"/>
      <c r="F90" s="28" t="e">
        <f t="shared" si="75"/>
        <v>#DIV/0!</v>
      </c>
      <c r="G90" s="6"/>
      <c r="J90" s="36"/>
      <c r="K90" s="12"/>
      <c r="L90" s="12"/>
      <c r="M90" s="62"/>
      <c r="N90" s="13"/>
      <c r="O90" s="8"/>
      <c r="P90" s="13"/>
      <c r="Q90" s="13"/>
      <c r="R90" s="9"/>
      <c r="S90" s="9"/>
    </row>
    <row r="91" spans="1:22" ht="14.55" thickBot="1" x14ac:dyDescent="0.35">
      <c r="A91" s="79"/>
      <c r="B91" s="76"/>
      <c r="C91" s="11" t="s">
        <v>2</v>
      </c>
      <c r="D91" s="31"/>
      <c r="E91" s="31"/>
      <c r="F91" s="32" t="e">
        <f t="shared" si="73"/>
        <v>#DIV/0!</v>
      </c>
      <c r="G91" s="6"/>
      <c r="J91" s="36"/>
      <c r="K91" s="12"/>
      <c r="L91" s="12"/>
      <c r="M91" s="62"/>
      <c r="N91" s="13"/>
      <c r="O91" s="8"/>
      <c r="P91" s="13"/>
      <c r="Q91" s="13"/>
      <c r="R91" s="9"/>
      <c r="S91" s="9"/>
    </row>
    <row r="92" spans="1:22" ht="14.55" thickTop="1" x14ac:dyDescent="0.3">
      <c r="A92" s="80"/>
      <c r="B92" s="72">
        <v>1</v>
      </c>
      <c r="C92" s="26" t="s">
        <v>53</v>
      </c>
      <c r="D92" s="26"/>
      <c r="E92" s="26"/>
      <c r="F92" s="30" t="e">
        <f t="shared" si="74"/>
        <v>#DIV/0!</v>
      </c>
      <c r="G92" s="6"/>
      <c r="J92" s="36"/>
      <c r="K92" s="12"/>
      <c r="L92" s="12"/>
      <c r="M92" s="62"/>
      <c r="N92" s="13"/>
      <c r="O92" s="8"/>
      <c r="P92" s="13"/>
      <c r="Q92" s="13"/>
      <c r="R92" s="9"/>
      <c r="S92" s="9"/>
    </row>
    <row r="93" spans="1:22" ht="14.55" thickBot="1" x14ac:dyDescent="0.35">
      <c r="A93" s="78"/>
      <c r="B93" s="73"/>
      <c r="C93" s="10" t="s">
        <v>4</v>
      </c>
      <c r="D93" s="10"/>
      <c r="E93" s="10"/>
      <c r="F93" s="28" t="e">
        <f t="shared" si="75"/>
        <v>#DIV/0!</v>
      </c>
      <c r="G93" s="6"/>
      <c r="J93" s="36"/>
      <c r="K93" s="12"/>
      <c r="L93" s="12"/>
      <c r="M93" s="62"/>
      <c r="N93" s="13"/>
      <c r="O93" s="8"/>
      <c r="P93" s="13"/>
      <c r="Q93" s="13"/>
      <c r="R93" s="9"/>
      <c r="S93" s="9"/>
      <c r="T93" s="40"/>
      <c r="U93" s="40"/>
      <c r="V93" s="15"/>
    </row>
    <row r="94" spans="1:22" ht="14.55" thickBot="1" x14ac:dyDescent="0.35">
      <c r="A94" s="78"/>
      <c r="B94" s="74"/>
      <c r="C94" s="11" t="s">
        <v>2</v>
      </c>
      <c r="D94" s="11"/>
      <c r="E94" s="11"/>
      <c r="F94" s="32" t="e">
        <f t="shared" si="73"/>
        <v>#DIV/0!</v>
      </c>
      <c r="G94" s="6"/>
      <c r="J94" s="36"/>
      <c r="K94" s="12"/>
      <c r="L94" s="12"/>
      <c r="M94" s="62"/>
      <c r="N94" s="13"/>
      <c r="O94" s="8"/>
      <c r="P94" s="13"/>
      <c r="Q94" s="13"/>
      <c r="R94" s="9"/>
      <c r="S94" s="9"/>
    </row>
    <row r="95" spans="1:22" ht="14.55" thickTop="1" x14ac:dyDescent="0.3">
      <c r="A95" s="78"/>
      <c r="B95" s="75">
        <v>2</v>
      </c>
      <c r="C95" s="26" t="s">
        <v>53</v>
      </c>
      <c r="D95" s="7"/>
      <c r="E95" s="7"/>
      <c r="F95" s="30" t="e">
        <f t="shared" si="74"/>
        <v>#DIV/0!</v>
      </c>
      <c r="G95" s="6"/>
      <c r="J95" s="36"/>
      <c r="K95" s="12"/>
      <c r="L95" s="12"/>
      <c r="M95" s="62"/>
      <c r="N95" s="13"/>
      <c r="O95" s="8"/>
      <c r="P95" s="13"/>
      <c r="Q95" s="13"/>
      <c r="R95" s="9"/>
      <c r="S95" s="9"/>
    </row>
    <row r="96" spans="1:22" x14ac:dyDescent="0.3">
      <c r="A96" s="78"/>
      <c r="B96" s="73"/>
      <c r="C96" s="10" t="s">
        <v>4</v>
      </c>
      <c r="D96" s="10"/>
      <c r="E96" s="10"/>
      <c r="F96" s="28" t="e">
        <f t="shared" si="75"/>
        <v>#DIV/0!</v>
      </c>
      <c r="G96" s="6"/>
      <c r="J96" s="36"/>
      <c r="K96" s="12"/>
      <c r="L96" s="12"/>
      <c r="M96" s="62"/>
      <c r="N96" s="13"/>
      <c r="O96" s="8"/>
      <c r="P96" s="13"/>
      <c r="Q96" s="13"/>
      <c r="R96" s="9"/>
      <c r="S96" s="9"/>
    </row>
    <row r="97" spans="1:19" ht="14.55" thickBot="1" x14ac:dyDescent="0.35">
      <c r="A97" s="78"/>
      <c r="B97" s="74"/>
      <c r="C97" s="11" t="s">
        <v>2</v>
      </c>
      <c r="D97" s="11"/>
      <c r="E97" s="11"/>
      <c r="F97" s="32" t="e">
        <f t="shared" si="73"/>
        <v>#DIV/0!</v>
      </c>
      <c r="G97" s="6"/>
      <c r="J97" s="36"/>
      <c r="K97" s="12"/>
      <c r="L97" s="12"/>
      <c r="M97" s="62"/>
      <c r="N97" s="13"/>
      <c r="O97" s="8"/>
      <c r="P97" s="13"/>
      <c r="Q97" s="13"/>
      <c r="R97" s="9"/>
      <c r="S97" s="9"/>
    </row>
    <row r="98" spans="1:19" ht="14.55" thickTop="1" x14ac:dyDescent="0.3">
      <c r="A98" s="78"/>
      <c r="B98" s="75">
        <v>3</v>
      </c>
      <c r="C98" s="26" t="s">
        <v>53</v>
      </c>
      <c r="D98" s="7"/>
      <c r="E98" s="7"/>
      <c r="F98" s="30" t="e">
        <f t="shared" si="74"/>
        <v>#DIV/0!</v>
      </c>
      <c r="G98" s="6"/>
      <c r="J98" s="36"/>
      <c r="K98" s="12"/>
      <c r="L98" s="12"/>
      <c r="M98" s="62"/>
      <c r="N98" s="13"/>
      <c r="O98" s="8"/>
      <c r="P98" s="13"/>
      <c r="Q98" s="13"/>
      <c r="R98" s="9"/>
      <c r="S98" s="9"/>
    </row>
    <row r="99" spans="1:19" x14ac:dyDescent="0.3">
      <c r="A99" s="78"/>
      <c r="B99" s="73"/>
      <c r="C99" s="10" t="s">
        <v>4</v>
      </c>
      <c r="D99" s="10"/>
      <c r="E99" s="10"/>
      <c r="F99" s="28" t="e">
        <f t="shared" si="75"/>
        <v>#DIV/0!</v>
      </c>
      <c r="G99" s="6"/>
      <c r="J99" s="36"/>
      <c r="K99" s="12"/>
      <c r="L99" s="12"/>
      <c r="M99" s="62"/>
      <c r="N99" s="13"/>
      <c r="O99" s="8"/>
      <c r="P99" s="13"/>
      <c r="Q99" s="13"/>
      <c r="R99" s="9"/>
      <c r="S99" s="9"/>
    </row>
    <row r="100" spans="1:19" ht="14.55" thickBot="1" x14ac:dyDescent="0.35">
      <c r="A100" s="79"/>
      <c r="B100" s="76"/>
      <c r="C100" s="11" t="s">
        <v>2</v>
      </c>
      <c r="D100" s="31"/>
      <c r="E100" s="31"/>
      <c r="F100" s="32" t="e">
        <f t="shared" si="73"/>
        <v>#DIV/0!</v>
      </c>
      <c r="G100" s="6"/>
      <c r="J100" s="36"/>
      <c r="K100" s="12"/>
      <c r="L100" s="12"/>
      <c r="M100" s="62"/>
      <c r="N100" s="13"/>
      <c r="O100" s="8"/>
      <c r="P100" s="13"/>
      <c r="Q100" s="13"/>
      <c r="R100" s="9"/>
      <c r="S100" s="9"/>
    </row>
    <row r="101" spans="1:19" ht="14.55" thickTop="1" x14ac:dyDescent="0.3">
      <c r="A101" s="80"/>
      <c r="B101" s="72">
        <v>1</v>
      </c>
      <c r="C101" s="26" t="s">
        <v>53</v>
      </c>
      <c r="D101" s="26"/>
      <c r="E101" s="26"/>
      <c r="F101" s="30" t="e">
        <f t="shared" si="74"/>
        <v>#DIV/0!</v>
      </c>
      <c r="G101" s="6"/>
      <c r="J101" s="36"/>
      <c r="K101" s="12"/>
      <c r="L101" s="12"/>
      <c r="M101" s="62"/>
      <c r="N101" s="13"/>
      <c r="O101" s="8"/>
      <c r="P101" s="13"/>
      <c r="Q101" s="13"/>
      <c r="R101" s="9"/>
      <c r="S101" s="9"/>
    </row>
    <row r="102" spans="1:19" x14ac:dyDescent="0.3">
      <c r="A102" s="78"/>
      <c r="B102" s="73"/>
      <c r="C102" s="10" t="s">
        <v>4</v>
      </c>
      <c r="D102" s="10"/>
      <c r="E102" s="10"/>
      <c r="F102" s="28" t="e">
        <f t="shared" si="75"/>
        <v>#DIV/0!</v>
      </c>
      <c r="G102" s="6"/>
      <c r="J102" s="36"/>
      <c r="K102" s="12"/>
      <c r="L102" s="12"/>
      <c r="M102" s="62"/>
      <c r="N102" s="13"/>
      <c r="O102" s="8"/>
      <c r="P102" s="13"/>
      <c r="Q102" s="13"/>
      <c r="R102" s="9"/>
      <c r="S102" s="9"/>
    </row>
    <row r="103" spans="1:19" ht="14.55" thickBot="1" x14ac:dyDescent="0.35">
      <c r="A103" s="78"/>
      <c r="B103" s="74"/>
      <c r="C103" s="11" t="s">
        <v>2</v>
      </c>
      <c r="D103" s="11"/>
      <c r="E103" s="11"/>
      <c r="F103" s="32" t="e">
        <f t="shared" si="73"/>
        <v>#DIV/0!</v>
      </c>
      <c r="G103" s="6"/>
      <c r="J103" s="36"/>
      <c r="K103" s="12"/>
      <c r="L103" s="12"/>
      <c r="M103" s="62"/>
      <c r="N103" s="13"/>
      <c r="O103" s="8"/>
      <c r="P103" s="13"/>
      <c r="Q103" s="13"/>
      <c r="R103" s="9"/>
      <c r="S103" s="9"/>
    </row>
    <row r="104" spans="1:19" ht="14.55" thickTop="1" x14ac:dyDescent="0.3">
      <c r="A104" s="78"/>
      <c r="B104" s="75">
        <v>2</v>
      </c>
      <c r="C104" s="26" t="s">
        <v>53</v>
      </c>
      <c r="D104" s="7"/>
      <c r="E104" s="7"/>
      <c r="F104" s="30" t="e">
        <f t="shared" si="74"/>
        <v>#DIV/0!</v>
      </c>
      <c r="G104" s="6"/>
      <c r="J104" s="36"/>
      <c r="K104" s="12"/>
      <c r="L104" s="12"/>
      <c r="M104" s="62"/>
      <c r="N104" s="13"/>
      <c r="O104" s="8"/>
      <c r="P104" s="13"/>
      <c r="Q104" s="13"/>
      <c r="R104" s="9"/>
      <c r="S104" s="9"/>
    </row>
    <row r="105" spans="1:19" x14ac:dyDescent="0.3">
      <c r="A105" s="78"/>
      <c r="B105" s="73"/>
      <c r="C105" s="10" t="s">
        <v>4</v>
      </c>
      <c r="D105" s="10"/>
      <c r="E105" s="10"/>
      <c r="F105" s="28" t="e">
        <f t="shared" si="75"/>
        <v>#DIV/0!</v>
      </c>
      <c r="G105" s="6"/>
      <c r="J105" s="36"/>
      <c r="K105" s="12"/>
      <c r="L105" s="12"/>
      <c r="M105" s="62"/>
      <c r="N105" s="13"/>
      <c r="O105" s="8"/>
      <c r="P105" s="13"/>
      <c r="Q105" s="13"/>
      <c r="R105" s="9"/>
      <c r="S105" s="9"/>
    </row>
    <row r="106" spans="1:19" ht="14.55" thickBot="1" x14ac:dyDescent="0.35">
      <c r="A106" s="78"/>
      <c r="B106" s="74"/>
      <c r="C106" s="11" t="s">
        <v>2</v>
      </c>
      <c r="D106" s="11"/>
      <c r="E106" s="11"/>
      <c r="F106" s="32" t="e">
        <f t="shared" si="73"/>
        <v>#DIV/0!</v>
      </c>
      <c r="G106" s="6"/>
      <c r="J106" s="36"/>
      <c r="K106" s="12"/>
      <c r="L106" s="12"/>
      <c r="M106" s="62"/>
      <c r="N106" s="13"/>
      <c r="O106" s="8"/>
      <c r="P106" s="13"/>
      <c r="Q106" s="13"/>
      <c r="R106" s="9"/>
      <c r="S106" s="9"/>
    </row>
    <row r="107" spans="1:19" ht="14.55" thickTop="1" x14ac:dyDescent="0.3">
      <c r="A107" s="78"/>
      <c r="B107" s="75">
        <v>3</v>
      </c>
      <c r="C107" s="26" t="s">
        <v>53</v>
      </c>
      <c r="D107" s="7"/>
      <c r="E107" s="7"/>
      <c r="F107" s="30" t="e">
        <f t="shared" si="74"/>
        <v>#DIV/0!</v>
      </c>
      <c r="G107" s="6"/>
      <c r="J107" s="36"/>
      <c r="K107" s="12"/>
      <c r="L107" s="12"/>
      <c r="M107" s="62"/>
      <c r="N107" s="13"/>
      <c r="O107" s="8"/>
      <c r="P107" s="13"/>
      <c r="Q107" s="13"/>
      <c r="R107" s="9"/>
      <c r="S107" s="9"/>
    </row>
    <row r="108" spans="1:19" x14ac:dyDescent="0.3">
      <c r="A108" s="78"/>
      <c r="B108" s="73"/>
      <c r="C108" s="10" t="s">
        <v>4</v>
      </c>
      <c r="D108" s="10"/>
      <c r="E108" s="10"/>
      <c r="F108" s="28" t="e">
        <f t="shared" si="75"/>
        <v>#DIV/0!</v>
      </c>
      <c r="G108" s="6"/>
      <c r="J108" s="36"/>
      <c r="K108" s="12"/>
      <c r="L108" s="12"/>
      <c r="M108" s="62"/>
      <c r="N108" s="13"/>
      <c r="O108" s="8"/>
      <c r="P108" s="13"/>
      <c r="Q108" s="13"/>
      <c r="R108" s="9"/>
      <c r="S108" s="9"/>
    </row>
    <row r="109" spans="1:19" ht="14.55" thickBot="1" x14ac:dyDescent="0.35">
      <c r="A109" s="79"/>
      <c r="B109" s="76"/>
      <c r="C109" s="11" t="s">
        <v>2</v>
      </c>
      <c r="D109" s="31"/>
      <c r="E109" s="31"/>
      <c r="F109" s="32" t="e">
        <f t="shared" si="73"/>
        <v>#DIV/0!</v>
      </c>
      <c r="G109" s="6"/>
      <c r="J109" s="36"/>
      <c r="K109" s="12"/>
      <c r="L109" s="12"/>
      <c r="M109" s="62"/>
      <c r="N109" s="13"/>
      <c r="O109" s="8"/>
      <c r="P109" s="13"/>
      <c r="Q109" s="13"/>
      <c r="R109" s="9"/>
      <c r="S109" s="9"/>
    </row>
    <row r="110" spans="1:19" ht="14.55" thickTop="1" x14ac:dyDescent="0.3">
      <c r="A110" s="45"/>
      <c r="B110" s="72">
        <v>1</v>
      </c>
      <c r="C110" s="26"/>
      <c r="D110" s="26"/>
      <c r="E110" s="26"/>
      <c r="F110" s="27"/>
      <c r="G110" s="6"/>
      <c r="J110" s="36"/>
      <c r="K110" s="12"/>
      <c r="L110" s="12"/>
      <c r="M110" s="62"/>
      <c r="N110" s="13"/>
      <c r="O110" s="8"/>
      <c r="P110" s="13"/>
      <c r="Q110" s="13"/>
      <c r="R110" s="9"/>
      <c r="S110" s="9"/>
    </row>
    <row r="111" spans="1:19" x14ac:dyDescent="0.3">
      <c r="A111" s="46"/>
      <c r="B111" s="73"/>
      <c r="C111" s="10"/>
      <c r="D111" s="10"/>
      <c r="E111" s="10"/>
      <c r="F111" s="28"/>
      <c r="G111" s="6"/>
      <c r="J111" s="36"/>
      <c r="K111" s="12"/>
      <c r="L111" s="12"/>
      <c r="M111" s="62"/>
      <c r="N111" s="13"/>
      <c r="O111" s="8"/>
      <c r="P111" s="13"/>
      <c r="Q111" s="13"/>
      <c r="R111" s="9"/>
      <c r="S111" s="9"/>
    </row>
    <row r="112" spans="1:19" ht="14.55" thickBot="1" x14ac:dyDescent="0.35">
      <c r="A112" s="46"/>
      <c r="B112" s="74"/>
      <c r="C112" s="11"/>
      <c r="D112" s="11"/>
      <c r="E112" s="11"/>
      <c r="F112" s="29"/>
      <c r="G112" s="6"/>
      <c r="J112" s="36"/>
      <c r="K112" s="12"/>
      <c r="L112" s="12"/>
      <c r="M112" s="62"/>
      <c r="N112" s="13"/>
      <c r="O112" s="8"/>
      <c r="P112" s="13"/>
      <c r="Q112" s="13"/>
      <c r="R112" s="9"/>
      <c r="S112" s="9"/>
    </row>
    <row r="113" spans="1:19" x14ac:dyDescent="0.3">
      <c r="A113" s="46"/>
      <c r="B113" s="75">
        <v>2</v>
      </c>
      <c r="C113" s="7"/>
      <c r="D113" s="7"/>
      <c r="E113" s="7"/>
      <c r="F113" s="30"/>
      <c r="G113" s="6"/>
      <c r="J113" s="36"/>
      <c r="K113" s="12"/>
      <c r="L113" s="12"/>
      <c r="M113" s="62"/>
      <c r="N113" s="13"/>
      <c r="O113" s="8"/>
      <c r="P113" s="13"/>
      <c r="Q113" s="13"/>
      <c r="R113" s="9"/>
      <c r="S113" s="9"/>
    </row>
    <row r="114" spans="1:19" x14ac:dyDescent="0.3">
      <c r="A114" s="46"/>
      <c r="B114" s="73"/>
      <c r="C114" s="10"/>
      <c r="D114" s="10"/>
      <c r="E114" s="10"/>
      <c r="F114" s="28"/>
      <c r="G114" s="6"/>
      <c r="J114" s="36"/>
      <c r="K114" s="12"/>
      <c r="L114" s="12"/>
      <c r="M114" s="62"/>
      <c r="N114" s="13"/>
      <c r="O114" s="8"/>
      <c r="P114" s="13"/>
      <c r="Q114" s="13"/>
      <c r="R114" s="9"/>
      <c r="S114" s="9"/>
    </row>
    <row r="115" spans="1:19" ht="14.55" thickBot="1" x14ac:dyDescent="0.35">
      <c r="A115" s="46"/>
      <c r="B115" s="74"/>
      <c r="C115" s="11"/>
      <c r="D115" s="11"/>
      <c r="E115" s="11"/>
      <c r="F115" s="29"/>
      <c r="G115" s="6"/>
      <c r="J115" s="36"/>
      <c r="K115" s="12"/>
      <c r="L115" s="12"/>
      <c r="M115" s="62"/>
      <c r="N115" s="13"/>
      <c r="O115" s="8"/>
      <c r="P115" s="13"/>
      <c r="Q115" s="13"/>
      <c r="R115" s="9"/>
      <c r="S115" s="9"/>
    </row>
    <row r="116" spans="1:19" x14ac:dyDescent="0.3">
      <c r="A116" s="46"/>
      <c r="B116" s="75">
        <v>3</v>
      </c>
      <c r="C116" s="7"/>
      <c r="D116" s="7"/>
      <c r="E116" s="7"/>
      <c r="F116" s="30"/>
      <c r="G116" s="6"/>
      <c r="J116" s="36"/>
      <c r="K116" s="12"/>
      <c r="L116" s="12"/>
      <c r="M116" s="62"/>
      <c r="N116" s="13"/>
      <c r="O116" s="8"/>
      <c r="P116" s="13"/>
      <c r="Q116" s="13"/>
      <c r="R116" s="9"/>
      <c r="S116" s="9"/>
    </row>
    <row r="117" spans="1:19" x14ac:dyDescent="0.3">
      <c r="A117" s="46"/>
      <c r="B117" s="73"/>
      <c r="C117" s="10"/>
      <c r="D117" s="10"/>
      <c r="E117" s="10"/>
      <c r="F117" s="28"/>
      <c r="G117" s="6"/>
      <c r="J117" s="36"/>
      <c r="K117" s="12"/>
      <c r="L117" s="12"/>
      <c r="M117" s="62"/>
      <c r="N117" s="13"/>
      <c r="O117" s="8"/>
      <c r="P117" s="13"/>
      <c r="Q117" s="13"/>
      <c r="R117" s="9"/>
      <c r="S117" s="9"/>
    </row>
    <row r="118" spans="1:19" ht="14.55" thickBot="1" x14ac:dyDescent="0.35">
      <c r="A118" s="47"/>
      <c r="B118" s="76"/>
      <c r="C118" s="31"/>
      <c r="D118" s="31"/>
      <c r="E118" s="31"/>
      <c r="F118" s="32"/>
      <c r="G118" s="6"/>
      <c r="J118" s="36"/>
      <c r="K118" s="12"/>
      <c r="L118" s="12"/>
      <c r="M118" s="62"/>
      <c r="N118" s="13"/>
      <c r="O118" s="8"/>
      <c r="P118" s="13"/>
      <c r="Q118" s="13"/>
      <c r="R118" s="9"/>
      <c r="S118" s="9"/>
    </row>
    <row r="119" spans="1:19" ht="14.55" thickTop="1" x14ac:dyDescent="0.3">
      <c r="A119" s="45"/>
      <c r="B119" s="48"/>
      <c r="C119" s="26"/>
      <c r="D119" s="26"/>
      <c r="E119" s="26"/>
      <c r="F119" s="27"/>
      <c r="G119" s="6"/>
      <c r="J119" s="36"/>
      <c r="K119" s="12"/>
      <c r="L119" s="12"/>
      <c r="M119" s="62"/>
      <c r="N119" s="13"/>
      <c r="O119" s="8"/>
      <c r="P119" s="13"/>
      <c r="Q119" s="13"/>
      <c r="R119" s="9"/>
      <c r="S119" s="9"/>
    </row>
    <row r="120" spans="1:19" x14ac:dyDescent="0.3">
      <c r="A120" s="46"/>
      <c r="B120" s="49"/>
      <c r="C120" s="10"/>
      <c r="D120" s="10"/>
      <c r="E120" s="10"/>
      <c r="F120" s="28"/>
      <c r="G120" s="6"/>
      <c r="J120" s="36"/>
      <c r="K120" s="12"/>
      <c r="L120" s="12"/>
      <c r="M120" s="62"/>
      <c r="N120" s="13"/>
      <c r="O120" s="8"/>
      <c r="P120" s="13"/>
      <c r="Q120" s="13"/>
      <c r="R120" s="9"/>
      <c r="S120" s="9"/>
    </row>
    <row r="121" spans="1:19" ht="14.55" thickBot="1" x14ac:dyDescent="0.35">
      <c r="A121" s="46"/>
      <c r="B121" s="50"/>
      <c r="C121" s="11"/>
      <c r="D121" s="11"/>
      <c r="E121" s="11"/>
      <c r="F121" s="29"/>
      <c r="G121" s="6"/>
      <c r="J121" s="36"/>
      <c r="K121" s="12"/>
      <c r="L121" s="12"/>
      <c r="M121" s="62"/>
      <c r="N121" s="13"/>
      <c r="O121" s="8"/>
      <c r="P121" s="13"/>
      <c r="Q121" s="13"/>
      <c r="R121" s="9"/>
      <c r="S121" s="9"/>
    </row>
    <row r="122" spans="1:19" x14ac:dyDescent="0.3">
      <c r="A122" s="46"/>
      <c r="B122" s="51"/>
      <c r="C122" s="7"/>
      <c r="D122" s="7"/>
      <c r="E122" s="7"/>
      <c r="F122" s="30"/>
      <c r="G122" s="6"/>
      <c r="J122" s="36"/>
      <c r="K122" s="12"/>
      <c r="L122" s="12"/>
      <c r="M122" s="62"/>
      <c r="N122" s="13"/>
      <c r="O122" s="8"/>
      <c r="P122" s="13"/>
      <c r="Q122" s="13"/>
      <c r="R122" s="9"/>
      <c r="S122" s="9"/>
    </row>
    <row r="123" spans="1:19" x14ac:dyDescent="0.3">
      <c r="A123" s="46"/>
      <c r="B123" s="49"/>
      <c r="C123" s="10"/>
      <c r="D123" s="10"/>
      <c r="E123" s="10"/>
      <c r="F123" s="28"/>
      <c r="G123" s="6"/>
      <c r="J123" s="36"/>
      <c r="K123" s="12"/>
      <c r="L123" s="12"/>
      <c r="M123" s="62"/>
      <c r="N123" s="13"/>
      <c r="O123" s="8"/>
      <c r="P123" s="13"/>
      <c r="Q123" s="13"/>
      <c r="R123" s="9"/>
      <c r="S123" s="9"/>
    </row>
    <row r="124" spans="1:19" ht="14.55" thickBot="1" x14ac:dyDescent="0.35">
      <c r="A124" s="46"/>
      <c r="B124" s="50"/>
      <c r="C124" s="11"/>
      <c r="D124" s="11"/>
      <c r="E124" s="11"/>
      <c r="F124" s="29"/>
      <c r="G124" s="6"/>
      <c r="J124" s="36"/>
      <c r="K124" s="12"/>
      <c r="L124" s="12"/>
      <c r="M124" s="62"/>
      <c r="N124" s="13"/>
      <c r="O124" s="8"/>
      <c r="P124" s="13"/>
      <c r="Q124" s="13"/>
      <c r="R124" s="9"/>
      <c r="S124" s="9"/>
    </row>
    <row r="125" spans="1:19" x14ac:dyDescent="0.3">
      <c r="A125" s="46"/>
      <c r="B125" s="51"/>
      <c r="C125" s="7"/>
      <c r="D125" s="7"/>
      <c r="E125" s="7"/>
      <c r="F125" s="30"/>
      <c r="G125" s="6"/>
      <c r="J125" s="36"/>
      <c r="K125" s="12"/>
      <c r="L125" s="12"/>
      <c r="M125" s="62"/>
      <c r="N125" s="13"/>
      <c r="O125" s="8"/>
      <c r="P125" s="13"/>
      <c r="Q125" s="13"/>
      <c r="R125" s="9"/>
      <c r="S125" s="9"/>
    </row>
    <row r="126" spans="1:19" x14ac:dyDescent="0.3">
      <c r="A126" s="46"/>
      <c r="B126" s="49"/>
      <c r="C126" s="10"/>
      <c r="D126" s="10"/>
      <c r="E126" s="10"/>
      <c r="F126" s="28"/>
      <c r="G126" s="6"/>
      <c r="J126" s="36"/>
      <c r="K126" s="12"/>
      <c r="L126" s="12"/>
      <c r="M126" s="62"/>
      <c r="N126" s="13"/>
      <c r="O126" s="8"/>
      <c r="P126" s="13"/>
      <c r="Q126" s="13"/>
      <c r="R126" s="9"/>
      <c r="S126" s="9"/>
    </row>
    <row r="127" spans="1:19" ht="14.55" thickBot="1" x14ac:dyDescent="0.35">
      <c r="A127" s="47"/>
      <c r="B127" s="52"/>
      <c r="C127" s="31"/>
      <c r="D127" s="31"/>
      <c r="E127" s="31"/>
      <c r="F127" s="32"/>
      <c r="G127" s="6"/>
      <c r="J127" s="36"/>
      <c r="K127" s="12"/>
      <c r="L127" s="12"/>
      <c r="M127" s="62"/>
      <c r="N127" s="13"/>
      <c r="O127" s="8"/>
      <c r="P127" s="13"/>
      <c r="Q127" s="13"/>
      <c r="R127" s="9"/>
      <c r="S127" s="9"/>
    </row>
    <row r="128" spans="1:19" ht="14.55" thickTop="1" x14ac:dyDescent="0.3">
      <c r="A128" s="45"/>
      <c r="B128" s="48"/>
      <c r="C128" s="26"/>
      <c r="D128" s="26"/>
      <c r="E128" s="26"/>
      <c r="F128" s="27"/>
      <c r="G128" s="6"/>
      <c r="J128" s="36"/>
      <c r="K128" s="12"/>
      <c r="L128" s="12"/>
      <c r="M128" s="62"/>
      <c r="N128" s="13"/>
      <c r="O128" s="8"/>
      <c r="P128" s="13"/>
      <c r="Q128" s="13"/>
      <c r="R128" s="9"/>
      <c r="S128" s="9"/>
    </row>
    <row r="129" spans="1:19" x14ac:dyDescent="0.3">
      <c r="A129" s="46"/>
      <c r="B129" s="49"/>
      <c r="C129" s="10"/>
      <c r="D129" s="10"/>
      <c r="E129" s="10"/>
      <c r="F129" s="28"/>
      <c r="G129" s="6"/>
      <c r="J129" s="36"/>
      <c r="K129" s="12"/>
      <c r="L129" s="12"/>
      <c r="M129" s="62"/>
      <c r="N129" s="13"/>
      <c r="O129" s="8"/>
      <c r="P129" s="13"/>
      <c r="Q129" s="13"/>
      <c r="R129" s="9"/>
      <c r="S129" s="9"/>
    </row>
    <row r="130" spans="1:19" ht="14.55" thickBot="1" x14ac:dyDescent="0.35">
      <c r="A130" s="46"/>
      <c r="B130" s="50"/>
      <c r="C130" s="11"/>
      <c r="D130" s="11"/>
      <c r="E130" s="11"/>
      <c r="F130" s="29"/>
      <c r="G130" s="6"/>
      <c r="J130" s="36"/>
      <c r="K130" s="12"/>
      <c r="L130" s="12"/>
      <c r="M130" s="62"/>
      <c r="N130" s="13"/>
      <c r="O130" s="8"/>
      <c r="P130" s="13"/>
      <c r="Q130" s="13"/>
      <c r="R130" s="9"/>
      <c r="S130" s="9"/>
    </row>
    <row r="131" spans="1:19" x14ac:dyDescent="0.3">
      <c r="A131" s="46"/>
      <c r="B131" s="51"/>
      <c r="C131" s="7"/>
      <c r="D131" s="16"/>
      <c r="E131" s="16"/>
      <c r="F131" s="30"/>
      <c r="G131" s="6"/>
      <c r="J131" s="36"/>
      <c r="K131" s="12"/>
      <c r="L131" s="12"/>
      <c r="M131" s="62"/>
      <c r="N131" s="13"/>
      <c r="O131" s="8"/>
      <c r="P131" s="13"/>
      <c r="Q131" s="13"/>
      <c r="R131" s="9"/>
      <c r="S131" s="9"/>
    </row>
    <row r="132" spans="1:19" x14ac:dyDescent="0.3">
      <c r="A132" s="46"/>
      <c r="B132" s="49"/>
      <c r="C132" s="10"/>
      <c r="D132" s="10"/>
      <c r="E132" s="10"/>
      <c r="F132" s="28"/>
      <c r="G132" s="6"/>
      <c r="J132" s="36"/>
      <c r="K132" s="12"/>
      <c r="L132" s="12"/>
      <c r="M132" s="62"/>
      <c r="N132" s="13"/>
      <c r="O132" s="8"/>
      <c r="P132" s="13"/>
      <c r="Q132" s="13"/>
      <c r="R132" s="9"/>
      <c r="S132" s="9"/>
    </row>
    <row r="133" spans="1:19" ht="14.55" thickBot="1" x14ac:dyDescent="0.35">
      <c r="A133" s="46"/>
      <c r="B133" s="50"/>
      <c r="C133" s="11"/>
      <c r="D133" s="11"/>
      <c r="E133" s="11"/>
      <c r="F133" s="29"/>
      <c r="G133" s="6"/>
      <c r="J133" s="36"/>
      <c r="K133" s="12"/>
      <c r="L133" s="12"/>
      <c r="M133" s="62"/>
      <c r="N133" s="13"/>
      <c r="O133" s="8"/>
      <c r="P133" s="13"/>
      <c r="Q133" s="13"/>
      <c r="R133" s="9"/>
      <c r="S133" s="9"/>
    </row>
    <row r="134" spans="1:19" x14ac:dyDescent="0.3">
      <c r="A134" s="46"/>
      <c r="B134" s="51"/>
      <c r="C134" s="7"/>
      <c r="D134" s="7"/>
      <c r="E134" s="7"/>
      <c r="F134" s="30"/>
      <c r="G134" s="6"/>
      <c r="J134" s="36"/>
      <c r="K134" s="12"/>
      <c r="L134" s="12"/>
      <c r="M134" s="62"/>
      <c r="N134" s="13"/>
      <c r="O134" s="8"/>
      <c r="P134" s="13"/>
      <c r="Q134" s="13"/>
      <c r="R134" s="9"/>
      <c r="S134" s="9"/>
    </row>
    <row r="135" spans="1:19" x14ac:dyDescent="0.3">
      <c r="A135" s="46"/>
      <c r="B135" s="49"/>
      <c r="C135" s="10"/>
      <c r="D135" s="10"/>
      <c r="E135" s="10"/>
      <c r="F135" s="28"/>
      <c r="G135" s="6"/>
      <c r="J135" s="36"/>
      <c r="K135" s="12"/>
      <c r="L135" s="12"/>
      <c r="M135" s="62"/>
      <c r="N135" s="13"/>
      <c r="O135" s="8"/>
      <c r="P135" s="13"/>
      <c r="Q135" s="13"/>
      <c r="R135" s="9"/>
      <c r="S135" s="9"/>
    </row>
    <row r="136" spans="1:19" ht="14.55" thickBot="1" x14ac:dyDescent="0.35">
      <c r="A136" s="47"/>
      <c r="B136" s="52"/>
      <c r="C136" s="31"/>
      <c r="D136" s="31"/>
      <c r="E136" s="31"/>
      <c r="F136" s="32"/>
      <c r="G136" s="6"/>
      <c r="J136" s="36"/>
      <c r="K136" s="12"/>
      <c r="L136" s="12"/>
      <c r="M136" s="62"/>
      <c r="N136" s="13"/>
      <c r="O136" s="8"/>
      <c r="P136" s="13"/>
      <c r="Q136" s="13"/>
      <c r="R136" s="9"/>
      <c r="S136" s="9"/>
    </row>
    <row r="137" spans="1:19" ht="14.55" thickTop="1" x14ac:dyDescent="0.3">
      <c r="A137" s="45"/>
      <c r="B137" s="48"/>
      <c r="C137" s="26"/>
      <c r="D137" s="26"/>
      <c r="E137" s="26"/>
      <c r="F137" s="27"/>
      <c r="G137" s="6"/>
      <c r="J137" s="36"/>
      <c r="K137" s="12"/>
      <c r="L137" s="12"/>
      <c r="M137" s="62"/>
      <c r="N137" s="13"/>
      <c r="O137" s="8"/>
      <c r="P137" s="13"/>
      <c r="Q137" s="13"/>
      <c r="R137" s="9"/>
      <c r="S137" s="9"/>
    </row>
    <row r="138" spans="1:19" x14ac:dyDescent="0.3">
      <c r="A138" s="46"/>
      <c r="B138" s="49"/>
      <c r="C138" s="10"/>
      <c r="D138" s="10"/>
      <c r="E138" s="10"/>
      <c r="F138" s="28"/>
      <c r="G138" s="6"/>
      <c r="J138" s="36"/>
      <c r="K138" s="12"/>
      <c r="L138" s="12"/>
      <c r="M138" s="62"/>
      <c r="N138" s="13"/>
      <c r="O138" s="8"/>
      <c r="P138" s="13"/>
      <c r="Q138" s="13"/>
      <c r="R138" s="9"/>
      <c r="S138" s="9"/>
    </row>
    <row r="139" spans="1:19" ht="14.55" thickBot="1" x14ac:dyDescent="0.35">
      <c r="A139" s="46"/>
      <c r="B139" s="50"/>
      <c r="C139" s="11"/>
      <c r="D139" s="11"/>
      <c r="E139" s="11"/>
      <c r="F139" s="29"/>
      <c r="G139" s="6"/>
      <c r="J139" s="36"/>
      <c r="K139" s="12"/>
      <c r="L139" s="12"/>
      <c r="M139" s="62"/>
      <c r="N139" s="13"/>
      <c r="O139" s="8"/>
      <c r="P139" s="13"/>
      <c r="Q139" s="13"/>
      <c r="R139" s="9"/>
      <c r="S139" s="9"/>
    </row>
    <row r="140" spans="1:19" x14ac:dyDescent="0.3">
      <c r="A140" s="46"/>
      <c r="B140" s="51"/>
      <c r="C140" s="7"/>
      <c r="D140" s="7"/>
      <c r="E140" s="7"/>
      <c r="F140" s="30"/>
      <c r="G140" s="6"/>
      <c r="J140" s="36"/>
      <c r="K140" s="12"/>
      <c r="L140" s="12"/>
      <c r="M140" s="62"/>
      <c r="N140" s="13"/>
      <c r="O140" s="8"/>
      <c r="P140" s="13"/>
      <c r="Q140" s="13"/>
      <c r="R140" s="9"/>
      <c r="S140" s="9"/>
    </row>
    <row r="141" spans="1:19" x14ac:dyDescent="0.3">
      <c r="A141" s="46"/>
      <c r="B141" s="49"/>
      <c r="C141" s="10"/>
      <c r="D141" s="10"/>
      <c r="E141" s="10"/>
      <c r="F141" s="28"/>
      <c r="G141" s="6"/>
      <c r="J141" s="36"/>
      <c r="K141" s="12"/>
      <c r="L141" s="12"/>
      <c r="M141" s="62"/>
      <c r="N141" s="13"/>
      <c r="O141" s="8"/>
      <c r="P141" s="13"/>
      <c r="Q141" s="13"/>
      <c r="R141" s="9"/>
      <c r="S141" s="9"/>
    </row>
    <row r="142" spans="1:19" ht="14.55" thickBot="1" x14ac:dyDescent="0.35">
      <c r="A142" s="46"/>
      <c r="B142" s="50"/>
      <c r="C142" s="11"/>
      <c r="D142" s="11"/>
      <c r="E142" s="11"/>
      <c r="F142" s="29"/>
      <c r="G142" s="6"/>
      <c r="J142" s="36"/>
      <c r="K142" s="12"/>
      <c r="L142" s="12"/>
      <c r="M142" s="62"/>
      <c r="N142" s="13"/>
      <c r="O142" s="8"/>
      <c r="P142" s="13"/>
      <c r="Q142" s="13"/>
      <c r="R142" s="9"/>
      <c r="S142" s="9"/>
    </row>
    <row r="143" spans="1:19" x14ac:dyDescent="0.3">
      <c r="A143" s="46"/>
      <c r="B143" s="51"/>
      <c r="C143" s="7"/>
      <c r="D143" s="7"/>
      <c r="E143" s="7"/>
      <c r="F143" s="30"/>
      <c r="G143" s="6"/>
      <c r="J143" s="36"/>
      <c r="K143" s="12"/>
      <c r="L143" s="12"/>
      <c r="M143" s="62"/>
      <c r="N143" s="13"/>
      <c r="O143" s="8"/>
      <c r="P143" s="13"/>
      <c r="Q143" s="13"/>
      <c r="R143" s="9"/>
      <c r="S143" s="9"/>
    </row>
    <row r="144" spans="1:19" x14ac:dyDescent="0.3">
      <c r="A144" s="46"/>
      <c r="B144" s="49"/>
      <c r="C144" s="10"/>
      <c r="D144" s="10"/>
      <c r="E144" s="10"/>
      <c r="F144" s="28"/>
      <c r="G144" s="6"/>
      <c r="J144" s="36"/>
      <c r="K144" s="12"/>
      <c r="L144" s="12"/>
      <c r="M144" s="62"/>
      <c r="N144" s="13"/>
      <c r="O144" s="8"/>
      <c r="P144" s="13"/>
      <c r="Q144" s="13"/>
      <c r="R144" s="9"/>
      <c r="S144" s="9"/>
    </row>
    <row r="145" spans="1:19" ht="14.55" thickBot="1" x14ac:dyDescent="0.35">
      <c r="A145" s="47"/>
      <c r="B145" s="52"/>
      <c r="C145" s="31"/>
      <c r="D145" s="31"/>
      <c r="E145" s="31"/>
      <c r="F145" s="32"/>
      <c r="G145" s="6"/>
      <c r="J145" s="36"/>
      <c r="K145" s="12"/>
      <c r="L145" s="12"/>
      <c r="M145" s="62"/>
      <c r="N145" s="13"/>
      <c r="O145" s="8"/>
      <c r="P145" s="13"/>
      <c r="Q145" s="13"/>
      <c r="R145" s="9"/>
      <c r="S145" s="9"/>
    </row>
    <row r="146" spans="1:19" ht="14.55" thickTop="1" x14ac:dyDescent="0.3">
      <c r="A146" s="45"/>
      <c r="B146" s="48"/>
      <c r="C146" s="26"/>
      <c r="D146" s="26"/>
      <c r="E146" s="26"/>
      <c r="F146" s="27"/>
      <c r="G146" s="6"/>
      <c r="J146" s="36"/>
      <c r="K146" s="12"/>
      <c r="L146" s="12"/>
      <c r="M146" s="62"/>
      <c r="N146" s="13"/>
      <c r="O146" s="8"/>
      <c r="P146" s="13"/>
      <c r="Q146" s="13"/>
      <c r="R146" s="9"/>
      <c r="S146" s="9"/>
    </row>
    <row r="147" spans="1:19" x14ac:dyDescent="0.3">
      <c r="A147" s="46"/>
      <c r="B147" s="49"/>
      <c r="C147" s="10"/>
      <c r="D147" s="10"/>
      <c r="E147" s="10"/>
      <c r="F147" s="28"/>
      <c r="G147" s="6"/>
      <c r="J147" s="36"/>
      <c r="K147" s="12"/>
      <c r="L147" s="12"/>
      <c r="M147" s="62"/>
      <c r="N147" s="13"/>
      <c r="O147" s="8"/>
      <c r="P147" s="13"/>
      <c r="Q147" s="13"/>
      <c r="R147" s="9"/>
      <c r="S147" s="9"/>
    </row>
    <row r="148" spans="1:19" ht="14.55" thickBot="1" x14ac:dyDescent="0.35">
      <c r="A148" s="46"/>
      <c r="B148" s="50"/>
      <c r="C148" s="11"/>
      <c r="D148" s="11"/>
      <c r="E148" s="11"/>
      <c r="F148" s="29"/>
      <c r="G148" s="6"/>
      <c r="J148" s="36"/>
      <c r="K148" s="12"/>
      <c r="L148" s="12"/>
      <c r="M148" s="62"/>
      <c r="N148" s="13"/>
      <c r="O148" s="8"/>
      <c r="P148" s="13"/>
      <c r="Q148" s="13"/>
      <c r="R148" s="9"/>
      <c r="S148" s="9"/>
    </row>
    <row r="149" spans="1:19" x14ac:dyDescent="0.3">
      <c r="A149" s="46"/>
      <c r="B149" s="51"/>
      <c r="C149" s="7"/>
      <c r="D149" s="7"/>
      <c r="E149" s="7"/>
      <c r="F149" s="30"/>
      <c r="G149" s="6"/>
      <c r="J149" s="36"/>
      <c r="K149" s="12"/>
      <c r="L149" s="12"/>
      <c r="M149" s="62"/>
      <c r="N149" s="13"/>
      <c r="O149" s="8"/>
      <c r="P149" s="13"/>
      <c r="Q149" s="13"/>
      <c r="R149" s="9"/>
      <c r="S149" s="9"/>
    </row>
    <row r="150" spans="1:19" x14ac:dyDescent="0.3">
      <c r="A150" s="46"/>
      <c r="B150" s="49"/>
      <c r="C150" s="10"/>
      <c r="D150" s="10"/>
      <c r="E150" s="10"/>
      <c r="F150" s="28"/>
      <c r="G150" s="6"/>
      <c r="J150" s="36"/>
      <c r="K150" s="12"/>
      <c r="L150" s="12"/>
      <c r="M150" s="62"/>
      <c r="N150" s="13"/>
      <c r="O150" s="8"/>
      <c r="P150" s="13"/>
      <c r="Q150" s="13"/>
      <c r="R150" s="9"/>
      <c r="S150" s="9"/>
    </row>
    <row r="151" spans="1:19" ht="14.55" thickBot="1" x14ac:dyDescent="0.35">
      <c r="A151" s="46"/>
      <c r="B151" s="50"/>
      <c r="C151" s="11"/>
      <c r="D151" s="11"/>
      <c r="E151" s="11"/>
      <c r="F151" s="29"/>
      <c r="G151" s="6"/>
      <c r="J151" s="36"/>
      <c r="K151" s="12"/>
      <c r="L151" s="12"/>
      <c r="M151" s="62"/>
      <c r="N151" s="13"/>
      <c r="O151" s="8"/>
      <c r="P151" s="13"/>
      <c r="Q151" s="13"/>
      <c r="R151" s="9"/>
      <c r="S151" s="9"/>
    </row>
    <row r="152" spans="1:19" x14ac:dyDescent="0.3">
      <c r="A152" s="46"/>
      <c r="B152" s="51"/>
      <c r="C152" s="7"/>
      <c r="D152" s="7"/>
      <c r="E152" s="7"/>
      <c r="F152" s="30"/>
      <c r="G152" s="6"/>
      <c r="J152" s="36"/>
      <c r="K152" s="12"/>
      <c r="L152" s="12"/>
      <c r="M152" s="62"/>
      <c r="N152" s="13"/>
      <c r="O152" s="8"/>
      <c r="P152" s="13"/>
      <c r="Q152" s="13"/>
      <c r="R152" s="9"/>
      <c r="S152" s="9"/>
    </row>
    <row r="153" spans="1:19" x14ac:dyDescent="0.3">
      <c r="A153" s="46"/>
      <c r="B153" s="49"/>
      <c r="C153" s="10"/>
      <c r="D153" s="10"/>
      <c r="E153" s="10"/>
      <c r="F153" s="28"/>
      <c r="G153" s="6"/>
      <c r="J153" s="36"/>
      <c r="K153" s="12"/>
      <c r="L153" s="12"/>
      <c r="M153" s="62"/>
      <c r="N153" s="13"/>
      <c r="O153" s="8"/>
      <c r="P153" s="13"/>
      <c r="Q153" s="13"/>
      <c r="R153" s="9"/>
      <c r="S153" s="9"/>
    </row>
    <row r="154" spans="1:19" ht="14.55" thickBot="1" x14ac:dyDescent="0.35">
      <c r="A154" s="47"/>
      <c r="B154" s="52"/>
      <c r="C154" s="31"/>
      <c r="D154" s="31"/>
      <c r="E154" s="31"/>
      <c r="F154" s="32"/>
      <c r="G154" s="6"/>
      <c r="J154" s="36"/>
      <c r="K154" s="12"/>
      <c r="L154" s="12"/>
      <c r="M154" s="62"/>
      <c r="N154" s="13"/>
      <c r="O154" s="8"/>
      <c r="P154" s="13"/>
      <c r="Q154" s="13"/>
      <c r="R154" s="9"/>
      <c r="S154" s="9"/>
    </row>
    <row r="155" spans="1:19" ht="14.55" thickTop="1" x14ac:dyDescent="0.3">
      <c r="A155" s="45"/>
      <c r="B155" s="48"/>
      <c r="C155" s="26"/>
      <c r="D155" s="33"/>
      <c r="E155" s="33"/>
      <c r="F155" s="27"/>
      <c r="G155" s="6"/>
      <c r="J155" s="36"/>
      <c r="K155" s="12"/>
      <c r="L155" s="12"/>
      <c r="M155" s="62"/>
      <c r="N155" s="13"/>
      <c r="O155" s="8"/>
      <c r="P155" s="13"/>
      <c r="Q155" s="13"/>
      <c r="R155" s="9"/>
      <c r="S155" s="9"/>
    </row>
    <row r="156" spans="1:19" x14ac:dyDescent="0.3">
      <c r="A156" s="46"/>
      <c r="B156" s="49"/>
      <c r="C156" s="10"/>
      <c r="D156" s="10"/>
      <c r="E156" s="10"/>
      <c r="F156" s="28"/>
      <c r="G156" s="6"/>
      <c r="J156" s="36"/>
      <c r="K156" s="12"/>
      <c r="L156" s="12"/>
      <c r="M156" s="62"/>
      <c r="N156" s="13"/>
      <c r="O156" s="8"/>
      <c r="P156" s="13"/>
      <c r="Q156" s="13"/>
      <c r="R156" s="9"/>
      <c r="S156" s="9"/>
    </row>
    <row r="157" spans="1:19" ht="14.55" thickBot="1" x14ac:dyDescent="0.35">
      <c r="A157" s="46"/>
      <c r="B157" s="50"/>
      <c r="C157" s="11"/>
      <c r="D157" s="11"/>
      <c r="E157" s="11"/>
      <c r="F157" s="29"/>
      <c r="G157" s="6"/>
      <c r="J157" s="36"/>
      <c r="K157" s="12"/>
      <c r="L157" s="12"/>
      <c r="M157" s="62"/>
      <c r="N157" s="13"/>
      <c r="O157" s="8"/>
      <c r="P157" s="13"/>
      <c r="Q157" s="13"/>
      <c r="R157" s="9"/>
      <c r="S157" s="9"/>
    </row>
    <row r="158" spans="1:19" x14ac:dyDescent="0.3">
      <c r="A158" s="46"/>
      <c r="B158" s="51"/>
      <c r="C158" s="7"/>
      <c r="D158" s="16"/>
      <c r="E158" s="16"/>
      <c r="F158" s="30"/>
      <c r="G158" s="6"/>
      <c r="J158" s="36"/>
      <c r="K158" s="12"/>
      <c r="L158" s="12"/>
      <c r="M158" s="62"/>
      <c r="N158" s="13"/>
      <c r="O158" s="8"/>
      <c r="P158" s="13"/>
      <c r="Q158" s="13"/>
      <c r="R158" s="9"/>
      <c r="S158" s="9"/>
    </row>
    <row r="159" spans="1:19" x14ac:dyDescent="0.3">
      <c r="A159" s="46"/>
      <c r="B159" s="49"/>
      <c r="C159" s="10"/>
      <c r="D159" s="10"/>
      <c r="E159" s="10"/>
      <c r="F159" s="28"/>
      <c r="G159" s="6"/>
      <c r="J159" s="36"/>
      <c r="K159" s="12"/>
      <c r="L159" s="12"/>
      <c r="M159" s="62"/>
      <c r="N159" s="13"/>
      <c r="O159" s="8"/>
      <c r="P159" s="13"/>
      <c r="Q159" s="13"/>
      <c r="R159" s="9"/>
      <c r="S159" s="9"/>
    </row>
    <row r="160" spans="1:19" ht="14.55" thickBot="1" x14ac:dyDescent="0.35">
      <c r="A160" s="46"/>
      <c r="B160" s="50"/>
      <c r="C160" s="11"/>
      <c r="D160" s="11"/>
      <c r="E160" s="11"/>
      <c r="F160" s="29"/>
      <c r="G160" s="6"/>
      <c r="J160" s="36"/>
      <c r="K160" s="12"/>
      <c r="L160" s="12"/>
      <c r="M160" s="62"/>
      <c r="N160" s="13"/>
      <c r="O160" s="8"/>
      <c r="P160" s="13"/>
      <c r="Q160" s="13"/>
      <c r="R160" s="9"/>
      <c r="S160" s="9"/>
    </row>
    <row r="161" spans="1:19" x14ac:dyDescent="0.3">
      <c r="A161" s="46"/>
      <c r="B161" s="51"/>
      <c r="C161" s="7"/>
      <c r="D161" s="7"/>
      <c r="E161" s="7"/>
      <c r="F161" s="30"/>
      <c r="G161" s="6"/>
      <c r="J161" s="36"/>
      <c r="K161" s="12"/>
      <c r="L161" s="12"/>
      <c r="M161" s="62"/>
      <c r="N161" s="13"/>
      <c r="O161" s="8"/>
      <c r="P161" s="13"/>
      <c r="Q161" s="13"/>
      <c r="R161" s="9"/>
      <c r="S161" s="9"/>
    </row>
    <row r="162" spans="1:19" x14ac:dyDescent="0.3">
      <c r="A162" s="46"/>
      <c r="B162" s="49"/>
      <c r="C162" s="10"/>
      <c r="D162" s="10"/>
      <c r="E162" s="10"/>
      <c r="F162" s="28"/>
      <c r="G162" s="6"/>
      <c r="J162" s="36"/>
      <c r="K162" s="12"/>
      <c r="L162" s="12"/>
      <c r="M162" s="62"/>
      <c r="N162" s="13"/>
      <c r="O162" s="8"/>
      <c r="P162" s="13"/>
      <c r="Q162" s="13"/>
      <c r="R162" s="9"/>
      <c r="S162" s="9"/>
    </row>
    <row r="163" spans="1:19" ht="14.55" thickBot="1" x14ac:dyDescent="0.35">
      <c r="A163" s="47"/>
      <c r="B163" s="52"/>
      <c r="C163" s="31"/>
      <c r="D163" s="31"/>
      <c r="E163" s="31"/>
      <c r="F163" s="32"/>
      <c r="G163" s="6"/>
      <c r="J163" s="36"/>
      <c r="K163" s="12"/>
      <c r="L163" s="12"/>
      <c r="M163" s="62"/>
      <c r="N163" s="13"/>
      <c r="O163" s="8"/>
      <c r="P163" s="13"/>
      <c r="Q163" s="13"/>
      <c r="R163" s="9"/>
      <c r="S163" s="9"/>
    </row>
    <row r="164" spans="1:19" ht="14.55" thickTop="1" x14ac:dyDescent="0.3">
      <c r="A164" s="45"/>
      <c r="B164" s="48"/>
      <c r="C164" s="26"/>
      <c r="D164" s="26"/>
      <c r="E164" s="26"/>
      <c r="F164" s="27"/>
      <c r="G164" s="6"/>
      <c r="J164" s="36"/>
      <c r="K164" s="12"/>
      <c r="L164" s="12"/>
      <c r="M164" s="62"/>
      <c r="N164" s="13"/>
      <c r="O164" s="8"/>
      <c r="P164" s="17"/>
      <c r="Q164" s="17"/>
      <c r="R164" s="9"/>
      <c r="S164" s="9"/>
    </row>
    <row r="165" spans="1:19" x14ac:dyDescent="0.3">
      <c r="A165" s="46"/>
      <c r="B165" s="49"/>
      <c r="C165" s="10"/>
      <c r="D165" s="10"/>
      <c r="E165" s="10"/>
      <c r="F165" s="28"/>
      <c r="G165" s="6"/>
      <c r="J165" s="36"/>
      <c r="K165" s="12"/>
      <c r="L165" s="12"/>
      <c r="M165" s="62"/>
      <c r="N165" s="13"/>
      <c r="O165" s="8"/>
      <c r="P165" s="17"/>
      <c r="Q165" s="17"/>
      <c r="R165" s="9"/>
      <c r="S165" s="9"/>
    </row>
    <row r="166" spans="1:19" ht="14.55" thickBot="1" x14ac:dyDescent="0.35">
      <c r="A166" s="46"/>
      <c r="B166" s="50"/>
      <c r="C166" s="11"/>
      <c r="D166" s="11"/>
      <c r="E166" s="11"/>
      <c r="F166" s="29"/>
      <c r="G166" s="6"/>
      <c r="J166" s="36"/>
      <c r="K166" s="12"/>
      <c r="L166" s="12"/>
      <c r="M166" s="62"/>
      <c r="N166" s="13"/>
      <c r="O166" s="8"/>
      <c r="P166" s="17"/>
      <c r="Q166" s="17"/>
      <c r="R166" s="9"/>
      <c r="S166" s="9"/>
    </row>
    <row r="167" spans="1:19" x14ac:dyDescent="0.3">
      <c r="A167" s="46"/>
      <c r="B167" s="51"/>
      <c r="C167" s="7"/>
      <c r="D167" s="7"/>
      <c r="E167" s="7"/>
      <c r="F167" s="30"/>
      <c r="G167" s="6"/>
      <c r="J167" s="36"/>
      <c r="K167" s="12"/>
      <c r="L167" s="12"/>
      <c r="M167" s="62"/>
      <c r="N167" s="13"/>
      <c r="O167" s="8"/>
      <c r="P167" s="17"/>
      <c r="Q167" s="17"/>
      <c r="R167" s="9"/>
      <c r="S167" s="9"/>
    </row>
    <row r="168" spans="1:19" x14ac:dyDescent="0.3">
      <c r="A168" s="46"/>
      <c r="B168" s="49"/>
      <c r="C168" s="10"/>
      <c r="D168" s="10"/>
      <c r="E168" s="10"/>
      <c r="F168" s="28"/>
      <c r="G168" s="6"/>
      <c r="J168" s="36"/>
      <c r="K168" s="12"/>
      <c r="L168" s="12"/>
      <c r="M168" s="62"/>
      <c r="N168" s="13"/>
      <c r="O168" s="8"/>
      <c r="P168" s="17"/>
      <c r="Q168" s="17"/>
      <c r="R168" s="9"/>
      <c r="S168" s="9"/>
    </row>
    <row r="169" spans="1:19" ht="14.55" thickBot="1" x14ac:dyDescent="0.35">
      <c r="A169" s="46"/>
      <c r="B169" s="50"/>
      <c r="C169" s="11"/>
      <c r="D169" s="11"/>
      <c r="E169" s="11"/>
      <c r="F169" s="29"/>
      <c r="G169" s="6"/>
      <c r="J169" s="36"/>
      <c r="K169" s="12"/>
      <c r="L169" s="12"/>
      <c r="M169" s="62"/>
      <c r="N169" s="13"/>
      <c r="O169" s="8"/>
      <c r="P169" s="17"/>
      <c r="Q169" s="17"/>
      <c r="R169" s="9"/>
      <c r="S169" s="9"/>
    </row>
    <row r="170" spans="1:19" x14ac:dyDescent="0.3">
      <c r="A170" s="46"/>
      <c r="B170" s="51"/>
      <c r="C170" s="7"/>
      <c r="D170" s="7"/>
      <c r="E170" s="7"/>
      <c r="F170" s="30"/>
      <c r="G170" s="6"/>
      <c r="J170" s="36"/>
      <c r="K170" s="12"/>
      <c r="L170" s="12"/>
      <c r="M170" s="62"/>
      <c r="N170" s="13"/>
      <c r="O170" s="8"/>
      <c r="P170" s="17"/>
      <c r="Q170" s="17"/>
      <c r="R170" s="9"/>
      <c r="S170" s="9"/>
    </row>
    <row r="171" spans="1:19" x14ac:dyDescent="0.3">
      <c r="A171" s="46"/>
      <c r="B171" s="49"/>
      <c r="C171" s="10"/>
      <c r="D171" s="10"/>
      <c r="E171" s="10"/>
      <c r="F171" s="28"/>
      <c r="G171" s="6"/>
      <c r="J171" s="36"/>
      <c r="K171" s="12"/>
      <c r="L171" s="12"/>
      <c r="M171" s="62"/>
      <c r="N171" s="13"/>
      <c r="O171" s="8"/>
      <c r="P171" s="17"/>
      <c r="Q171" s="17"/>
      <c r="R171" s="9"/>
      <c r="S171" s="9"/>
    </row>
    <row r="172" spans="1:19" ht="14.55" thickBot="1" x14ac:dyDescent="0.35">
      <c r="A172" s="47"/>
      <c r="B172" s="52"/>
      <c r="C172" s="31"/>
      <c r="D172" s="31"/>
      <c r="E172" s="31"/>
      <c r="F172" s="32"/>
      <c r="G172" s="6"/>
      <c r="J172" s="36"/>
      <c r="K172" s="12"/>
      <c r="L172" s="12"/>
      <c r="M172" s="62"/>
      <c r="N172" s="13"/>
      <c r="O172" s="8"/>
      <c r="P172" s="17"/>
      <c r="Q172" s="17"/>
      <c r="R172" s="9"/>
      <c r="S172" s="9"/>
    </row>
    <row r="173" spans="1:19" ht="14.55" thickTop="1" x14ac:dyDescent="0.3">
      <c r="A173" s="45"/>
      <c r="B173" s="48"/>
      <c r="C173" s="26"/>
      <c r="D173" s="26"/>
      <c r="E173" s="26"/>
      <c r="F173" s="27"/>
      <c r="G173" s="6"/>
      <c r="J173" s="17"/>
      <c r="K173" s="18"/>
      <c r="L173" s="18"/>
      <c r="M173" s="63"/>
      <c r="O173" s="8"/>
      <c r="P173" s="17"/>
      <c r="Q173" s="17"/>
      <c r="R173" s="9"/>
      <c r="S173" s="9"/>
    </row>
    <row r="174" spans="1:19" x14ac:dyDescent="0.3">
      <c r="A174" s="46"/>
      <c r="B174" s="49"/>
      <c r="C174" s="10"/>
      <c r="D174" s="10"/>
      <c r="E174" s="10"/>
      <c r="F174" s="28"/>
      <c r="G174" s="6"/>
      <c r="J174" s="17"/>
      <c r="K174" s="18"/>
      <c r="L174" s="18"/>
      <c r="M174" s="63"/>
      <c r="O174" s="8"/>
      <c r="P174" s="17"/>
      <c r="Q174" s="17"/>
      <c r="R174" s="9"/>
      <c r="S174" s="9"/>
    </row>
    <row r="175" spans="1:19" ht="14.55" thickBot="1" x14ac:dyDescent="0.35">
      <c r="A175" s="46"/>
      <c r="B175" s="50"/>
      <c r="C175" s="11"/>
      <c r="D175" s="11"/>
      <c r="E175" s="11"/>
      <c r="F175" s="29"/>
      <c r="G175" s="6"/>
      <c r="J175" s="17"/>
      <c r="K175" s="18"/>
      <c r="L175" s="18"/>
      <c r="M175" s="63"/>
      <c r="O175" s="8"/>
      <c r="P175" s="17"/>
      <c r="Q175" s="17"/>
      <c r="R175" s="9"/>
      <c r="S175" s="9"/>
    </row>
    <row r="176" spans="1:19" x14ac:dyDescent="0.3">
      <c r="A176" s="46"/>
      <c r="B176" s="51"/>
      <c r="C176" s="7"/>
      <c r="D176" s="7"/>
      <c r="E176" s="7"/>
      <c r="F176" s="30"/>
      <c r="G176" s="6"/>
      <c r="J176" s="17"/>
      <c r="K176" s="18"/>
      <c r="L176" s="18"/>
      <c r="M176" s="63"/>
      <c r="O176" s="8"/>
      <c r="P176" s="17"/>
      <c r="Q176" s="17"/>
    </row>
    <row r="177" spans="1:17" x14ac:dyDescent="0.3">
      <c r="A177" s="46"/>
      <c r="B177" s="49"/>
      <c r="C177" s="10"/>
      <c r="D177" s="10"/>
      <c r="E177" s="10"/>
      <c r="F177" s="28"/>
      <c r="G177" s="6"/>
      <c r="J177" s="17"/>
      <c r="K177" s="18"/>
      <c r="L177" s="18"/>
      <c r="M177" s="63"/>
      <c r="O177" s="8"/>
      <c r="P177" s="17"/>
      <c r="Q177" s="17"/>
    </row>
    <row r="178" spans="1:17" ht="14.55" thickBot="1" x14ac:dyDescent="0.35">
      <c r="A178" s="46"/>
      <c r="B178" s="50"/>
      <c r="C178" s="11"/>
      <c r="D178" s="11"/>
      <c r="E178" s="11"/>
      <c r="F178" s="29"/>
      <c r="G178" s="6"/>
      <c r="J178" s="17"/>
      <c r="K178" s="18"/>
      <c r="L178" s="18"/>
      <c r="M178" s="63"/>
      <c r="O178" s="8"/>
      <c r="P178" s="17"/>
      <c r="Q178" s="17"/>
    </row>
    <row r="179" spans="1:17" x14ac:dyDescent="0.3">
      <c r="A179" s="46"/>
      <c r="B179" s="51"/>
      <c r="C179" s="7"/>
      <c r="D179" s="7"/>
      <c r="E179" s="7"/>
      <c r="F179" s="30"/>
      <c r="G179" s="6"/>
      <c r="J179" s="17"/>
      <c r="K179" s="18"/>
      <c r="L179" s="18"/>
      <c r="M179" s="63"/>
      <c r="O179" s="8"/>
      <c r="P179" s="17"/>
      <c r="Q179" s="17"/>
    </row>
    <row r="180" spans="1:17" x14ac:dyDescent="0.3">
      <c r="A180" s="46"/>
      <c r="B180" s="49"/>
      <c r="C180" s="10"/>
      <c r="D180" s="10"/>
      <c r="E180" s="10"/>
      <c r="F180" s="28"/>
      <c r="G180" s="6"/>
      <c r="J180" s="17"/>
      <c r="K180" s="18"/>
      <c r="L180" s="18"/>
      <c r="M180" s="63"/>
      <c r="O180" s="8"/>
      <c r="P180" s="17"/>
      <c r="Q180" s="17"/>
    </row>
    <row r="181" spans="1:17" ht="14.55" thickBot="1" x14ac:dyDescent="0.35">
      <c r="A181" s="47"/>
      <c r="B181" s="52"/>
      <c r="C181" s="31"/>
      <c r="D181" s="31"/>
      <c r="E181" s="31"/>
      <c r="F181" s="32"/>
      <c r="G181" s="6"/>
      <c r="J181" s="17"/>
      <c r="K181" s="18"/>
      <c r="L181" s="18"/>
      <c r="M181" s="63"/>
      <c r="O181" s="8"/>
      <c r="P181" s="17"/>
      <c r="Q181" s="17"/>
    </row>
    <row r="182" spans="1:17" ht="14.55" thickTop="1" x14ac:dyDescent="0.3">
      <c r="G182" s="24"/>
      <c r="O182" s="8"/>
    </row>
  </sheetData>
  <mergeCells count="57">
    <mergeCell ref="B110:B112"/>
    <mergeCell ref="B113:B115"/>
    <mergeCell ref="B116:B118"/>
    <mergeCell ref="A92:A100"/>
    <mergeCell ref="B92:B94"/>
    <mergeCell ref="B95:B97"/>
    <mergeCell ref="B98:B100"/>
    <mergeCell ref="A101:A109"/>
    <mergeCell ref="B101:B103"/>
    <mergeCell ref="B104:B106"/>
    <mergeCell ref="B107:B109"/>
    <mergeCell ref="A74:A82"/>
    <mergeCell ref="B74:B76"/>
    <mergeCell ref="B77:B79"/>
    <mergeCell ref="B80:B82"/>
    <mergeCell ref="A83:A91"/>
    <mergeCell ref="B83:B85"/>
    <mergeCell ref="B86:B88"/>
    <mergeCell ref="B89:B91"/>
    <mergeCell ref="A56:A64"/>
    <mergeCell ref="B56:B58"/>
    <mergeCell ref="B59:B61"/>
    <mergeCell ref="B62:B64"/>
    <mergeCell ref="A65:A73"/>
    <mergeCell ref="B65:B67"/>
    <mergeCell ref="B68:B70"/>
    <mergeCell ref="B71:B73"/>
    <mergeCell ref="A38:A46"/>
    <mergeCell ref="B38:B40"/>
    <mergeCell ref="B41:B43"/>
    <mergeCell ref="B44:B46"/>
    <mergeCell ref="A47:A55"/>
    <mergeCell ref="B47:B49"/>
    <mergeCell ref="B50:B52"/>
    <mergeCell ref="B53:B55"/>
    <mergeCell ref="A20:A28"/>
    <mergeCell ref="B20:B22"/>
    <mergeCell ref="B23:B25"/>
    <mergeCell ref="B26:B28"/>
    <mergeCell ref="A29:A37"/>
    <mergeCell ref="B29:B31"/>
    <mergeCell ref="B32:B34"/>
    <mergeCell ref="B35:B37"/>
    <mergeCell ref="A2:A10"/>
    <mergeCell ref="B2:B4"/>
    <mergeCell ref="B5:B7"/>
    <mergeCell ref="B8:B10"/>
    <mergeCell ref="A11:A19"/>
    <mergeCell ref="B11:B13"/>
    <mergeCell ref="B14:B16"/>
    <mergeCell ref="B17:B19"/>
    <mergeCell ref="X1:Y1"/>
    <mergeCell ref="N1:O1"/>
    <mergeCell ref="P1:Q1"/>
    <mergeCell ref="R1:S1"/>
    <mergeCell ref="T1:U1"/>
    <mergeCell ref="V1:W1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7E996-90B6-43D4-9CD8-F28AA9F01FF5}">
  <dimension ref="A1:M112"/>
  <sheetViews>
    <sheetView topLeftCell="A15" workbookViewId="0">
      <selection activeCell="D112" sqref="A16:D112"/>
    </sheetView>
  </sheetViews>
  <sheetFormatPr defaultRowHeight="14" x14ac:dyDescent="0.3"/>
  <cols>
    <col min="1" max="1" width="12.19921875" bestFit="1" customWidth="1"/>
    <col min="2" max="2" width="11.8984375" bestFit="1" customWidth="1"/>
  </cols>
  <sheetData>
    <row r="1" spans="1:13" x14ac:dyDescent="0.3">
      <c r="A1" t="s">
        <v>76</v>
      </c>
      <c r="B1" t="s">
        <v>82</v>
      </c>
      <c r="C1" t="s">
        <v>83</v>
      </c>
      <c r="D1" t="s">
        <v>86</v>
      </c>
      <c r="E1" t="s">
        <v>87</v>
      </c>
      <c r="F1" t="s">
        <v>88</v>
      </c>
      <c r="G1" t="s">
        <v>89</v>
      </c>
      <c r="H1" t="s">
        <v>85</v>
      </c>
      <c r="I1" t="s">
        <v>84</v>
      </c>
    </row>
    <row r="2" spans="1:13" x14ac:dyDescent="0.3">
      <c r="A2" t="s">
        <v>77</v>
      </c>
      <c r="B2">
        <v>4387500</v>
      </c>
      <c r="C2">
        <v>137500</v>
      </c>
    </row>
    <row r="3" spans="1:13" x14ac:dyDescent="0.3">
      <c r="A3" t="s">
        <v>77</v>
      </c>
      <c r="B3">
        <v>3562500</v>
      </c>
      <c r="C3">
        <v>468750</v>
      </c>
    </row>
    <row r="4" spans="1:13" x14ac:dyDescent="0.3">
      <c r="A4" t="s">
        <v>77</v>
      </c>
      <c r="B4">
        <v>5500000</v>
      </c>
      <c r="C4">
        <v>375000</v>
      </c>
    </row>
    <row r="5" spans="1:13" x14ac:dyDescent="0.3">
      <c r="A5" t="s">
        <v>78</v>
      </c>
      <c r="B5">
        <v>3023437.5</v>
      </c>
      <c r="C5">
        <v>135625</v>
      </c>
      <c r="D5">
        <v>3710937.4999999991</v>
      </c>
      <c r="E5">
        <v>213750</v>
      </c>
      <c r="F5">
        <v>1734375</v>
      </c>
      <c r="G5">
        <v>26250</v>
      </c>
      <c r="H5">
        <v>5281250</v>
      </c>
      <c r="I5">
        <v>793750</v>
      </c>
    </row>
    <row r="6" spans="1:13" x14ac:dyDescent="0.3">
      <c r="A6" t="s">
        <v>78</v>
      </c>
      <c r="B6">
        <v>3031250</v>
      </c>
      <c r="C6">
        <v>151250</v>
      </c>
      <c r="D6">
        <v>2636718.7499999995</v>
      </c>
      <c r="E6">
        <v>350000</v>
      </c>
      <c r="F6">
        <v>2000000</v>
      </c>
      <c r="G6">
        <v>40000</v>
      </c>
      <c r="H6">
        <v>4578125</v>
      </c>
      <c r="I6">
        <v>1281250</v>
      </c>
    </row>
    <row r="7" spans="1:13" x14ac:dyDescent="0.3">
      <c r="A7" t="s">
        <v>78</v>
      </c>
      <c r="B7">
        <v>3437500</v>
      </c>
      <c r="C7">
        <v>125000</v>
      </c>
      <c r="D7">
        <v>4328125</v>
      </c>
      <c r="E7">
        <v>706250</v>
      </c>
      <c r="F7">
        <v>1671875</v>
      </c>
      <c r="G7">
        <v>87500</v>
      </c>
      <c r="H7">
        <v>4390625</v>
      </c>
      <c r="I7">
        <v>700000</v>
      </c>
    </row>
    <row r="8" spans="1:13" x14ac:dyDescent="0.3">
      <c r="A8" t="s">
        <v>79</v>
      </c>
      <c r="B8">
        <v>8625000</v>
      </c>
      <c r="C8">
        <v>1000000</v>
      </c>
      <c r="D8">
        <v>3812500</v>
      </c>
      <c r="E8">
        <v>62500</v>
      </c>
      <c r="F8">
        <v>5625000</v>
      </c>
      <c r="G8">
        <v>215000</v>
      </c>
      <c r="H8">
        <v>10312500</v>
      </c>
      <c r="I8">
        <v>1275000</v>
      </c>
    </row>
    <row r="9" spans="1:13" x14ac:dyDescent="0.3">
      <c r="A9" t="s">
        <v>79</v>
      </c>
      <c r="B9">
        <v>8875000</v>
      </c>
      <c r="C9">
        <v>631250</v>
      </c>
      <c r="D9">
        <v>4312500</v>
      </c>
      <c r="E9">
        <v>185625</v>
      </c>
      <c r="F9">
        <v>2062500</v>
      </c>
      <c r="G9">
        <v>26875</v>
      </c>
      <c r="H9">
        <v>6250000</v>
      </c>
      <c r="I9">
        <v>1206250</v>
      </c>
    </row>
    <row r="10" spans="1:13" x14ac:dyDescent="0.3">
      <c r="A10" t="s">
        <v>79</v>
      </c>
      <c r="B10">
        <v>12000000</v>
      </c>
      <c r="C10">
        <v>193750</v>
      </c>
      <c r="D10">
        <v>4937500</v>
      </c>
      <c r="E10">
        <v>268750</v>
      </c>
      <c r="F10">
        <v>1125000</v>
      </c>
      <c r="G10">
        <v>325000</v>
      </c>
      <c r="H10">
        <v>6437500</v>
      </c>
      <c r="I10">
        <v>1062500</v>
      </c>
      <c r="M10" s="70"/>
    </row>
    <row r="12" spans="1:13" x14ac:dyDescent="0.3">
      <c r="A12" t="s">
        <v>80</v>
      </c>
      <c r="B12">
        <f>AVERAGE(B2:B10)</f>
        <v>5826909.722222222</v>
      </c>
      <c r="C12">
        <f t="shared" ref="C12:I12" si="0">AVERAGE(C2:C10)</f>
        <v>357569.44444444444</v>
      </c>
      <c r="D12">
        <f t="shared" si="0"/>
        <v>3956380.2083333335</v>
      </c>
      <c r="E12">
        <f t="shared" si="0"/>
        <v>297812.5</v>
      </c>
      <c r="F12">
        <f t="shared" si="0"/>
        <v>2369791.6666666665</v>
      </c>
      <c r="G12">
        <f t="shared" si="0"/>
        <v>120104.16666666667</v>
      </c>
      <c r="H12">
        <f t="shared" si="0"/>
        <v>6208333.333333333</v>
      </c>
      <c r="I12">
        <f t="shared" si="0"/>
        <v>1053125</v>
      </c>
    </row>
    <row r="13" spans="1:13" x14ac:dyDescent="0.3">
      <c r="A13" t="s">
        <v>81</v>
      </c>
    </row>
    <row r="16" spans="1:13" x14ac:dyDescent="0.3">
      <c r="A16" t="s">
        <v>76</v>
      </c>
      <c r="B16" t="s">
        <v>90</v>
      </c>
      <c r="C16" t="s">
        <v>91</v>
      </c>
      <c r="D16" t="s">
        <v>92</v>
      </c>
    </row>
    <row r="17" spans="1:4" x14ac:dyDescent="0.3">
      <c r="A17" t="s">
        <v>77</v>
      </c>
      <c r="B17" t="s">
        <v>93</v>
      </c>
      <c r="C17" t="s">
        <v>94</v>
      </c>
      <c r="D17">
        <v>4387500</v>
      </c>
    </row>
    <row r="18" spans="1:4" x14ac:dyDescent="0.3">
      <c r="A18" t="s">
        <v>77</v>
      </c>
      <c r="B18" t="s">
        <v>93</v>
      </c>
      <c r="C18" t="s">
        <v>94</v>
      </c>
      <c r="D18">
        <v>3562500</v>
      </c>
    </row>
    <row r="19" spans="1:4" x14ac:dyDescent="0.3">
      <c r="A19" t="s">
        <v>77</v>
      </c>
      <c r="B19" t="s">
        <v>93</v>
      </c>
      <c r="C19" t="s">
        <v>94</v>
      </c>
      <c r="D19">
        <v>5500000</v>
      </c>
    </row>
    <row r="20" spans="1:4" x14ac:dyDescent="0.3">
      <c r="A20" t="s">
        <v>77</v>
      </c>
      <c r="B20" t="s">
        <v>93</v>
      </c>
      <c r="C20" t="s">
        <v>95</v>
      </c>
      <c r="D20">
        <v>137500</v>
      </c>
    </row>
    <row r="21" spans="1:4" x14ac:dyDescent="0.3">
      <c r="A21" t="s">
        <v>77</v>
      </c>
      <c r="B21" t="s">
        <v>93</v>
      </c>
      <c r="C21" t="s">
        <v>95</v>
      </c>
      <c r="D21">
        <v>468750</v>
      </c>
    </row>
    <row r="22" spans="1:4" x14ac:dyDescent="0.3">
      <c r="A22" t="s">
        <v>77</v>
      </c>
      <c r="B22" t="s">
        <v>93</v>
      </c>
      <c r="C22" t="s">
        <v>95</v>
      </c>
      <c r="D22">
        <v>375000</v>
      </c>
    </row>
    <row r="23" spans="1:4" x14ac:dyDescent="0.3">
      <c r="A23" t="s">
        <v>77</v>
      </c>
      <c r="B23" t="s">
        <v>72</v>
      </c>
      <c r="C23" t="s">
        <v>94</v>
      </c>
      <c r="D23">
        <v>3562500</v>
      </c>
    </row>
    <row r="24" spans="1:4" x14ac:dyDescent="0.3">
      <c r="A24" t="s">
        <v>77</v>
      </c>
      <c r="B24" t="s">
        <v>72</v>
      </c>
      <c r="C24" t="s">
        <v>94</v>
      </c>
      <c r="D24">
        <v>5875000</v>
      </c>
    </row>
    <row r="25" spans="1:4" x14ac:dyDescent="0.3">
      <c r="A25" t="s">
        <v>77</v>
      </c>
      <c r="B25" t="s">
        <v>72</v>
      </c>
      <c r="C25" t="s">
        <v>94</v>
      </c>
      <c r="D25">
        <v>5875000</v>
      </c>
    </row>
    <row r="26" spans="1:4" x14ac:dyDescent="0.3">
      <c r="A26" t="s">
        <v>77</v>
      </c>
      <c r="B26" t="s">
        <v>72</v>
      </c>
      <c r="C26" t="s">
        <v>95</v>
      </c>
      <c r="D26">
        <v>900000</v>
      </c>
    </row>
    <row r="27" spans="1:4" x14ac:dyDescent="0.3">
      <c r="A27" t="s">
        <v>77</v>
      </c>
      <c r="B27" t="s">
        <v>72</v>
      </c>
      <c r="C27" t="s">
        <v>95</v>
      </c>
      <c r="D27">
        <v>937500</v>
      </c>
    </row>
    <row r="28" spans="1:4" x14ac:dyDescent="0.3">
      <c r="A28" t="s">
        <v>77</v>
      </c>
      <c r="B28" t="s">
        <v>72</v>
      </c>
      <c r="C28" t="s">
        <v>95</v>
      </c>
      <c r="D28">
        <v>1212500</v>
      </c>
    </row>
    <row r="29" spans="1:4" x14ac:dyDescent="0.3">
      <c r="A29" t="s">
        <v>77</v>
      </c>
      <c r="B29" t="s">
        <v>73</v>
      </c>
      <c r="C29" t="s">
        <v>94</v>
      </c>
      <c r="D29">
        <v>2487500</v>
      </c>
    </row>
    <row r="30" spans="1:4" x14ac:dyDescent="0.3">
      <c r="A30" t="s">
        <v>77</v>
      </c>
      <c r="B30" t="s">
        <v>73</v>
      </c>
      <c r="C30" t="s">
        <v>94</v>
      </c>
      <c r="D30">
        <v>3562500</v>
      </c>
    </row>
    <row r="31" spans="1:4" x14ac:dyDescent="0.3">
      <c r="A31" t="s">
        <v>77</v>
      </c>
      <c r="B31" t="s">
        <v>73</v>
      </c>
      <c r="C31" t="s">
        <v>94</v>
      </c>
      <c r="D31">
        <v>4625000</v>
      </c>
    </row>
    <row r="32" spans="1:4" x14ac:dyDescent="0.3">
      <c r="A32" t="s">
        <v>77</v>
      </c>
      <c r="B32" t="s">
        <v>73</v>
      </c>
      <c r="C32" t="s">
        <v>95</v>
      </c>
      <c r="D32">
        <v>750000</v>
      </c>
    </row>
    <row r="33" spans="1:4" x14ac:dyDescent="0.3">
      <c r="A33" t="s">
        <v>77</v>
      </c>
      <c r="B33" t="s">
        <v>73</v>
      </c>
      <c r="C33" t="s">
        <v>95</v>
      </c>
      <c r="D33">
        <v>308750</v>
      </c>
    </row>
    <row r="34" spans="1:4" x14ac:dyDescent="0.3">
      <c r="A34" t="s">
        <v>77</v>
      </c>
      <c r="B34" t="s">
        <v>73</v>
      </c>
      <c r="C34" t="s">
        <v>95</v>
      </c>
      <c r="D34">
        <v>282500</v>
      </c>
    </row>
    <row r="35" spans="1:4" x14ac:dyDescent="0.3">
      <c r="A35" t="s">
        <v>77</v>
      </c>
      <c r="B35" t="s">
        <v>74</v>
      </c>
      <c r="C35" t="s">
        <v>94</v>
      </c>
      <c r="D35">
        <v>6571428.5714285718</v>
      </c>
    </row>
    <row r="36" spans="1:4" x14ac:dyDescent="0.3">
      <c r="A36" t="s">
        <v>77</v>
      </c>
      <c r="B36" t="s">
        <v>74</v>
      </c>
      <c r="C36" t="s">
        <v>94</v>
      </c>
      <c r="D36">
        <v>3342857.1428571427</v>
      </c>
    </row>
    <row r="37" spans="1:4" x14ac:dyDescent="0.3">
      <c r="A37" t="s">
        <v>77</v>
      </c>
      <c r="B37" t="s">
        <v>74</v>
      </c>
      <c r="C37" t="s">
        <v>94</v>
      </c>
      <c r="D37">
        <v>5571428.5714285718</v>
      </c>
    </row>
    <row r="38" spans="1:4" x14ac:dyDescent="0.3">
      <c r="A38" t="s">
        <v>77</v>
      </c>
      <c r="B38" t="s">
        <v>74</v>
      </c>
      <c r="C38" t="s">
        <v>95</v>
      </c>
      <c r="D38">
        <v>537500</v>
      </c>
    </row>
    <row r="39" spans="1:4" x14ac:dyDescent="0.3">
      <c r="A39" t="s">
        <v>77</v>
      </c>
      <c r="B39" t="s">
        <v>74</v>
      </c>
      <c r="C39" t="s">
        <v>95</v>
      </c>
      <c r="D39">
        <v>500000</v>
      </c>
    </row>
    <row r="40" spans="1:4" x14ac:dyDescent="0.3">
      <c r="A40" t="s">
        <v>77</v>
      </c>
      <c r="B40" t="s">
        <v>74</v>
      </c>
      <c r="C40" t="s">
        <v>95</v>
      </c>
      <c r="D40">
        <v>500000</v>
      </c>
    </row>
    <row r="41" spans="1:4" x14ac:dyDescent="0.3">
      <c r="A41" t="s">
        <v>78</v>
      </c>
      <c r="B41" t="s">
        <v>93</v>
      </c>
      <c r="C41" t="s">
        <v>94</v>
      </c>
      <c r="D41">
        <v>3023437.5</v>
      </c>
    </row>
    <row r="42" spans="1:4" x14ac:dyDescent="0.3">
      <c r="A42" t="s">
        <v>78</v>
      </c>
      <c r="B42" t="s">
        <v>93</v>
      </c>
      <c r="C42" t="s">
        <v>94</v>
      </c>
      <c r="D42">
        <v>3031250</v>
      </c>
    </row>
    <row r="43" spans="1:4" x14ac:dyDescent="0.3">
      <c r="A43" t="s">
        <v>78</v>
      </c>
      <c r="B43" t="s">
        <v>93</v>
      </c>
      <c r="C43" t="s">
        <v>94</v>
      </c>
      <c r="D43">
        <v>3437500</v>
      </c>
    </row>
    <row r="44" spans="1:4" x14ac:dyDescent="0.3">
      <c r="A44" t="s">
        <v>78</v>
      </c>
      <c r="B44" t="s">
        <v>93</v>
      </c>
      <c r="C44" t="s">
        <v>95</v>
      </c>
      <c r="D44">
        <v>135625</v>
      </c>
    </row>
    <row r="45" spans="1:4" x14ac:dyDescent="0.3">
      <c r="A45" t="s">
        <v>78</v>
      </c>
      <c r="B45" t="s">
        <v>93</v>
      </c>
      <c r="C45" t="s">
        <v>95</v>
      </c>
      <c r="D45">
        <v>151250</v>
      </c>
    </row>
    <row r="46" spans="1:4" x14ac:dyDescent="0.3">
      <c r="A46" t="s">
        <v>78</v>
      </c>
      <c r="B46" t="s">
        <v>93</v>
      </c>
      <c r="C46" t="s">
        <v>95</v>
      </c>
      <c r="D46">
        <v>125000</v>
      </c>
    </row>
    <row r="47" spans="1:4" x14ac:dyDescent="0.3">
      <c r="A47" t="s">
        <v>78</v>
      </c>
      <c r="B47" t="s">
        <v>72</v>
      </c>
      <c r="C47" t="s">
        <v>94</v>
      </c>
      <c r="D47">
        <v>3710937.4999999991</v>
      </c>
    </row>
    <row r="48" spans="1:4" x14ac:dyDescent="0.3">
      <c r="A48" t="s">
        <v>78</v>
      </c>
      <c r="B48" t="s">
        <v>72</v>
      </c>
      <c r="C48" t="s">
        <v>94</v>
      </c>
      <c r="D48">
        <v>2636718.7499999995</v>
      </c>
    </row>
    <row r="49" spans="1:4" x14ac:dyDescent="0.3">
      <c r="A49" t="s">
        <v>78</v>
      </c>
      <c r="B49" t="s">
        <v>72</v>
      </c>
      <c r="C49" t="s">
        <v>94</v>
      </c>
      <c r="D49">
        <v>4328125</v>
      </c>
    </row>
    <row r="50" spans="1:4" x14ac:dyDescent="0.3">
      <c r="A50" t="s">
        <v>78</v>
      </c>
      <c r="B50" t="s">
        <v>72</v>
      </c>
      <c r="C50" t="s">
        <v>95</v>
      </c>
      <c r="D50">
        <v>213750</v>
      </c>
    </row>
    <row r="51" spans="1:4" x14ac:dyDescent="0.3">
      <c r="A51" t="s">
        <v>78</v>
      </c>
      <c r="B51" t="s">
        <v>72</v>
      </c>
      <c r="C51" t="s">
        <v>95</v>
      </c>
      <c r="D51">
        <v>350000</v>
      </c>
    </row>
    <row r="52" spans="1:4" x14ac:dyDescent="0.3">
      <c r="A52" t="s">
        <v>78</v>
      </c>
      <c r="B52" t="s">
        <v>72</v>
      </c>
      <c r="C52" t="s">
        <v>95</v>
      </c>
      <c r="D52">
        <v>706250</v>
      </c>
    </row>
    <row r="53" spans="1:4" x14ac:dyDescent="0.3">
      <c r="A53" t="s">
        <v>78</v>
      </c>
      <c r="B53" t="s">
        <v>73</v>
      </c>
      <c r="C53" t="s">
        <v>94</v>
      </c>
      <c r="D53">
        <v>1734375</v>
      </c>
    </row>
    <row r="54" spans="1:4" x14ac:dyDescent="0.3">
      <c r="A54" t="s">
        <v>78</v>
      </c>
      <c r="B54" t="s">
        <v>73</v>
      </c>
      <c r="C54" t="s">
        <v>94</v>
      </c>
      <c r="D54">
        <v>2000000</v>
      </c>
    </row>
    <row r="55" spans="1:4" x14ac:dyDescent="0.3">
      <c r="A55" t="s">
        <v>78</v>
      </c>
      <c r="B55" t="s">
        <v>73</v>
      </c>
      <c r="C55" t="s">
        <v>94</v>
      </c>
      <c r="D55">
        <v>1671875</v>
      </c>
    </row>
    <row r="56" spans="1:4" x14ac:dyDescent="0.3">
      <c r="A56" t="s">
        <v>78</v>
      </c>
      <c r="B56" t="s">
        <v>73</v>
      </c>
      <c r="C56" t="s">
        <v>95</v>
      </c>
      <c r="D56">
        <v>26250</v>
      </c>
    </row>
    <row r="57" spans="1:4" x14ac:dyDescent="0.3">
      <c r="A57" t="s">
        <v>78</v>
      </c>
      <c r="B57" t="s">
        <v>73</v>
      </c>
      <c r="C57" t="s">
        <v>95</v>
      </c>
      <c r="D57">
        <v>40000</v>
      </c>
    </row>
    <row r="58" spans="1:4" x14ac:dyDescent="0.3">
      <c r="A58" t="s">
        <v>78</v>
      </c>
      <c r="B58" t="s">
        <v>73</v>
      </c>
      <c r="C58" t="s">
        <v>95</v>
      </c>
      <c r="D58">
        <v>87500</v>
      </c>
    </row>
    <row r="59" spans="1:4" x14ac:dyDescent="0.3">
      <c r="A59" t="s">
        <v>78</v>
      </c>
      <c r="B59" t="s">
        <v>74</v>
      </c>
      <c r="C59" t="s">
        <v>94</v>
      </c>
      <c r="D59">
        <v>5281250</v>
      </c>
    </row>
    <row r="60" spans="1:4" x14ac:dyDescent="0.3">
      <c r="A60" t="s">
        <v>78</v>
      </c>
      <c r="B60" t="s">
        <v>74</v>
      </c>
      <c r="C60" t="s">
        <v>94</v>
      </c>
      <c r="D60">
        <v>7324218.7499999981</v>
      </c>
    </row>
    <row r="61" spans="1:4" x14ac:dyDescent="0.3">
      <c r="A61" t="s">
        <v>78</v>
      </c>
      <c r="B61" t="s">
        <v>74</v>
      </c>
      <c r="C61" t="s">
        <v>94</v>
      </c>
      <c r="D61">
        <v>4390625</v>
      </c>
    </row>
    <row r="62" spans="1:4" x14ac:dyDescent="0.3">
      <c r="A62" t="s">
        <v>78</v>
      </c>
      <c r="B62" t="s">
        <v>74</v>
      </c>
      <c r="C62" t="s">
        <v>95</v>
      </c>
      <c r="D62">
        <v>793750</v>
      </c>
    </row>
    <row r="63" spans="1:4" x14ac:dyDescent="0.3">
      <c r="A63" t="s">
        <v>78</v>
      </c>
      <c r="B63" t="s">
        <v>74</v>
      </c>
      <c r="C63" t="s">
        <v>95</v>
      </c>
      <c r="D63">
        <v>1281250</v>
      </c>
    </row>
    <row r="64" spans="1:4" x14ac:dyDescent="0.3">
      <c r="A64" t="s">
        <v>78</v>
      </c>
      <c r="B64" t="s">
        <v>74</v>
      </c>
      <c r="C64" t="s">
        <v>95</v>
      </c>
      <c r="D64">
        <v>700000</v>
      </c>
    </row>
    <row r="65" spans="1:4" x14ac:dyDescent="0.3">
      <c r="A65" t="s">
        <v>79</v>
      </c>
      <c r="B65" t="s">
        <v>93</v>
      </c>
      <c r="C65" t="s">
        <v>94</v>
      </c>
      <c r="D65">
        <v>8625000</v>
      </c>
    </row>
    <row r="66" spans="1:4" x14ac:dyDescent="0.3">
      <c r="A66" t="s">
        <v>79</v>
      </c>
      <c r="B66" t="s">
        <v>93</v>
      </c>
      <c r="C66" t="s">
        <v>94</v>
      </c>
      <c r="D66">
        <v>8875000</v>
      </c>
    </row>
    <row r="67" spans="1:4" x14ac:dyDescent="0.3">
      <c r="A67" t="s">
        <v>79</v>
      </c>
      <c r="B67" t="s">
        <v>93</v>
      </c>
      <c r="C67" t="s">
        <v>94</v>
      </c>
      <c r="D67">
        <v>12000000</v>
      </c>
    </row>
    <row r="68" spans="1:4" x14ac:dyDescent="0.3">
      <c r="A68" t="s">
        <v>79</v>
      </c>
      <c r="B68" t="s">
        <v>93</v>
      </c>
      <c r="C68" t="s">
        <v>95</v>
      </c>
      <c r="D68">
        <v>1031250</v>
      </c>
    </row>
    <row r="69" spans="1:4" x14ac:dyDescent="0.3">
      <c r="A69" t="s">
        <v>79</v>
      </c>
      <c r="B69" t="s">
        <v>93</v>
      </c>
      <c r="C69" t="s">
        <v>95</v>
      </c>
      <c r="D69">
        <v>631250</v>
      </c>
    </row>
    <row r="70" spans="1:4" x14ac:dyDescent="0.3">
      <c r="A70" t="s">
        <v>79</v>
      </c>
      <c r="B70" t="s">
        <v>93</v>
      </c>
      <c r="C70" t="s">
        <v>95</v>
      </c>
      <c r="D70">
        <v>375000</v>
      </c>
    </row>
    <row r="71" spans="1:4" x14ac:dyDescent="0.3">
      <c r="A71" t="s">
        <v>79</v>
      </c>
      <c r="B71" t="s">
        <v>72</v>
      </c>
      <c r="C71" t="s">
        <v>94</v>
      </c>
      <c r="D71">
        <v>3812500</v>
      </c>
    </row>
    <row r="72" spans="1:4" x14ac:dyDescent="0.3">
      <c r="A72" t="s">
        <v>79</v>
      </c>
      <c r="B72" t="s">
        <v>72</v>
      </c>
      <c r="C72" t="s">
        <v>94</v>
      </c>
      <c r="D72">
        <v>5000000</v>
      </c>
    </row>
    <row r="73" spans="1:4" x14ac:dyDescent="0.3">
      <c r="A73" t="s">
        <v>79</v>
      </c>
      <c r="B73" t="s">
        <v>72</v>
      </c>
      <c r="C73" t="s">
        <v>94</v>
      </c>
      <c r="D73">
        <v>7500000</v>
      </c>
    </row>
    <row r="74" spans="1:4" x14ac:dyDescent="0.3">
      <c r="A74" t="s">
        <v>79</v>
      </c>
      <c r="B74" t="s">
        <v>72</v>
      </c>
      <c r="C74" t="s">
        <v>95</v>
      </c>
      <c r="D74">
        <v>62500</v>
      </c>
    </row>
    <row r="75" spans="1:4" x14ac:dyDescent="0.3">
      <c r="A75" t="s">
        <v>79</v>
      </c>
      <c r="B75" t="s">
        <v>72</v>
      </c>
      <c r="C75" t="s">
        <v>95</v>
      </c>
      <c r="D75">
        <v>185625</v>
      </c>
    </row>
    <row r="76" spans="1:4" x14ac:dyDescent="0.3">
      <c r="A76" t="s">
        <v>79</v>
      </c>
      <c r="B76" t="s">
        <v>72</v>
      </c>
      <c r="C76" t="s">
        <v>95</v>
      </c>
      <c r="D76">
        <v>268750</v>
      </c>
    </row>
    <row r="77" spans="1:4" x14ac:dyDescent="0.3">
      <c r="A77" t="s">
        <v>79</v>
      </c>
      <c r="B77" t="s">
        <v>73</v>
      </c>
      <c r="C77" t="s">
        <v>94</v>
      </c>
      <c r="D77">
        <v>5625000</v>
      </c>
    </row>
    <row r="78" spans="1:4" x14ac:dyDescent="0.3">
      <c r="A78" t="s">
        <v>79</v>
      </c>
      <c r="B78" t="s">
        <v>73</v>
      </c>
      <c r="C78" t="s">
        <v>94</v>
      </c>
      <c r="D78">
        <v>2062500</v>
      </c>
    </row>
    <row r="79" spans="1:4" x14ac:dyDescent="0.3">
      <c r="A79" t="s">
        <v>79</v>
      </c>
      <c r="B79" t="s">
        <v>73</v>
      </c>
      <c r="C79" t="s">
        <v>94</v>
      </c>
      <c r="D79">
        <v>1125000</v>
      </c>
    </row>
    <row r="80" spans="1:4" x14ac:dyDescent="0.3">
      <c r="A80" t="s">
        <v>79</v>
      </c>
      <c r="B80" t="s">
        <v>73</v>
      </c>
      <c r="C80" t="s">
        <v>95</v>
      </c>
      <c r="D80">
        <v>215000</v>
      </c>
    </row>
    <row r="81" spans="1:4" x14ac:dyDescent="0.3">
      <c r="A81" t="s">
        <v>79</v>
      </c>
      <c r="B81" t="s">
        <v>73</v>
      </c>
      <c r="C81" t="s">
        <v>95</v>
      </c>
      <c r="D81">
        <v>26875</v>
      </c>
    </row>
    <row r="82" spans="1:4" x14ac:dyDescent="0.3">
      <c r="A82" t="s">
        <v>79</v>
      </c>
      <c r="B82" t="s">
        <v>73</v>
      </c>
      <c r="C82" t="s">
        <v>95</v>
      </c>
      <c r="D82">
        <v>325000</v>
      </c>
    </row>
    <row r="83" spans="1:4" x14ac:dyDescent="0.3">
      <c r="A83" t="s">
        <v>79</v>
      </c>
      <c r="B83" t="s">
        <v>74</v>
      </c>
      <c r="C83" t="s">
        <v>94</v>
      </c>
      <c r="D83">
        <v>13125000</v>
      </c>
    </row>
    <row r="84" spans="1:4" x14ac:dyDescent="0.3">
      <c r="A84" t="s">
        <v>79</v>
      </c>
      <c r="B84" t="s">
        <v>74</v>
      </c>
      <c r="C84" t="s">
        <v>94</v>
      </c>
      <c r="D84">
        <v>9375000</v>
      </c>
    </row>
    <row r="85" spans="1:4" x14ac:dyDescent="0.3">
      <c r="A85" t="s">
        <v>79</v>
      </c>
      <c r="B85" t="s">
        <v>74</v>
      </c>
      <c r="C85" t="s">
        <v>94</v>
      </c>
      <c r="D85">
        <v>6437500</v>
      </c>
    </row>
    <row r="86" spans="1:4" x14ac:dyDescent="0.3">
      <c r="A86" t="s">
        <v>79</v>
      </c>
      <c r="B86" t="s">
        <v>74</v>
      </c>
      <c r="C86" t="s">
        <v>95</v>
      </c>
      <c r="D86">
        <v>1275000</v>
      </c>
    </row>
    <row r="87" spans="1:4" x14ac:dyDescent="0.3">
      <c r="A87" t="s">
        <v>79</v>
      </c>
      <c r="B87" t="s">
        <v>74</v>
      </c>
      <c r="C87" t="s">
        <v>95</v>
      </c>
      <c r="D87">
        <v>1206250</v>
      </c>
    </row>
    <row r="88" spans="1:4" x14ac:dyDescent="0.3">
      <c r="A88" t="s">
        <v>79</v>
      </c>
      <c r="B88" t="s">
        <v>74</v>
      </c>
      <c r="C88" t="s">
        <v>95</v>
      </c>
      <c r="D88">
        <v>868750</v>
      </c>
    </row>
    <row r="89" spans="1:4" x14ac:dyDescent="0.3">
      <c r="A89" t="s">
        <v>96</v>
      </c>
      <c r="B89" t="s">
        <v>93</v>
      </c>
      <c r="C89" t="s">
        <v>94</v>
      </c>
      <c r="D89">
        <v>18125000</v>
      </c>
    </row>
    <row r="90" spans="1:4" x14ac:dyDescent="0.3">
      <c r="A90" t="s">
        <v>96</v>
      </c>
      <c r="B90" t="s">
        <v>93</v>
      </c>
      <c r="C90" t="s">
        <v>94</v>
      </c>
      <c r="D90">
        <v>25625000</v>
      </c>
    </row>
    <row r="91" spans="1:4" x14ac:dyDescent="0.3">
      <c r="A91" t="s">
        <v>96</v>
      </c>
      <c r="B91" t="s">
        <v>93</v>
      </c>
      <c r="C91" t="s">
        <v>94</v>
      </c>
      <c r="D91">
        <v>40000000</v>
      </c>
    </row>
    <row r="92" spans="1:4" x14ac:dyDescent="0.3">
      <c r="A92" t="s">
        <v>96</v>
      </c>
      <c r="B92" t="s">
        <v>93</v>
      </c>
      <c r="C92" t="s">
        <v>95</v>
      </c>
      <c r="D92">
        <v>387500</v>
      </c>
    </row>
    <row r="93" spans="1:4" x14ac:dyDescent="0.3">
      <c r="A93" t="s">
        <v>96</v>
      </c>
      <c r="B93" t="s">
        <v>93</v>
      </c>
      <c r="C93" t="s">
        <v>95</v>
      </c>
      <c r="D93">
        <v>362500</v>
      </c>
    </row>
    <row r="94" spans="1:4" x14ac:dyDescent="0.3">
      <c r="A94" t="s">
        <v>96</v>
      </c>
      <c r="B94" t="s">
        <v>93</v>
      </c>
      <c r="C94" t="s">
        <v>95</v>
      </c>
      <c r="D94">
        <v>181250</v>
      </c>
    </row>
    <row r="95" spans="1:4" x14ac:dyDescent="0.3">
      <c r="A95" t="s">
        <v>96</v>
      </c>
      <c r="B95" t="s">
        <v>72</v>
      </c>
      <c r="C95" t="s">
        <v>94</v>
      </c>
      <c r="D95">
        <v>8250000</v>
      </c>
    </row>
    <row r="96" spans="1:4" x14ac:dyDescent="0.3">
      <c r="A96" t="s">
        <v>96</v>
      </c>
      <c r="B96" t="s">
        <v>72</v>
      </c>
      <c r="C96" t="s">
        <v>94</v>
      </c>
      <c r="D96">
        <v>6250000</v>
      </c>
    </row>
    <row r="97" spans="1:4" x14ac:dyDescent="0.3">
      <c r="A97" t="s">
        <v>96</v>
      </c>
      <c r="B97" t="s">
        <v>72</v>
      </c>
      <c r="C97" t="s">
        <v>94</v>
      </c>
      <c r="D97">
        <v>10000000</v>
      </c>
    </row>
    <row r="98" spans="1:4" x14ac:dyDescent="0.3">
      <c r="A98" t="s">
        <v>96</v>
      </c>
      <c r="B98" t="s">
        <v>72</v>
      </c>
      <c r="C98" t="s">
        <v>95</v>
      </c>
      <c r="D98">
        <v>3475000</v>
      </c>
    </row>
    <row r="99" spans="1:4" x14ac:dyDescent="0.3">
      <c r="A99" t="s">
        <v>96</v>
      </c>
      <c r="B99" t="s">
        <v>72</v>
      </c>
      <c r="C99" t="s">
        <v>95</v>
      </c>
      <c r="D99">
        <v>3625000</v>
      </c>
    </row>
    <row r="100" spans="1:4" x14ac:dyDescent="0.3">
      <c r="A100" t="s">
        <v>96</v>
      </c>
      <c r="B100" t="s">
        <v>72</v>
      </c>
      <c r="C100" t="s">
        <v>95</v>
      </c>
      <c r="D100">
        <v>3000000</v>
      </c>
    </row>
    <row r="101" spans="1:4" x14ac:dyDescent="0.3">
      <c r="A101" t="s">
        <v>96</v>
      </c>
      <c r="B101" t="s">
        <v>73</v>
      </c>
      <c r="C101" t="s">
        <v>94</v>
      </c>
      <c r="D101">
        <v>5625000</v>
      </c>
    </row>
    <row r="102" spans="1:4" x14ac:dyDescent="0.3">
      <c r="A102" t="s">
        <v>96</v>
      </c>
      <c r="B102" t="s">
        <v>73</v>
      </c>
      <c r="C102" t="s">
        <v>94</v>
      </c>
      <c r="D102">
        <v>3312500</v>
      </c>
    </row>
    <row r="103" spans="1:4" x14ac:dyDescent="0.3">
      <c r="A103" t="s">
        <v>96</v>
      </c>
      <c r="B103" t="s">
        <v>73</v>
      </c>
      <c r="C103" t="s">
        <v>94</v>
      </c>
      <c r="D103">
        <v>2312500</v>
      </c>
    </row>
    <row r="104" spans="1:4" x14ac:dyDescent="0.3">
      <c r="A104" t="s">
        <v>96</v>
      </c>
      <c r="B104" t="s">
        <v>73</v>
      </c>
      <c r="C104" t="s">
        <v>95</v>
      </c>
      <c r="D104">
        <v>368750</v>
      </c>
    </row>
    <row r="105" spans="1:4" x14ac:dyDescent="0.3">
      <c r="A105" t="s">
        <v>96</v>
      </c>
      <c r="B105" t="s">
        <v>73</v>
      </c>
      <c r="C105" t="s">
        <v>95</v>
      </c>
      <c r="D105">
        <v>198750</v>
      </c>
    </row>
    <row r="106" spans="1:4" x14ac:dyDescent="0.3">
      <c r="A106" t="s">
        <v>96</v>
      </c>
      <c r="B106" t="s">
        <v>73</v>
      </c>
      <c r="C106" t="s">
        <v>95</v>
      </c>
      <c r="D106">
        <v>155000</v>
      </c>
    </row>
    <row r="107" spans="1:4" x14ac:dyDescent="0.3">
      <c r="A107" t="s">
        <v>96</v>
      </c>
      <c r="B107" t="s">
        <v>74</v>
      </c>
      <c r="C107" t="s">
        <v>94</v>
      </c>
      <c r="D107">
        <v>10562500</v>
      </c>
    </row>
    <row r="108" spans="1:4" x14ac:dyDescent="0.3">
      <c r="A108" t="s">
        <v>96</v>
      </c>
      <c r="B108" t="s">
        <v>74</v>
      </c>
      <c r="C108" t="s">
        <v>94</v>
      </c>
      <c r="D108">
        <v>13500000</v>
      </c>
    </row>
    <row r="109" spans="1:4" x14ac:dyDescent="0.3">
      <c r="A109" t="s">
        <v>96</v>
      </c>
      <c r="B109" t="s">
        <v>74</v>
      </c>
      <c r="C109" t="s">
        <v>94</v>
      </c>
      <c r="D109">
        <v>16250000</v>
      </c>
    </row>
    <row r="110" spans="1:4" x14ac:dyDescent="0.3">
      <c r="A110" t="s">
        <v>96</v>
      </c>
      <c r="B110" t="s">
        <v>74</v>
      </c>
      <c r="C110" t="s">
        <v>95</v>
      </c>
      <c r="D110">
        <v>10125000</v>
      </c>
    </row>
    <row r="111" spans="1:4" x14ac:dyDescent="0.3">
      <c r="A111" t="s">
        <v>96</v>
      </c>
      <c r="B111" t="s">
        <v>74</v>
      </c>
      <c r="C111" t="s">
        <v>95</v>
      </c>
      <c r="D111">
        <v>10812500</v>
      </c>
    </row>
    <row r="112" spans="1:4" x14ac:dyDescent="0.3">
      <c r="A112" t="s">
        <v>96</v>
      </c>
      <c r="B112" t="s">
        <v>74</v>
      </c>
      <c r="C112" t="s">
        <v>95</v>
      </c>
      <c r="D112">
        <v>12250000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ARR-CSR-21-1</vt:lpstr>
      <vt:lpstr>ARR-CSR-21-2</vt:lpstr>
      <vt:lpstr>ARR-CSR-21-3</vt:lpstr>
      <vt:lpstr>ARR-CSR-23-1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2023-07-11T17:52:58Z</dcterms:modified>
</cp:coreProperties>
</file>