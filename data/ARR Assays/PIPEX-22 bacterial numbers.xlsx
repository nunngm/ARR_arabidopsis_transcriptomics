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filterPrivacy="1"/>
  <xr:revisionPtr revIDLastSave="1626" documentId="8_{33C050F6-D3FF-49EB-BC15-0EF7E4F265BF}" xr6:coauthVersionLast="47" xr6:coauthVersionMax="47" xr10:uidLastSave="{38180BFB-A209-45EF-9442-0BCF436E94F4}"/>
  <bookViews>
    <workbookView xWindow="-107" yWindow="-107" windowWidth="20847" windowHeight="11111" activeTab="5" xr2:uid="{00000000-000D-0000-FFFF-FFFF00000000}"/>
  </bookViews>
  <sheets>
    <sheet name="Test" sheetId="16" r:id="rId1"/>
    <sheet name="PIPEX-22-1" sheetId="8" r:id="rId2"/>
    <sheet name="PIPEX-22-2 (WKEX-22-2)" sheetId="9" r:id="rId3"/>
    <sheet name="WKEX-22-3" sheetId="11" r:id="rId4"/>
    <sheet name="WKEX-23-1" sheetId="14" r:id="rId5"/>
    <sheet name="WKEX-23-2" sheetId="15" r:id="rId6"/>
    <sheet name="Summary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1" i="16" l="1" a="1"/>
  <c r="H81" i="16" s="1"/>
  <c r="H80" i="16" a="1"/>
  <c r="H80" i="16" s="1"/>
  <c r="H79" i="16" a="1"/>
  <c r="H79" i="16" s="1"/>
  <c r="H77" i="16" a="1"/>
  <c r="H77" i="16" s="1"/>
  <c r="H76" i="16" a="1"/>
  <c r="H76" i="16" s="1"/>
  <c r="H75" i="16" a="1"/>
  <c r="H75" i="16" s="1"/>
  <c r="H73" i="16" a="1"/>
  <c r="H73" i="16" s="1"/>
  <c r="H72" i="16" a="1"/>
  <c r="H72" i="16" s="1"/>
  <c r="H71" i="16" a="1"/>
  <c r="H71" i="16" s="1"/>
  <c r="H69" i="16" a="1"/>
  <c r="H69" i="16" s="1"/>
  <c r="H68" i="16" a="1"/>
  <c r="H68" i="16" s="1"/>
  <c r="H67" i="16" a="1"/>
  <c r="H67" i="16" s="1"/>
  <c r="H65" i="16" a="1"/>
  <c r="H65" i="16" s="1"/>
  <c r="H64" i="16" a="1"/>
  <c r="H64" i="16" s="1"/>
  <c r="H63" i="16" a="1"/>
  <c r="H63" i="16" s="1"/>
  <c r="H61" i="16" a="1"/>
  <c r="H61" i="16" s="1"/>
  <c r="H60" i="16" a="1"/>
  <c r="H60" i="16" s="1"/>
  <c r="H59" i="16" a="1"/>
  <c r="H59" i="16" s="1"/>
  <c r="H57" i="16" a="1"/>
  <c r="H57" i="16" s="1"/>
  <c r="H56" i="16" a="1"/>
  <c r="H56" i="16" s="1"/>
  <c r="H55" i="16" a="1"/>
  <c r="H55" i="16" s="1"/>
  <c r="H53" i="16" a="1"/>
  <c r="H53" i="16" s="1"/>
  <c r="H52" i="16" a="1"/>
  <c r="H52" i="16" s="1"/>
  <c r="H51" i="16" a="1"/>
  <c r="H51" i="16" s="1"/>
  <c r="H49" i="16" a="1"/>
  <c r="H49" i="16" s="1"/>
  <c r="H48" i="16" a="1"/>
  <c r="H48" i="16" s="1"/>
  <c r="H47" i="16" a="1"/>
  <c r="H47" i="16" s="1"/>
  <c r="F46" i="16"/>
  <c r="H45" i="16" a="1"/>
  <c r="H45" i="16" s="1"/>
  <c r="F45" i="16"/>
  <c r="H44" i="16" a="1"/>
  <c r="H44" i="16" s="1"/>
  <c r="F44" i="16"/>
  <c r="H43" i="16" a="1"/>
  <c r="H43" i="16" s="1"/>
  <c r="F43" i="16"/>
  <c r="F42" i="16"/>
  <c r="H41" i="16" a="1"/>
  <c r="H41" i="16" s="1"/>
  <c r="F41" i="16"/>
  <c r="H40" i="16" a="1"/>
  <c r="H40" i="16" s="1"/>
  <c r="F40" i="16"/>
  <c r="H39" i="16" a="1"/>
  <c r="H39" i="16" s="1"/>
  <c r="F39" i="16"/>
  <c r="F38" i="16"/>
  <c r="H37" i="16" a="1"/>
  <c r="H37" i="16" s="1"/>
  <c r="F37" i="16"/>
  <c r="H36" i="16" a="1"/>
  <c r="H36" i="16" s="1"/>
  <c r="F36" i="16"/>
  <c r="H35" i="16" a="1"/>
  <c r="H35" i="16" s="1"/>
  <c r="F35" i="16"/>
  <c r="F34" i="16"/>
  <c r="H33" i="16" a="1"/>
  <c r="H33" i="16" s="1"/>
  <c r="F33" i="16"/>
  <c r="H32" i="16" a="1"/>
  <c r="H32" i="16" s="1"/>
  <c r="F32" i="16"/>
  <c r="H31" i="16" a="1"/>
  <c r="H31" i="16" s="1"/>
  <c r="F31" i="16"/>
  <c r="F30" i="16"/>
  <c r="H29" i="16" a="1"/>
  <c r="H29" i="16" s="1"/>
  <c r="F29" i="16"/>
  <c r="H28" i="16" a="1"/>
  <c r="H28" i="16" s="1"/>
  <c r="F28" i="16"/>
  <c r="H27" i="16" a="1"/>
  <c r="H27" i="16" s="1"/>
  <c r="F27" i="16"/>
  <c r="F26" i="16"/>
  <c r="H25" i="16" a="1"/>
  <c r="H25" i="16" s="1"/>
  <c r="F25" i="16"/>
  <c r="H24" i="16" a="1"/>
  <c r="H24" i="16" s="1"/>
  <c r="F24" i="16"/>
  <c r="H23" i="16" a="1"/>
  <c r="H23" i="16" s="1"/>
  <c r="F23" i="16"/>
  <c r="F22" i="16"/>
  <c r="U21" i="16" a="1"/>
  <c r="U21" i="16" s="1"/>
  <c r="T21" i="16" a="1"/>
  <c r="T21" i="16" s="1"/>
  <c r="S21" i="16" a="1"/>
  <c r="S21" i="16" s="1"/>
  <c r="R21" i="16" a="1"/>
  <c r="R21" i="16" s="1"/>
  <c r="Q21" i="16" a="1"/>
  <c r="Q21" i="16" s="1"/>
  <c r="P21" i="16" a="1"/>
  <c r="P21" i="16" s="1"/>
  <c r="O21" i="16" a="1"/>
  <c r="O21" i="16" s="1"/>
  <c r="N21" i="16" a="1"/>
  <c r="N21" i="16" s="1"/>
  <c r="H21" i="16" a="1"/>
  <c r="H21" i="16" s="1"/>
  <c r="F21" i="16"/>
  <c r="U20" i="16" a="1"/>
  <c r="U20" i="16" s="1"/>
  <c r="T20" i="16" a="1"/>
  <c r="T20" i="16" s="1"/>
  <c r="S20" i="16" a="1"/>
  <c r="S20" i="16" s="1"/>
  <c r="R20" i="16" a="1"/>
  <c r="R20" i="16" s="1"/>
  <c r="Q20" i="16" a="1"/>
  <c r="Q20" i="16" s="1"/>
  <c r="P20" i="16" a="1"/>
  <c r="P20" i="16" s="1"/>
  <c r="O20" i="16" a="1"/>
  <c r="O20" i="16" s="1"/>
  <c r="N20" i="16" a="1"/>
  <c r="N20" i="16" s="1"/>
  <c r="H20" i="16" a="1"/>
  <c r="H20" i="16" s="1"/>
  <c r="F20" i="16"/>
  <c r="U19" i="16" a="1"/>
  <c r="U19" i="16" s="1"/>
  <c r="T19" i="16" a="1"/>
  <c r="T19" i="16" s="1"/>
  <c r="S19" i="16" a="1"/>
  <c r="S19" i="16" s="1"/>
  <c r="R19" i="16" a="1"/>
  <c r="R19" i="16" s="1"/>
  <c r="Q19" i="16" a="1"/>
  <c r="Q19" i="16" s="1"/>
  <c r="P19" i="16" a="1"/>
  <c r="P19" i="16" s="1"/>
  <c r="O19" i="16" a="1"/>
  <c r="O19" i="16" s="1"/>
  <c r="N19" i="16" a="1"/>
  <c r="N19" i="16" s="1"/>
  <c r="H19" i="16" a="1"/>
  <c r="H19" i="16" s="1"/>
  <c r="F19" i="16"/>
  <c r="U18" i="16" a="1"/>
  <c r="U18" i="16" s="1"/>
  <c r="T18" i="16" a="1"/>
  <c r="T18" i="16" s="1"/>
  <c r="S18" i="16" a="1"/>
  <c r="S18" i="16" s="1"/>
  <c r="R18" i="16" a="1"/>
  <c r="R18" i="16" s="1"/>
  <c r="Q18" i="16" a="1"/>
  <c r="Q18" i="16" s="1"/>
  <c r="P18" i="16" a="1"/>
  <c r="P18" i="16" s="1"/>
  <c r="O18" i="16" a="1"/>
  <c r="O18" i="16" s="1"/>
  <c r="N18" i="16" a="1"/>
  <c r="N18" i="16" s="1"/>
  <c r="F18" i="16"/>
  <c r="U17" i="16" a="1"/>
  <c r="U17" i="16" s="1"/>
  <c r="T17" i="16" a="1"/>
  <c r="T17" i="16" s="1"/>
  <c r="S17" i="16" a="1"/>
  <c r="S17" i="16" s="1"/>
  <c r="R17" i="16" a="1"/>
  <c r="R17" i="16" s="1"/>
  <c r="Q17" i="16" a="1"/>
  <c r="Q17" i="16" s="1"/>
  <c r="P17" i="16" a="1"/>
  <c r="P17" i="16" s="1"/>
  <c r="O17" i="16" a="1"/>
  <c r="O17" i="16" s="1"/>
  <c r="N17" i="16" a="1"/>
  <c r="N17" i="16" s="1"/>
  <c r="H17" i="16" a="1"/>
  <c r="H17" i="16" s="1"/>
  <c r="F17" i="16"/>
  <c r="U16" i="16" a="1"/>
  <c r="U16" i="16" s="1"/>
  <c r="T16" i="16" a="1"/>
  <c r="T16" i="16" s="1"/>
  <c r="S16" i="16" a="1"/>
  <c r="S16" i="16" s="1"/>
  <c r="R16" i="16" a="1"/>
  <c r="R16" i="16" s="1"/>
  <c r="Q16" i="16" a="1"/>
  <c r="Q16" i="16" s="1"/>
  <c r="P16" i="16" a="1"/>
  <c r="P16" i="16" s="1"/>
  <c r="O16" i="16" a="1"/>
  <c r="O16" i="16" s="1"/>
  <c r="N16" i="16" a="1"/>
  <c r="N16" i="16" s="1"/>
  <c r="H16" i="16" a="1"/>
  <c r="H16" i="16" s="1"/>
  <c r="F16" i="16"/>
  <c r="U15" i="16" a="1"/>
  <c r="U15" i="16" s="1"/>
  <c r="T15" i="16" a="1"/>
  <c r="T15" i="16" s="1"/>
  <c r="S15" i="16" a="1"/>
  <c r="S15" i="16" s="1"/>
  <c r="R15" i="16" a="1"/>
  <c r="R15" i="16" s="1"/>
  <c r="Q15" i="16" a="1"/>
  <c r="Q15" i="16" s="1"/>
  <c r="P15" i="16" a="1"/>
  <c r="P15" i="16" s="1"/>
  <c r="O15" i="16" a="1"/>
  <c r="O15" i="16" s="1"/>
  <c r="N15" i="16" a="1"/>
  <c r="N15" i="16" s="1"/>
  <c r="H15" i="16" a="1"/>
  <c r="H15" i="16" s="1"/>
  <c r="F15" i="16"/>
  <c r="U14" i="16" a="1"/>
  <c r="U14" i="16" s="1"/>
  <c r="T14" i="16" a="1"/>
  <c r="T14" i="16" s="1"/>
  <c r="S14" i="16" a="1"/>
  <c r="S14" i="16" s="1"/>
  <c r="R14" i="16" a="1"/>
  <c r="R14" i="16" s="1"/>
  <c r="Q14" i="16" a="1"/>
  <c r="Q14" i="16" s="1"/>
  <c r="P14" i="16" a="1"/>
  <c r="P14" i="16" s="1"/>
  <c r="O14" i="16" a="1"/>
  <c r="O14" i="16" s="1"/>
  <c r="N14" i="16" a="1"/>
  <c r="N14" i="16" s="1"/>
  <c r="F14" i="16"/>
  <c r="U13" i="16" a="1"/>
  <c r="U13" i="16" s="1"/>
  <c r="T13" i="16" a="1"/>
  <c r="T13" i="16" s="1"/>
  <c r="S13" i="16" a="1"/>
  <c r="S13" i="16" s="1"/>
  <c r="R13" i="16" a="1"/>
  <c r="R13" i="16" s="1"/>
  <c r="Q13" i="16" a="1"/>
  <c r="Q13" i="16" s="1"/>
  <c r="P13" i="16" a="1"/>
  <c r="P13" i="16" s="1"/>
  <c r="O13" i="16" a="1"/>
  <c r="O13" i="16" s="1"/>
  <c r="N13" i="16" a="1"/>
  <c r="N13" i="16" s="1"/>
  <c r="H13" i="16" a="1"/>
  <c r="H13" i="16" s="1"/>
  <c r="F13" i="16"/>
  <c r="U12" i="16" a="1"/>
  <c r="U12" i="16" s="1"/>
  <c r="T12" i="16" a="1"/>
  <c r="T12" i="16" s="1"/>
  <c r="S12" i="16" a="1"/>
  <c r="S12" i="16" s="1"/>
  <c r="R12" i="16" a="1"/>
  <c r="R12" i="16" s="1"/>
  <c r="Q12" i="16" a="1"/>
  <c r="Q12" i="16" s="1"/>
  <c r="P12" i="16" a="1"/>
  <c r="P12" i="16" s="1"/>
  <c r="O12" i="16" a="1"/>
  <c r="O12" i="16" s="1"/>
  <c r="N12" i="16" a="1"/>
  <c r="N12" i="16" s="1"/>
  <c r="H12" i="16" a="1"/>
  <c r="H12" i="16" s="1"/>
  <c r="F12" i="16"/>
  <c r="U11" i="16" a="1"/>
  <c r="U11" i="16" s="1"/>
  <c r="T11" i="16" a="1"/>
  <c r="T11" i="16" s="1"/>
  <c r="S11" i="16" a="1"/>
  <c r="S11" i="16" s="1"/>
  <c r="R11" i="16" a="1"/>
  <c r="R11" i="16" s="1"/>
  <c r="Q11" i="16" a="1"/>
  <c r="Q11" i="16" s="1"/>
  <c r="P11" i="16" a="1"/>
  <c r="P11" i="16" s="1"/>
  <c r="O11" i="16" a="1"/>
  <c r="O11" i="16" s="1"/>
  <c r="N11" i="16" a="1"/>
  <c r="N11" i="16" s="1"/>
  <c r="H11" i="16" a="1"/>
  <c r="H11" i="16" s="1"/>
  <c r="F11" i="16"/>
  <c r="U10" i="16" a="1"/>
  <c r="U10" i="16" s="1"/>
  <c r="T10" i="16" a="1"/>
  <c r="T10" i="16" s="1"/>
  <c r="S10" i="16" a="1"/>
  <c r="S10" i="16" s="1"/>
  <c r="R10" i="16" a="1"/>
  <c r="R10" i="16" s="1"/>
  <c r="Q10" i="16" a="1"/>
  <c r="Q10" i="16" s="1"/>
  <c r="P10" i="16" a="1"/>
  <c r="P10" i="16" s="1"/>
  <c r="O10" i="16" a="1"/>
  <c r="O10" i="16" s="1"/>
  <c r="N10" i="16" a="1"/>
  <c r="N10" i="16" s="1"/>
  <c r="F10" i="16"/>
  <c r="U9" i="16" a="1"/>
  <c r="U9" i="16" s="1"/>
  <c r="T9" i="16" a="1"/>
  <c r="T9" i="16" s="1"/>
  <c r="S9" i="16" a="1"/>
  <c r="S9" i="16" s="1"/>
  <c r="R9" i="16" a="1"/>
  <c r="R9" i="16" s="1"/>
  <c r="Q9" i="16" a="1"/>
  <c r="Q9" i="16" s="1"/>
  <c r="P9" i="16" a="1"/>
  <c r="P9" i="16" s="1"/>
  <c r="O9" i="16" a="1"/>
  <c r="O9" i="16" s="1"/>
  <c r="N9" i="16" a="1"/>
  <c r="N9" i="16" s="1"/>
  <c r="H9" i="16" a="1"/>
  <c r="H9" i="16" s="1"/>
  <c r="F9" i="16"/>
  <c r="U8" i="16" a="1"/>
  <c r="U8" i="16" s="1"/>
  <c r="T8" i="16" a="1"/>
  <c r="T8" i="16" s="1"/>
  <c r="S8" i="16" a="1"/>
  <c r="S8" i="16" s="1"/>
  <c r="R8" i="16" a="1"/>
  <c r="R8" i="16" s="1"/>
  <c r="Q8" i="16" a="1"/>
  <c r="Q8" i="16" s="1"/>
  <c r="P8" i="16" a="1"/>
  <c r="P8" i="16" s="1"/>
  <c r="O8" i="16" a="1"/>
  <c r="O8" i="16" s="1"/>
  <c r="N8" i="16" a="1"/>
  <c r="N8" i="16" s="1"/>
  <c r="H8" i="16" a="1"/>
  <c r="H8" i="16" s="1"/>
  <c r="F8" i="16"/>
  <c r="U7" i="16" a="1"/>
  <c r="U7" i="16" s="1"/>
  <c r="T7" i="16" a="1"/>
  <c r="T7" i="16" s="1"/>
  <c r="S7" i="16" a="1"/>
  <c r="S7" i="16" s="1"/>
  <c r="R7" i="16" a="1"/>
  <c r="R7" i="16" s="1"/>
  <c r="Q7" i="16" a="1"/>
  <c r="Q7" i="16" s="1"/>
  <c r="P7" i="16" a="1"/>
  <c r="P7" i="16" s="1"/>
  <c r="O7" i="16" a="1"/>
  <c r="O7" i="16" s="1"/>
  <c r="N7" i="16" a="1"/>
  <c r="N7" i="16" s="1"/>
  <c r="H7" i="16" a="1"/>
  <c r="H7" i="16" s="1"/>
  <c r="F7" i="16"/>
  <c r="U6" i="16" a="1"/>
  <c r="U6" i="16" s="1"/>
  <c r="T6" i="16" a="1"/>
  <c r="T6" i="16" s="1"/>
  <c r="S6" i="16" a="1"/>
  <c r="S6" i="16" s="1"/>
  <c r="R6" i="16" a="1"/>
  <c r="R6" i="16" s="1"/>
  <c r="Q6" i="16" a="1"/>
  <c r="Q6" i="16" s="1"/>
  <c r="P6" i="16" a="1"/>
  <c r="P6" i="16" s="1"/>
  <c r="O6" i="16" a="1"/>
  <c r="O6" i="16" s="1"/>
  <c r="N6" i="16" a="1"/>
  <c r="N6" i="16" s="1"/>
  <c r="F6" i="16"/>
  <c r="U5" i="16" a="1"/>
  <c r="U5" i="16" s="1"/>
  <c r="T5" i="16" a="1"/>
  <c r="T5" i="16" s="1"/>
  <c r="S5" i="16" a="1"/>
  <c r="S5" i="16" s="1"/>
  <c r="R5" i="16" a="1"/>
  <c r="R5" i="16" s="1"/>
  <c r="Q5" i="16" a="1"/>
  <c r="Q5" i="16" s="1"/>
  <c r="P5" i="16" a="1"/>
  <c r="P5" i="16" s="1"/>
  <c r="O5" i="16" a="1"/>
  <c r="O5" i="16" s="1"/>
  <c r="N5" i="16" a="1"/>
  <c r="N5" i="16" s="1"/>
  <c r="H5" i="16" a="1"/>
  <c r="H5" i="16" s="1"/>
  <c r="F5" i="16"/>
  <c r="U4" i="16" a="1"/>
  <c r="U4" i="16" s="1"/>
  <c r="T4" i="16" a="1"/>
  <c r="T4" i="16" s="1"/>
  <c r="S4" i="16" a="1"/>
  <c r="S4" i="16" s="1"/>
  <c r="R4" i="16" a="1"/>
  <c r="R4" i="16" s="1"/>
  <c r="Q4" i="16" a="1"/>
  <c r="Q4" i="16" s="1"/>
  <c r="P4" i="16" a="1"/>
  <c r="P4" i="16" s="1"/>
  <c r="O4" i="16" a="1"/>
  <c r="O4" i="16" s="1"/>
  <c r="N4" i="16" a="1"/>
  <c r="N4" i="16" s="1"/>
  <c r="H4" i="16" a="1"/>
  <c r="H4" i="16" s="1"/>
  <c r="F4" i="16"/>
  <c r="H3" i="16" s="1" a="1"/>
  <c r="H3" i="16" s="1"/>
  <c r="F3" i="16"/>
  <c r="F2" i="16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O28" i="14"/>
  <c r="P5" i="14" a="1"/>
  <c r="P5" i="14" s="1"/>
  <c r="H81" i="14" a="1"/>
  <c r="H81" i="14" s="1"/>
  <c r="H80" i="14" a="1"/>
  <c r="H80" i="14" s="1"/>
  <c r="H79" i="14" a="1"/>
  <c r="H79" i="14" s="1"/>
  <c r="H77" i="14" a="1"/>
  <c r="H77" i="14" s="1"/>
  <c r="H76" i="14" a="1"/>
  <c r="H76" i="14" s="1"/>
  <c r="H75" i="14" a="1"/>
  <c r="H75" i="14" s="1"/>
  <c r="H73" i="14" a="1"/>
  <c r="H73" i="14" s="1"/>
  <c r="H72" i="14" a="1"/>
  <c r="H72" i="14" s="1"/>
  <c r="H71" i="14" a="1"/>
  <c r="H71" i="14" s="1"/>
  <c r="H69" i="14" a="1"/>
  <c r="H69" i="14" s="1"/>
  <c r="H68" i="14" a="1"/>
  <c r="H68" i="14" s="1"/>
  <c r="H67" i="14" a="1"/>
  <c r="H67" i="14" s="1"/>
  <c r="H65" i="14" a="1"/>
  <c r="H65" i="14" s="1"/>
  <c r="H64" i="14" a="1"/>
  <c r="H64" i="14" s="1"/>
  <c r="H63" i="14" a="1"/>
  <c r="H63" i="14" s="1"/>
  <c r="H61" i="14" a="1"/>
  <c r="H61" i="14" s="1"/>
  <c r="H60" i="14" a="1"/>
  <c r="H60" i="14" s="1"/>
  <c r="H59" i="14" a="1"/>
  <c r="H59" i="14" s="1"/>
  <c r="H57" i="14" a="1"/>
  <c r="H57" i="14" s="1"/>
  <c r="H56" i="14" a="1"/>
  <c r="H56" i="14" s="1"/>
  <c r="H55" i="14" a="1"/>
  <c r="H55" i="14" s="1"/>
  <c r="H53" i="14" a="1"/>
  <c r="H53" i="14" s="1"/>
  <c r="H52" i="14" a="1"/>
  <c r="H52" i="14" s="1"/>
  <c r="H51" i="14" a="1"/>
  <c r="H51" i="14" s="1"/>
  <c r="H49" i="14" a="1"/>
  <c r="H49" i="14" s="1"/>
  <c r="H48" i="14" a="1"/>
  <c r="H48" i="14" s="1"/>
  <c r="H47" i="14" a="1"/>
  <c r="H47" i="14" s="1"/>
  <c r="F46" i="14"/>
  <c r="H45" i="14" a="1"/>
  <c r="H45" i="14" s="1"/>
  <c r="F45" i="14"/>
  <c r="H44" i="14" a="1"/>
  <c r="H44" i="14" s="1"/>
  <c r="F44" i="14"/>
  <c r="H43" i="14" a="1"/>
  <c r="H43" i="14" s="1"/>
  <c r="F43" i="14"/>
  <c r="F42" i="14"/>
  <c r="H41" i="14" a="1"/>
  <c r="H41" i="14" s="1"/>
  <c r="F41" i="14"/>
  <c r="H40" i="14" a="1"/>
  <c r="H40" i="14" s="1"/>
  <c r="F40" i="14"/>
  <c r="H39" i="14" a="1"/>
  <c r="H39" i="14" s="1"/>
  <c r="F39" i="14"/>
  <c r="F38" i="14"/>
  <c r="H37" i="14" a="1"/>
  <c r="H37" i="14" s="1"/>
  <c r="F37" i="14"/>
  <c r="H36" i="14" a="1"/>
  <c r="H36" i="14" s="1"/>
  <c r="F36" i="14"/>
  <c r="H35" i="14" a="1"/>
  <c r="H35" i="14" s="1"/>
  <c r="F35" i="14"/>
  <c r="Q6" i="14" s="1" a="1"/>
  <c r="Q6" i="14" s="1"/>
  <c r="F34" i="14"/>
  <c r="H33" i="14" a="1"/>
  <c r="H33" i="14" s="1"/>
  <c r="F33" i="14"/>
  <c r="H32" i="14" a="1"/>
  <c r="H32" i="14" s="1"/>
  <c r="F32" i="14"/>
  <c r="Q5" i="14" s="1" a="1"/>
  <c r="Q5" i="14" s="1"/>
  <c r="H31" i="14" a="1"/>
  <c r="H31" i="14" s="1"/>
  <c r="F31" i="14"/>
  <c r="F30" i="14"/>
  <c r="H29" i="14" a="1"/>
  <c r="H29" i="14" s="1"/>
  <c r="F29" i="14"/>
  <c r="H15" i="14" s="1" a="1"/>
  <c r="H15" i="14" s="1"/>
  <c r="H28" i="14" a="1"/>
  <c r="H28" i="14" s="1"/>
  <c r="F28" i="14"/>
  <c r="H27" i="14" a="1"/>
  <c r="H27" i="14" s="1"/>
  <c r="F27" i="14"/>
  <c r="P6" i="14" s="1" a="1"/>
  <c r="P6" i="14" s="1"/>
  <c r="F26" i="14"/>
  <c r="H25" i="14" a="1"/>
  <c r="H25" i="14" s="1"/>
  <c r="F25" i="14"/>
  <c r="H24" i="14" a="1"/>
  <c r="H24" i="14" s="1"/>
  <c r="F24" i="14"/>
  <c r="H23" i="14" a="1"/>
  <c r="H23" i="14" s="1"/>
  <c r="F23" i="14"/>
  <c r="F22" i="14"/>
  <c r="U21" i="14" a="1"/>
  <c r="U21" i="14" s="1"/>
  <c r="T21" i="14" a="1"/>
  <c r="T21" i="14" s="1"/>
  <c r="S21" i="14" a="1"/>
  <c r="S21" i="14" s="1"/>
  <c r="R21" i="14" a="1"/>
  <c r="R21" i="14" s="1"/>
  <c r="Q21" i="14" a="1"/>
  <c r="Q21" i="14" s="1"/>
  <c r="P21" i="14" a="1"/>
  <c r="P21" i="14" s="1"/>
  <c r="O21" i="14" a="1"/>
  <c r="O21" i="14" s="1"/>
  <c r="N21" i="14" a="1"/>
  <c r="N21" i="14" s="1"/>
  <c r="H21" i="14" a="1"/>
  <c r="H21" i="14" s="1"/>
  <c r="F21" i="14"/>
  <c r="P4" i="14" s="1" a="1"/>
  <c r="P4" i="14" s="1"/>
  <c r="U20" i="14" a="1"/>
  <c r="U20" i="14" s="1"/>
  <c r="T20" i="14" a="1"/>
  <c r="T20" i="14" s="1"/>
  <c r="S20" i="14" a="1"/>
  <c r="S20" i="14" s="1"/>
  <c r="R20" i="14" a="1"/>
  <c r="R20" i="14" s="1"/>
  <c r="Q20" i="14" a="1"/>
  <c r="Q20" i="14" s="1"/>
  <c r="P20" i="14" a="1"/>
  <c r="P20" i="14" s="1"/>
  <c r="O20" i="14" a="1"/>
  <c r="O20" i="14" s="1"/>
  <c r="N20" i="14" a="1"/>
  <c r="N20" i="14" s="1"/>
  <c r="H20" i="14" a="1"/>
  <c r="H20" i="14" s="1"/>
  <c r="F20" i="14"/>
  <c r="U19" i="14" a="1"/>
  <c r="U19" i="14" s="1"/>
  <c r="T19" i="14" a="1"/>
  <c r="T19" i="14" s="1"/>
  <c r="S19" i="14" a="1"/>
  <c r="S19" i="14" s="1"/>
  <c r="R19" i="14" a="1"/>
  <c r="R19" i="14" s="1"/>
  <c r="Q19" i="14" a="1"/>
  <c r="Q19" i="14" s="1"/>
  <c r="P19" i="14" a="1"/>
  <c r="P19" i="14" s="1"/>
  <c r="O19" i="14" a="1"/>
  <c r="O19" i="14" s="1"/>
  <c r="N19" i="14" a="1"/>
  <c r="N19" i="14" s="1"/>
  <c r="H19" i="14" a="1"/>
  <c r="H19" i="14" s="1"/>
  <c r="F19" i="14"/>
  <c r="U18" i="14" a="1"/>
  <c r="U18" i="14" s="1"/>
  <c r="T18" i="14" a="1"/>
  <c r="T18" i="14" s="1"/>
  <c r="S18" i="14" a="1"/>
  <c r="S18" i="14" s="1"/>
  <c r="R18" i="14" a="1"/>
  <c r="R18" i="14" s="1"/>
  <c r="Q18" i="14" a="1"/>
  <c r="Q18" i="14" s="1"/>
  <c r="P18" i="14" a="1"/>
  <c r="P18" i="14" s="1"/>
  <c r="O18" i="14" a="1"/>
  <c r="O18" i="14" s="1"/>
  <c r="N18" i="14" a="1"/>
  <c r="N18" i="14" s="1"/>
  <c r="F18" i="14"/>
  <c r="O6" i="14" s="1" a="1"/>
  <c r="O6" i="14" s="1"/>
  <c r="U17" i="14" a="1"/>
  <c r="U17" i="14" s="1"/>
  <c r="T17" i="14" a="1"/>
  <c r="T17" i="14" s="1"/>
  <c r="S17" i="14" a="1"/>
  <c r="S17" i="14" s="1"/>
  <c r="R17" i="14" a="1"/>
  <c r="R17" i="14" s="1"/>
  <c r="Q17" i="14" a="1"/>
  <c r="Q17" i="14" s="1"/>
  <c r="P17" i="14" a="1"/>
  <c r="P17" i="14" s="1"/>
  <c r="O17" i="14" a="1"/>
  <c r="O17" i="14" s="1"/>
  <c r="N17" i="14" a="1"/>
  <c r="N17" i="14" s="1"/>
  <c r="H17" i="14" a="1"/>
  <c r="H17" i="14" s="1"/>
  <c r="F17" i="14"/>
  <c r="U16" i="14" a="1"/>
  <c r="U16" i="14" s="1"/>
  <c r="T16" i="14" a="1"/>
  <c r="T16" i="14" s="1"/>
  <c r="S16" i="14" a="1"/>
  <c r="S16" i="14" s="1"/>
  <c r="R16" i="14" a="1"/>
  <c r="R16" i="14" s="1"/>
  <c r="Q16" i="14" a="1"/>
  <c r="Q16" i="14" s="1"/>
  <c r="P16" i="14" a="1"/>
  <c r="P16" i="14" s="1"/>
  <c r="O16" i="14" a="1"/>
  <c r="O16" i="14" s="1"/>
  <c r="N16" i="14" a="1"/>
  <c r="N16" i="14" s="1"/>
  <c r="F16" i="14"/>
  <c r="U15" i="14" a="1"/>
  <c r="U15" i="14" s="1"/>
  <c r="T15" i="14" a="1"/>
  <c r="T15" i="14" s="1"/>
  <c r="S15" i="14" a="1"/>
  <c r="S15" i="14" s="1"/>
  <c r="R15" i="14" a="1"/>
  <c r="R15" i="14" s="1"/>
  <c r="Q15" i="14" a="1"/>
  <c r="Q15" i="14" s="1"/>
  <c r="P15" i="14" a="1"/>
  <c r="P15" i="14" s="1"/>
  <c r="O15" i="14" a="1"/>
  <c r="O15" i="14" s="1"/>
  <c r="N15" i="14" a="1"/>
  <c r="N15" i="14" s="1"/>
  <c r="F15" i="14"/>
  <c r="O5" i="14" s="1" a="1"/>
  <c r="O5" i="14" s="1"/>
  <c r="U14" i="14" a="1"/>
  <c r="U14" i="14" s="1"/>
  <c r="T14" i="14" a="1"/>
  <c r="T14" i="14" s="1"/>
  <c r="S14" i="14" a="1"/>
  <c r="S14" i="14" s="1"/>
  <c r="R14" i="14" a="1"/>
  <c r="R14" i="14" s="1"/>
  <c r="Q14" i="14" a="1"/>
  <c r="Q14" i="14" s="1"/>
  <c r="P14" i="14" a="1"/>
  <c r="P14" i="14" s="1"/>
  <c r="O14" i="14" a="1"/>
  <c r="O14" i="14" s="1"/>
  <c r="N14" i="14" a="1"/>
  <c r="N14" i="14" s="1"/>
  <c r="F14" i="14"/>
  <c r="U13" i="14" a="1"/>
  <c r="U13" i="14" s="1"/>
  <c r="T13" i="14" a="1"/>
  <c r="T13" i="14" s="1"/>
  <c r="S13" i="14" a="1"/>
  <c r="S13" i="14" s="1"/>
  <c r="R13" i="14" a="1"/>
  <c r="R13" i="14" s="1"/>
  <c r="Q13" i="14" a="1"/>
  <c r="Q13" i="14" s="1"/>
  <c r="P13" i="14" a="1"/>
  <c r="P13" i="14" s="1"/>
  <c r="O13" i="14" a="1"/>
  <c r="O13" i="14" s="1"/>
  <c r="N13" i="14" a="1"/>
  <c r="N13" i="14" s="1"/>
  <c r="H13" i="14" a="1"/>
  <c r="H13" i="14" s="1"/>
  <c r="F13" i="14"/>
  <c r="U12" i="14" a="1"/>
  <c r="U12" i="14" s="1"/>
  <c r="T12" i="14" a="1"/>
  <c r="T12" i="14" s="1"/>
  <c r="S12" i="14" a="1"/>
  <c r="S12" i="14" s="1"/>
  <c r="R12" i="14" a="1"/>
  <c r="R12" i="14" s="1"/>
  <c r="Q12" i="14" a="1"/>
  <c r="Q12" i="14" s="1"/>
  <c r="P12" i="14" a="1"/>
  <c r="P12" i="14" s="1"/>
  <c r="O12" i="14" a="1"/>
  <c r="O12" i="14" s="1"/>
  <c r="N12" i="14" a="1"/>
  <c r="N12" i="14" s="1"/>
  <c r="H12" i="14" a="1"/>
  <c r="H12" i="14" s="1"/>
  <c r="F12" i="14"/>
  <c r="O4" i="14" s="1" a="1"/>
  <c r="O4" i="14" s="1"/>
  <c r="U11" i="14" a="1"/>
  <c r="U11" i="14" s="1"/>
  <c r="T11" i="14" a="1"/>
  <c r="T11" i="14" s="1"/>
  <c r="S11" i="14" a="1"/>
  <c r="S11" i="14" s="1"/>
  <c r="R11" i="14" a="1"/>
  <c r="R11" i="14" s="1"/>
  <c r="Q11" i="14" a="1"/>
  <c r="Q11" i="14" s="1"/>
  <c r="P11" i="14" a="1"/>
  <c r="P11" i="14" s="1"/>
  <c r="O11" i="14" a="1"/>
  <c r="O11" i="14" s="1"/>
  <c r="N11" i="14" a="1"/>
  <c r="N11" i="14" s="1"/>
  <c r="F11" i="14"/>
  <c r="U10" i="14" a="1"/>
  <c r="U10" i="14" s="1"/>
  <c r="T10" i="14" a="1"/>
  <c r="T10" i="14" s="1"/>
  <c r="S10" i="14" a="1"/>
  <c r="S10" i="14" s="1"/>
  <c r="R10" i="14" a="1"/>
  <c r="R10" i="14" s="1"/>
  <c r="Q10" i="14" a="1"/>
  <c r="Q10" i="14" s="1"/>
  <c r="P10" i="14" a="1"/>
  <c r="P10" i="14" s="1"/>
  <c r="O10" i="14" a="1"/>
  <c r="O10" i="14" s="1"/>
  <c r="N10" i="14" a="1"/>
  <c r="N10" i="14" s="1"/>
  <c r="F10" i="14"/>
  <c r="U9" i="14" a="1"/>
  <c r="U9" i="14" s="1"/>
  <c r="T9" i="14" a="1"/>
  <c r="T9" i="14" s="1"/>
  <c r="S9" i="14" a="1"/>
  <c r="S9" i="14" s="1"/>
  <c r="R9" i="14" a="1"/>
  <c r="R9" i="14" s="1"/>
  <c r="Q9" i="14" a="1"/>
  <c r="Q9" i="14" s="1"/>
  <c r="P9" i="14" a="1"/>
  <c r="P9" i="14" s="1"/>
  <c r="O9" i="14" a="1"/>
  <c r="O9" i="14" s="1"/>
  <c r="N9" i="14" a="1"/>
  <c r="N9" i="14" s="1"/>
  <c r="H9" i="14" a="1"/>
  <c r="H9" i="14" s="1"/>
  <c r="F9" i="14"/>
  <c r="N6" i="14" s="1" a="1"/>
  <c r="N6" i="14" s="1"/>
  <c r="U8" i="14" a="1"/>
  <c r="U8" i="14" s="1"/>
  <c r="T8" i="14" a="1"/>
  <c r="T8" i="14" s="1"/>
  <c r="S8" i="14" a="1"/>
  <c r="S8" i="14" s="1"/>
  <c r="R8" i="14" a="1"/>
  <c r="R8" i="14" s="1"/>
  <c r="Q8" i="14" a="1"/>
  <c r="Q8" i="14" s="1"/>
  <c r="P8" i="14" a="1"/>
  <c r="P8" i="14" s="1"/>
  <c r="O8" i="14" a="1"/>
  <c r="O8" i="14" s="1"/>
  <c r="N8" i="14" a="1"/>
  <c r="N8" i="14" s="1"/>
  <c r="H8" i="14" a="1"/>
  <c r="H8" i="14" s="1"/>
  <c r="F8" i="14"/>
  <c r="U7" i="14" a="1"/>
  <c r="U7" i="14" s="1"/>
  <c r="T7" i="14" a="1"/>
  <c r="T7" i="14" s="1"/>
  <c r="S7" i="14" a="1"/>
  <c r="S7" i="14" s="1"/>
  <c r="R7" i="14" a="1"/>
  <c r="R7" i="14" s="1"/>
  <c r="Q7" i="14" a="1"/>
  <c r="Q7" i="14" s="1"/>
  <c r="P7" i="14" a="1"/>
  <c r="P7" i="14" s="1"/>
  <c r="O7" i="14" a="1"/>
  <c r="O7" i="14" s="1"/>
  <c r="N7" i="14" a="1"/>
  <c r="N7" i="14" s="1"/>
  <c r="F7" i="14"/>
  <c r="U6" i="14" a="1"/>
  <c r="U6" i="14" s="1"/>
  <c r="T6" i="14" a="1"/>
  <c r="T6" i="14" s="1"/>
  <c r="S6" i="14" a="1"/>
  <c r="S6" i="14" s="1"/>
  <c r="R6" i="14" a="1"/>
  <c r="R6" i="14" s="1"/>
  <c r="F6" i="14"/>
  <c r="H4" i="14" s="1" a="1"/>
  <c r="H4" i="14" s="1"/>
  <c r="U5" i="14" a="1"/>
  <c r="U5" i="14" s="1"/>
  <c r="T5" i="14" a="1"/>
  <c r="T5" i="14" s="1"/>
  <c r="S5" i="14" a="1"/>
  <c r="S5" i="14" s="1"/>
  <c r="R5" i="14" a="1"/>
  <c r="R5" i="14" s="1"/>
  <c r="F5" i="14"/>
  <c r="U4" i="14" a="1"/>
  <c r="U4" i="14" s="1"/>
  <c r="T4" i="14" a="1"/>
  <c r="T4" i="14" s="1"/>
  <c r="S4" i="14" a="1"/>
  <c r="S4" i="14" s="1"/>
  <c r="R4" i="14" a="1"/>
  <c r="R4" i="14" s="1"/>
  <c r="F4" i="14"/>
  <c r="N4" i="14" s="1" a="1"/>
  <c r="N4" i="14" s="1"/>
  <c r="F3" i="14"/>
  <c r="F2" i="14"/>
  <c r="F32" i="11"/>
  <c r="F33" i="11"/>
  <c r="F34" i="11"/>
  <c r="F35" i="11"/>
  <c r="F36" i="11"/>
  <c r="F37" i="11"/>
  <c r="F31" i="11"/>
  <c r="F30" i="11"/>
  <c r="F29" i="11"/>
  <c r="T25" i="16" l="1"/>
  <c r="I25" i="16"/>
  <c r="J13" i="16"/>
  <c r="J21" i="16"/>
  <c r="J29" i="16"/>
  <c r="J41" i="16"/>
  <c r="J5" i="16"/>
  <c r="I5" i="16"/>
  <c r="J45" i="16"/>
  <c r="I45" i="16"/>
  <c r="N25" i="16"/>
  <c r="N23" i="16"/>
  <c r="U25" i="16"/>
  <c r="U23" i="16"/>
  <c r="J53" i="16"/>
  <c r="I53" i="16"/>
  <c r="O25" i="16"/>
  <c r="O23" i="16"/>
  <c r="J65" i="16"/>
  <c r="I65" i="16"/>
  <c r="P25" i="16"/>
  <c r="P23" i="16"/>
  <c r="J77" i="16"/>
  <c r="I77" i="16"/>
  <c r="J61" i="16"/>
  <c r="I61" i="16"/>
  <c r="I29" i="16"/>
  <c r="J33" i="16"/>
  <c r="J69" i="16"/>
  <c r="I69" i="16"/>
  <c r="J73" i="16"/>
  <c r="I73" i="16"/>
  <c r="Q23" i="16"/>
  <c r="Q25" i="16"/>
  <c r="J57" i="16"/>
  <c r="I57" i="16"/>
  <c r="R25" i="16"/>
  <c r="R23" i="16"/>
  <c r="I17" i="16"/>
  <c r="S25" i="16"/>
  <c r="S23" i="16"/>
  <c r="I9" i="16"/>
  <c r="J37" i="16"/>
  <c r="J49" i="16"/>
  <c r="I49" i="16"/>
  <c r="J81" i="16"/>
  <c r="I81" i="16"/>
  <c r="I41" i="16"/>
  <c r="J25" i="16"/>
  <c r="I13" i="16"/>
  <c r="I21" i="16"/>
  <c r="T23" i="16"/>
  <c r="I33" i="16"/>
  <c r="J9" i="16"/>
  <c r="I37" i="16"/>
  <c r="J17" i="16"/>
  <c r="H7" i="14" a="1"/>
  <c r="H7" i="14" s="1"/>
  <c r="I9" i="14" s="1"/>
  <c r="H5" i="14" a="1"/>
  <c r="H5" i="14" s="1"/>
  <c r="J41" i="14"/>
  <c r="N5" i="14" a="1"/>
  <c r="N5" i="14" s="1"/>
  <c r="N25" i="14" s="1"/>
  <c r="H11" i="14" a="1"/>
  <c r="H11" i="14" s="1"/>
  <c r="J13" i="14" s="1"/>
  <c r="Q4" i="14" a="1"/>
  <c r="Q4" i="14" s="1"/>
  <c r="Q25" i="14" s="1"/>
  <c r="H16" i="14" a="1"/>
  <c r="H16" i="14" s="1"/>
  <c r="J17" i="14" s="1"/>
  <c r="I25" i="14"/>
  <c r="H3" i="14" a="1"/>
  <c r="H3" i="14" s="1"/>
  <c r="J73" i="14"/>
  <c r="I73" i="14"/>
  <c r="S25" i="14"/>
  <c r="S23" i="14"/>
  <c r="O25" i="14"/>
  <c r="O23" i="14"/>
  <c r="U25" i="14"/>
  <c r="U23" i="14"/>
  <c r="J53" i="14"/>
  <c r="I53" i="14"/>
  <c r="J65" i="14"/>
  <c r="I65" i="14"/>
  <c r="T25" i="14"/>
  <c r="J77" i="14"/>
  <c r="I77" i="14"/>
  <c r="I29" i="14"/>
  <c r="J29" i="14"/>
  <c r="J57" i="14"/>
  <c r="I57" i="14"/>
  <c r="P25" i="14"/>
  <c r="J21" i="14"/>
  <c r="I21" i="14"/>
  <c r="J33" i="14"/>
  <c r="J69" i="14"/>
  <c r="I69" i="14"/>
  <c r="J37" i="14"/>
  <c r="J49" i="14"/>
  <c r="I49" i="14"/>
  <c r="J81" i="14"/>
  <c r="I81" i="14"/>
  <c r="J45" i="14"/>
  <c r="I45" i="14"/>
  <c r="J61" i="14"/>
  <c r="I61" i="14"/>
  <c r="R25" i="14"/>
  <c r="J25" i="14"/>
  <c r="R23" i="14"/>
  <c r="I41" i="14"/>
  <c r="T23" i="14"/>
  <c r="I33" i="14"/>
  <c r="I37" i="14"/>
  <c r="P23" i="14"/>
  <c r="H81" i="11" a="1"/>
  <c r="H81" i="11" s="1"/>
  <c r="H80" i="11" a="1"/>
  <c r="H80" i="11" s="1"/>
  <c r="H79" i="11" a="1"/>
  <c r="H79" i="11" s="1"/>
  <c r="H77" i="11" a="1"/>
  <c r="H77" i="11" s="1"/>
  <c r="H76" i="11" a="1"/>
  <c r="H76" i="11" s="1"/>
  <c r="H75" i="11" a="1"/>
  <c r="H75" i="11" s="1"/>
  <c r="H73" i="11" a="1"/>
  <c r="H73" i="11" s="1"/>
  <c r="H72" i="11" a="1"/>
  <c r="H72" i="11" s="1"/>
  <c r="H71" i="11" a="1"/>
  <c r="H71" i="11" s="1"/>
  <c r="H69" i="11" a="1"/>
  <c r="H69" i="11" s="1"/>
  <c r="H68" i="11" a="1"/>
  <c r="H68" i="11" s="1"/>
  <c r="H67" i="11" a="1"/>
  <c r="H67" i="11" s="1"/>
  <c r="H65" i="11" a="1"/>
  <c r="H65" i="11" s="1"/>
  <c r="H64" i="11" a="1"/>
  <c r="H64" i="11" s="1"/>
  <c r="H63" i="11" a="1"/>
  <c r="H63" i="11" s="1"/>
  <c r="H61" i="11" a="1"/>
  <c r="H61" i="11" s="1"/>
  <c r="H60" i="11" a="1"/>
  <c r="H60" i="11" s="1"/>
  <c r="H59" i="11" a="1"/>
  <c r="H59" i="11" s="1"/>
  <c r="H57" i="11" a="1"/>
  <c r="H57" i="11" s="1"/>
  <c r="H56" i="11" a="1"/>
  <c r="H56" i="11" s="1"/>
  <c r="H55" i="11" a="1"/>
  <c r="H55" i="11" s="1"/>
  <c r="H53" i="11" a="1"/>
  <c r="H53" i="11" s="1"/>
  <c r="H52" i="11" a="1"/>
  <c r="H52" i="11" s="1"/>
  <c r="H51" i="11" a="1"/>
  <c r="H51" i="11" s="1"/>
  <c r="H49" i="11" a="1"/>
  <c r="H49" i="11" s="1"/>
  <c r="H48" i="11" a="1"/>
  <c r="H48" i="11" s="1"/>
  <c r="H47" i="11" a="1"/>
  <c r="H47" i="11" s="1"/>
  <c r="F46" i="11"/>
  <c r="H45" i="11" a="1"/>
  <c r="H45" i="11" s="1"/>
  <c r="F45" i="11"/>
  <c r="H44" i="11" a="1"/>
  <c r="H44" i="11" s="1"/>
  <c r="F44" i="11"/>
  <c r="H43" i="11" a="1"/>
  <c r="H43" i="11" s="1"/>
  <c r="F43" i="11"/>
  <c r="F42" i="11"/>
  <c r="H41" i="11" a="1"/>
  <c r="H41" i="11" s="1"/>
  <c r="F41" i="11"/>
  <c r="H40" i="11" a="1"/>
  <c r="H40" i="11" s="1"/>
  <c r="F40" i="11"/>
  <c r="H39" i="11" a="1"/>
  <c r="H39" i="11" s="1"/>
  <c r="F39" i="11"/>
  <c r="F38" i="11"/>
  <c r="H37" i="11" a="1"/>
  <c r="H37" i="11" s="1"/>
  <c r="H36" i="11" a="1"/>
  <c r="H36" i="11" s="1"/>
  <c r="H35" i="11" a="1"/>
  <c r="H35" i="11" s="1"/>
  <c r="H33" i="11" a="1"/>
  <c r="H33" i="11" s="1"/>
  <c r="H32" i="11" a="1"/>
  <c r="H32" i="11" s="1"/>
  <c r="H16" i="11" a="1"/>
  <c r="H16" i="11" s="1"/>
  <c r="H31" i="11" a="1"/>
  <c r="H31" i="11" s="1"/>
  <c r="H29" i="11" a="1"/>
  <c r="H29" i="11" s="1"/>
  <c r="H28" i="11" a="1"/>
  <c r="H28" i="11" s="1"/>
  <c r="F28" i="11"/>
  <c r="H27" i="11" a="1"/>
  <c r="H27" i="11" s="1"/>
  <c r="F27" i="11"/>
  <c r="F26" i="11"/>
  <c r="H25" i="11" a="1"/>
  <c r="H25" i="11" s="1"/>
  <c r="F25" i="11"/>
  <c r="H24" i="11" a="1"/>
  <c r="H24" i="11" s="1"/>
  <c r="F24" i="11"/>
  <c r="H23" i="11" a="1"/>
  <c r="H23" i="11" s="1"/>
  <c r="F23" i="11"/>
  <c r="F22" i="11"/>
  <c r="U21" i="11" a="1"/>
  <c r="U21" i="11" s="1"/>
  <c r="T21" i="11" a="1"/>
  <c r="T21" i="11" s="1"/>
  <c r="S21" i="11" a="1"/>
  <c r="S21" i="11" s="1"/>
  <c r="R21" i="11" a="1"/>
  <c r="R21" i="11" s="1"/>
  <c r="Q21" i="11" a="1"/>
  <c r="Q21" i="11" s="1"/>
  <c r="P21" i="11" a="1"/>
  <c r="P21" i="11" s="1"/>
  <c r="O21" i="11" a="1"/>
  <c r="O21" i="11" s="1"/>
  <c r="N21" i="11" a="1"/>
  <c r="N21" i="11" s="1"/>
  <c r="H21" i="11" a="1"/>
  <c r="H21" i="11" s="1"/>
  <c r="F21" i="11"/>
  <c r="H11" i="11" s="1" a="1"/>
  <c r="H11" i="11" s="1"/>
  <c r="U20" i="11" a="1"/>
  <c r="U20" i="11" s="1"/>
  <c r="T20" i="11" a="1"/>
  <c r="T20" i="11" s="1"/>
  <c r="S20" i="11" a="1"/>
  <c r="S20" i="11" s="1"/>
  <c r="R20" i="11" a="1"/>
  <c r="R20" i="11" s="1"/>
  <c r="Q20" i="11" a="1"/>
  <c r="Q20" i="11" s="1"/>
  <c r="P20" i="11" a="1"/>
  <c r="P20" i="11" s="1"/>
  <c r="O20" i="11" a="1"/>
  <c r="O20" i="11" s="1"/>
  <c r="N20" i="11" a="1"/>
  <c r="N20" i="11" s="1"/>
  <c r="H20" i="11" a="1"/>
  <c r="H20" i="11" s="1"/>
  <c r="F20" i="11"/>
  <c r="U19" i="11" a="1"/>
  <c r="U19" i="11" s="1"/>
  <c r="T19" i="11" a="1"/>
  <c r="T19" i="11" s="1"/>
  <c r="S19" i="11" a="1"/>
  <c r="S19" i="11" s="1"/>
  <c r="R19" i="11" a="1"/>
  <c r="R19" i="11" s="1"/>
  <c r="Q19" i="11" a="1"/>
  <c r="Q19" i="11" s="1"/>
  <c r="P19" i="11" a="1"/>
  <c r="P19" i="11" s="1"/>
  <c r="O19" i="11" a="1"/>
  <c r="O19" i="11" s="1"/>
  <c r="N19" i="11" a="1"/>
  <c r="N19" i="11" s="1"/>
  <c r="H19" i="11" a="1"/>
  <c r="H19" i="11" s="1"/>
  <c r="F19" i="11"/>
  <c r="U18" i="11" a="1"/>
  <c r="U18" i="11" s="1"/>
  <c r="T18" i="11" a="1"/>
  <c r="T18" i="11" s="1"/>
  <c r="S18" i="11" a="1"/>
  <c r="S18" i="11" s="1"/>
  <c r="R18" i="11" a="1"/>
  <c r="R18" i="11" s="1"/>
  <c r="Q18" i="11" a="1"/>
  <c r="Q18" i="11" s="1"/>
  <c r="P18" i="11" a="1"/>
  <c r="P18" i="11" s="1"/>
  <c r="O18" i="11" a="1"/>
  <c r="O18" i="11" s="1"/>
  <c r="N18" i="11" a="1"/>
  <c r="N18" i="11" s="1"/>
  <c r="F18" i="11"/>
  <c r="U17" i="11" a="1"/>
  <c r="U17" i="11" s="1"/>
  <c r="T17" i="11" a="1"/>
  <c r="T17" i="11" s="1"/>
  <c r="S17" i="11" a="1"/>
  <c r="S17" i="11" s="1"/>
  <c r="R17" i="11" a="1"/>
  <c r="R17" i="11" s="1"/>
  <c r="Q17" i="11" a="1"/>
  <c r="Q17" i="11" s="1"/>
  <c r="P17" i="11" a="1"/>
  <c r="P17" i="11" s="1"/>
  <c r="O17" i="11" a="1"/>
  <c r="O17" i="11" s="1"/>
  <c r="N17" i="11" a="1"/>
  <c r="N17" i="11" s="1"/>
  <c r="H17" i="11" a="1"/>
  <c r="H17" i="11" s="1"/>
  <c r="F17" i="11"/>
  <c r="U16" i="11" a="1"/>
  <c r="U16" i="11" s="1"/>
  <c r="T16" i="11" a="1"/>
  <c r="T16" i="11" s="1"/>
  <c r="S16" i="11" a="1"/>
  <c r="S16" i="11" s="1"/>
  <c r="R16" i="11" a="1"/>
  <c r="R16" i="11" s="1"/>
  <c r="Q16" i="11" a="1"/>
  <c r="Q16" i="11" s="1"/>
  <c r="P16" i="11" a="1"/>
  <c r="P16" i="11" s="1"/>
  <c r="O16" i="11" a="1"/>
  <c r="O16" i="11" s="1"/>
  <c r="N16" i="11" a="1"/>
  <c r="N16" i="11" s="1"/>
  <c r="F16" i="11"/>
  <c r="U15" i="11" a="1"/>
  <c r="U15" i="11" s="1"/>
  <c r="T15" i="11" a="1"/>
  <c r="T15" i="11" s="1"/>
  <c r="S15" i="11" a="1"/>
  <c r="S15" i="11" s="1"/>
  <c r="R15" i="11" a="1"/>
  <c r="R15" i="11" s="1"/>
  <c r="Q15" i="11" a="1"/>
  <c r="Q15" i="11" s="1"/>
  <c r="P15" i="11" a="1"/>
  <c r="P15" i="11" s="1"/>
  <c r="O15" i="11" a="1"/>
  <c r="O15" i="11" s="1"/>
  <c r="N15" i="11" a="1"/>
  <c r="N15" i="11" s="1"/>
  <c r="H15" i="11" a="1"/>
  <c r="H15" i="11" s="1"/>
  <c r="F15" i="11"/>
  <c r="O5" i="11" s="1" a="1"/>
  <c r="O5" i="11" s="1"/>
  <c r="U14" i="11" a="1"/>
  <c r="U14" i="11" s="1"/>
  <c r="T14" i="11" a="1"/>
  <c r="T14" i="11" s="1"/>
  <c r="S14" i="11" a="1"/>
  <c r="S14" i="11" s="1"/>
  <c r="R14" i="11" a="1"/>
  <c r="R14" i="11" s="1"/>
  <c r="Q14" i="11" a="1"/>
  <c r="Q14" i="11" s="1"/>
  <c r="P14" i="11" a="1"/>
  <c r="P14" i="11" s="1"/>
  <c r="O14" i="11" a="1"/>
  <c r="O14" i="11" s="1"/>
  <c r="N14" i="11" a="1"/>
  <c r="N14" i="11" s="1"/>
  <c r="F14" i="11"/>
  <c r="U13" i="11" a="1"/>
  <c r="U13" i="11" s="1"/>
  <c r="T13" i="11" a="1"/>
  <c r="T13" i="11" s="1"/>
  <c r="S13" i="11" a="1"/>
  <c r="S13" i="11" s="1"/>
  <c r="R13" i="11" a="1"/>
  <c r="R13" i="11" s="1"/>
  <c r="Q13" i="11" a="1"/>
  <c r="Q13" i="11" s="1"/>
  <c r="P13" i="11" a="1"/>
  <c r="P13" i="11" s="1"/>
  <c r="O13" i="11" a="1"/>
  <c r="O13" i="11" s="1"/>
  <c r="N13" i="11" a="1"/>
  <c r="N13" i="11" s="1"/>
  <c r="H13" i="11" a="1"/>
  <c r="H13" i="11" s="1"/>
  <c r="F13" i="11"/>
  <c r="U12" i="11" a="1"/>
  <c r="U12" i="11" s="1"/>
  <c r="T12" i="11" a="1"/>
  <c r="T12" i="11" s="1"/>
  <c r="S12" i="11" a="1"/>
  <c r="S12" i="11" s="1"/>
  <c r="R12" i="11" a="1"/>
  <c r="R12" i="11" s="1"/>
  <c r="Q12" i="11" a="1"/>
  <c r="Q12" i="11" s="1"/>
  <c r="P12" i="11" a="1"/>
  <c r="P12" i="11" s="1"/>
  <c r="O12" i="11" a="1"/>
  <c r="O12" i="11" s="1"/>
  <c r="N12" i="11" a="1"/>
  <c r="N12" i="11" s="1"/>
  <c r="H12" i="11" a="1"/>
  <c r="H12" i="11" s="1"/>
  <c r="F12" i="11"/>
  <c r="H7" i="11" s="1" a="1"/>
  <c r="H7" i="11" s="1"/>
  <c r="U11" i="11" a="1"/>
  <c r="U11" i="11" s="1"/>
  <c r="T11" i="11" a="1"/>
  <c r="T11" i="11" s="1"/>
  <c r="S11" i="11" a="1"/>
  <c r="S11" i="11" s="1"/>
  <c r="R11" i="11" a="1"/>
  <c r="R11" i="11" s="1"/>
  <c r="Q11" i="11" a="1"/>
  <c r="Q11" i="11" s="1"/>
  <c r="P11" i="11" a="1"/>
  <c r="P11" i="11" s="1"/>
  <c r="O11" i="11" a="1"/>
  <c r="O11" i="11" s="1"/>
  <c r="N11" i="11" a="1"/>
  <c r="N11" i="11" s="1"/>
  <c r="F11" i="11"/>
  <c r="U10" i="11" a="1"/>
  <c r="U10" i="11" s="1"/>
  <c r="T10" i="11" a="1"/>
  <c r="T10" i="11" s="1"/>
  <c r="S10" i="11" a="1"/>
  <c r="S10" i="11" s="1"/>
  <c r="R10" i="11" a="1"/>
  <c r="R10" i="11" s="1"/>
  <c r="Q10" i="11" a="1"/>
  <c r="Q10" i="11" s="1"/>
  <c r="P10" i="11" a="1"/>
  <c r="P10" i="11" s="1"/>
  <c r="O10" i="11" a="1"/>
  <c r="O10" i="11" s="1"/>
  <c r="N10" i="11" a="1"/>
  <c r="N10" i="11" s="1"/>
  <c r="F10" i="11"/>
  <c r="U9" i="11" a="1"/>
  <c r="U9" i="11" s="1"/>
  <c r="T9" i="11" a="1"/>
  <c r="T9" i="11" s="1"/>
  <c r="S9" i="11" a="1"/>
  <c r="S9" i="11" s="1"/>
  <c r="R9" i="11" a="1"/>
  <c r="R9" i="11" s="1"/>
  <c r="Q9" i="11" a="1"/>
  <c r="Q9" i="11" s="1"/>
  <c r="P9" i="11" a="1"/>
  <c r="P9" i="11" s="1"/>
  <c r="O9" i="11" a="1"/>
  <c r="O9" i="11" s="1"/>
  <c r="N9" i="11" a="1"/>
  <c r="N9" i="11" s="1"/>
  <c r="H9" i="11" a="1"/>
  <c r="H9" i="11" s="1"/>
  <c r="F9" i="11"/>
  <c r="H5" i="11" s="1" a="1"/>
  <c r="H5" i="11" s="1"/>
  <c r="U8" i="11" a="1"/>
  <c r="U8" i="11" s="1"/>
  <c r="T8" i="11" a="1"/>
  <c r="T8" i="11" s="1"/>
  <c r="S8" i="11" a="1"/>
  <c r="S8" i="11" s="1"/>
  <c r="R8" i="11" a="1"/>
  <c r="R8" i="11" s="1"/>
  <c r="Q8" i="11" a="1"/>
  <c r="Q8" i="11" s="1"/>
  <c r="P8" i="11" a="1"/>
  <c r="P8" i="11" s="1"/>
  <c r="O8" i="11" a="1"/>
  <c r="O8" i="11" s="1"/>
  <c r="N8" i="11" a="1"/>
  <c r="N8" i="11" s="1"/>
  <c r="H8" i="11" a="1"/>
  <c r="H8" i="11" s="1"/>
  <c r="F8" i="11"/>
  <c r="U7" i="11" a="1"/>
  <c r="U7" i="11" s="1"/>
  <c r="T7" i="11" a="1"/>
  <c r="T7" i="11" s="1"/>
  <c r="S7" i="11" a="1"/>
  <c r="S7" i="11" s="1"/>
  <c r="R7" i="11" a="1"/>
  <c r="R7" i="11" s="1"/>
  <c r="Q7" i="11" a="1"/>
  <c r="Q7" i="11" s="1"/>
  <c r="P7" i="11" a="1"/>
  <c r="P7" i="11" s="1"/>
  <c r="O7" i="11" a="1"/>
  <c r="O7" i="11" s="1"/>
  <c r="N7" i="11" a="1"/>
  <c r="N7" i="11" s="1"/>
  <c r="F7" i="11"/>
  <c r="U6" i="11" a="1"/>
  <c r="U6" i="11" s="1"/>
  <c r="T6" i="11" a="1"/>
  <c r="T6" i="11" s="1"/>
  <c r="S6" i="11" a="1"/>
  <c r="S6" i="11" s="1"/>
  <c r="R6" i="11" a="1"/>
  <c r="R6" i="11" s="1"/>
  <c r="Q6" i="11" a="1"/>
  <c r="Q6" i="11" s="1"/>
  <c r="P6" i="11" a="1"/>
  <c r="P6" i="11" s="1"/>
  <c r="O6" i="11" a="1"/>
  <c r="O6" i="11" s="1"/>
  <c r="F6" i="11"/>
  <c r="H4" i="11" s="1" a="1"/>
  <c r="H4" i="11" s="1"/>
  <c r="U5" i="11" a="1"/>
  <c r="U5" i="11" s="1"/>
  <c r="T5" i="11" a="1"/>
  <c r="T5" i="11" s="1"/>
  <c r="S5" i="11" a="1"/>
  <c r="S5" i="11" s="1"/>
  <c r="R5" i="11" a="1"/>
  <c r="R5" i="11" s="1"/>
  <c r="Q5" i="11" a="1"/>
  <c r="Q5" i="11" s="1"/>
  <c r="P5" i="11" a="1"/>
  <c r="P5" i="11" s="1"/>
  <c r="F5" i="11"/>
  <c r="U4" i="11" a="1"/>
  <c r="U4" i="11" s="1"/>
  <c r="T4" i="11" a="1"/>
  <c r="T4" i="11" s="1"/>
  <c r="S4" i="11" a="1"/>
  <c r="S4" i="11" s="1"/>
  <c r="R4" i="11" a="1"/>
  <c r="R4" i="11" s="1"/>
  <c r="Q4" i="11" a="1"/>
  <c r="Q4" i="11" s="1"/>
  <c r="F4" i="11"/>
  <c r="F3" i="11"/>
  <c r="H3" i="11" s="1" a="1"/>
  <c r="H3" i="11" s="1"/>
  <c r="F2" i="11"/>
  <c r="R28" i="9"/>
  <c r="Q28" i="9"/>
  <c r="P28" i="9"/>
  <c r="O28" i="9"/>
  <c r="F41" i="9"/>
  <c r="F42" i="9"/>
  <c r="F43" i="9"/>
  <c r="F44" i="9"/>
  <c r="F45" i="9"/>
  <c r="F46" i="9"/>
  <c r="F40" i="9"/>
  <c r="F39" i="9"/>
  <c r="F5" i="9"/>
  <c r="F6" i="9"/>
  <c r="F7" i="9"/>
  <c r="F8" i="9"/>
  <c r="F9" i="9"/>
  <c r="F10" i="9"/>
  <c r="F4" i="9"/>
  <c r="F3" i="9"/>
  <c r="F2" i="9"/>
  <c r="H81" i="9" a="1"/>
  <c r="H81" i="9" s="1"/>
  <c r="H80" i="9" a="1"/>
  <c r="H80" i="9" s="1"/>
  <c r="H79" i="9" a="1"/>
  <c r="H79" i="9" s="1"/>
  <c r="H77" i="9" a="1"/>
  <c r="H77" i="9" s="1"/>
  <c r="H76" i="9" a="1"/>
  <c r="H76" i="9" s="1"/>
  <c r="H75" i="9" a="1"/>
  <c r="H75" i="9" s="1"/>
  <c r="H73" i="9" a="1"/>
  <c r="H73" i="9" s="1"/>
  <c r="H72" i="9" a="1"/>
  <c r="H72" i="9" s="1"/>
  <c r="H71" i="9" a="1"/>
  <c r="H71" i="9" s="1"/>
  <c r="H69" i="9" a="1"/>
  <c r="H69" i="9" s="1"/>
  <c r="H68" i="9" a="1"/>
  <c r="H68" i="9" s="1"/>
  <c r="H67" i="9" a="1"/>
  <c r="H67" i="9" s="1"/>
  <c r="H65" i="9" a="1"/>
  <c r="H65" i="9" s="1"/>
  <c r="H64" i="9" a="1"/>
  <c r="H64" i="9" s="1"/>
  <c r="H63" i="9" a="1"/>
  <c r="H63" i="9" s="1"/>
  <c r="H61" i="9" a="1"/>
  <c r="H61" i="9" s="1"/>
  <c r="H60" i="9" a="1"/>
  <c r="H60" i="9" s="1"/>
  <c r="H59" i="9" a="1"/>
  <c r="H59" i="9" s="1"/>
  <c r="H57" i="9" a="1"/>
  <c r="H57" i="9" s="1"/>
  <c r="H56" i="9" a="1"/>
  <c r="H56" i="9" s="1"/>
  <c r="H55" i="9" a="1"/>
  <c r="H55" i="9" s="1"/>
  <c r="H53" i="9" a="1"/>
  <c r="H53" i="9" s="1"/>
  <c r="H52" i="9" a="1"/>
  <c r="H52" i="9" s="1"/>
  <c r="H51" i="9" a="1"/>
  <c r="H51" i="9" s="1"/>
  <c r="H49" i="9" a="1"/>
  <c r="H49" i="9" s="1"/>
  <c r="H48" i="9" a="1"/>
  <c r="H48" i="9" s="1"/>
  <c r="H47" i="9" a="1"/>
  <c r="H47" i="9" s="1"/>
  <c r="H45" i="9" a="1"/>
  <c r="H45" i="9" s="1"/>
  <c r="H44" i="9" a="1"/>
  <c r="H44" i="9" s="1"/>
  <c r="H43" i="9" a="1"/>
  <c r="H43" i="9" s="1"/>
  <c r="H41" i="9" a="1"/>
  <c r="H41" i="9" s="1"/>
  <c r="H40" i="9" a="1"/>
  <c r="H40" i="9" s="1"/>
  <c r="H39" i="9" a="1"/>
  <c r="H39" i="9" s="1"/>
  <c r="F38" i="9"/>
  <c r="H37" i="9" a="1"/>
  <c r="H37" i="9" s="1"/>
  <c r="F37" i="9"/>
  <c r="H36" i="9" a="1"/>
  <c r="H36" i="9" s="1"/>
  <c r="F36" i="9"/>
  <c r="H35" i="9" a="1"/>
  <c r="H35" i="9" s="1"/>
  <c r="F35" i="9"/>
  <c r="F34" i="9"/>
  <c r="H33" i="9" a="1"/>
  <c r="H33" i="9" s="1"/>
  <c r="F33" i="9"/>
  <c r="H32" i="9" a="1"/>
  <c r="H32" i="9" s="1"/>
  <c r="F32" i="9"/>
  <c r="H31" i="9" a="1"/>
  <c r="H31" i="9" s="1"/>
  <c r="F31" i="9"/>
  <c r="F30" i="9"/>
  <c r="H29" i="9" a="1"/>
  <c r="H29" i="9" s="1"/>
  <c r="F29" i="9"/>
  <c r="H28" i="9" a="1"/>
  <c r="H28" i="9" s="1"/>
  <c r="F28" i="9"/>
  <c r="H27" i="9" a="1"/>
  <c r="H27" i="9" s="1"/>
  <c r="F27" i="9"/>
  <c r="F26" i="9"/>
  <c r="H25" i="9" a="1"/>
  <c r="H25" i="9" s="1"/>
  <c r="F25" i="9"/>
  <c r="H24" i="9" a="1"/>
  <c r="H24" i="9" s="1"/>
  <c r="F24" i="9"/>
  <c r="H23" i="9" a="1"/>
  <c r="H23" i="9" s="1"/>
  <c r="F23" i="9"/>
  <c r="F22" i="9"/>
  <c r="U21" i="9" a="1"/>
  <c r="U21" i="9" s="1"/>
  <c r="T21" i="9" a="1"/>
  <c r="T21" i="9" s="1"/>
  <c r="S21" i="9" a="1"/>
  <c r="S21" i="9" s="1"/>
  <c r="R21" i="9" a="1"/>
  <c r="R21" i="9" s="1"/>
  <c r="Q21" i="9" a="1"/>
  <c r="Q21" i="9" s="1"/>
  <c r="P21" i="9" a="1"/>
  <c r="P21" i="9" s="1"/>
  <c r="O21" i="9" a="1"/>
  <c r="O21" i="9" s="1"/>
  <c r="N21" i="9" a="1"/>
  <c r="N21" i="9" s="1"/>
  <c r="H21" i="9" a="1"/>
  <c r="H21" i="9" s="1"/>
  <c r="F21" i="9"/>
  <c r="U20" i="9" a="1"/>
  <c r="U20" i="9" s="1"/>
  <c r="T20" i="9" a="1"/>
  <c r="T20" i="9" s="1"/>
  <c r="S20" i="9" a="1"/>
  <c r="S20" i="9" s="1"/>
  <c r="R20" i="9" a="1"/>
  <c r="R20" i="9" s="1"/>
  <c r="Q20" i="9" a="1"/>
  <c r="Q20" i="9" s="1"/>
  <c r="P20" i="9" a="1"/>
  <c r="P20" i="9" s="1"/>
  <c r="O20" i="9" a="1"/>
  <c r="O20" i="9" s="1"/>
  <c r="N20" i="9" a="1"/>
  <c r="N20" i="9" s="1"/>
  <c r="H20" i="9" a="1"/>
  <c r="H20" i="9" s="1"/>
  <c r="F20" i="9"/>
  <c r="U19" i="9" a="1"/>
  <c r="U19" i="9" s="1"/>
  <c r="T19" i="9" a="1"/>
  <c r="T19" i="9" s="1"/>
  <c r="S19" i="9" a="1"/>
  <c r="S19" i="9" s="1"/>
  <c r="R19" i="9" a="1"/>
  <c r="R19" i="9" s="1"/>
  <c r="Q19" i="9" a="1"/>
  <c r="Q19" i="9" s="1"/>
  <c r="P19" i="9" a="1"/>
  <c r="P19" i="9" s="1"/>
  <c r="O19" i="9" a="1"/>
  <c r="O19" i="9" s="1"/>
  <c r="N19" i="9" a="1"/>
  <c r="N19" i="9" s="1"/>
  <c r="H19" i="9" a="1"/>
  <c r="H19" i="9" s="1"/>
  <c r="F19" i="9"/>
  <c r="U18" i="9" a="1"/>
  <c r="U18" i="9" s="1"/>
  <c r="T18" i="9" a="1"/>
  <c r="T18" i="9" s="1"/>
  <c r="S18" i="9" a="1"/>
  <c r="S18" i="9" s="1"/>
  <c r="R18" i="9" a="1"/>
  <c r="R18" i="9" s="1"/>
  <c r="Q18" i="9" a="1"/>
  <c r="Q18" i="9" s="1"/>
  <c r="P18" i="9" a="1"/>
  <c r="P18" i="9" s="1"/>
  <c r="O18" i="9" a="1"/>
  <c r="O18" i="9" s="1"/>
  <c r="N18" i="9" a="1"/>
  <c r="N18" i="9" s="1"/>
  <c r="F18" i="9"/>
  <c r="U17" i="9" a="1"/>
  <c r="U17" i="9" s="1"/>
  <c r="T17" i="9" a="1"/>
  <c r="T17" i="9" s="1"/>
  <c r="S17" i="9" a="1"/>
  <c r="S17" i="9" s="1"/>
  <c r="R17" i="9" a="1"/>
  <c r="R17" i="9" s="1"/>
  <c r="Q17" i="9" a="1"/>
  <c r="Q17" i="9" s="1"/>
  <c r="P17" i="9" a="1"/>
  <c r="P17" i="9" s="1"/>
  <c r="O17" i="9" a="1"/>
  <c r="O17" i="9" s="1"/>
  <c r="N17" i="9" a="1"/>
  <c r="N17" i="9" s="1"/>
  <c r="H17" i="9" a="1"/>
  <c r="H17" i="9" s="1"/>
  <c r="F17" i="9"/>
  <c r="U16" i="9" a="1"/>
  <c r="U16" i="9" s="1"/>
  <c r="T16" i="9" a="1"/>
  <c r="T16" i="9" s="1"/>
  <c r="S16" i="9" a="1"/>
  <c r="S16" i="9" s="1"/>
  <c r="R16" i="9" a="1"/>
  <c r="R16" i="9" s="1"/>
  <c r="Q16" i="9" a="1"/>
  <c r="Q16" i="9" s="1"/>
  <c r="P16" i="9" a="1"/>
  <c r="P16" i="9" s="1"/>
  <c r="O16" i="9" a="1"/>
  <c r="O16" i="9" s="1"/>
  <c r="N16" i="9" a="1"/>
  <c r="N16" i="9" s="1"/>
  <c r="H16" i="9" a="1"/>
  <c r="H16" i="9" s="1"/>
  <c r="F16" i="9"/>
  <c r="U15" i="9" a="1"/>
  <c r="U15" i="9" s="1"/>
  <c r="T15" i="9" a="1"/>
  <c r="T15" i="9" s="1"/>
  <c r="S15" i="9" a="1"/>
  <c r="S15" i="9" s="1"/>
  <c r="R15" i="9" a="1"/>
  <c r="R15" i="9" s="1"/>
  <c r="Q15" i="9" a="1"/>
  <c r="Q15" i="9" s="1"/>
  <c r="P15" i="9" a="1"/>
  <c r="P15" i="9" s="1"/>
  <c r="O15" i="9" a="1"/>
  <c r="O15" i="9" s="1"/>
  <c r="N15" i="9" a="1"/>
  <c r="N15" i="9" s="1"/>
  <c r="H15" i="9" a="1"/>
  <c r="H15" i="9" s="1"/>
  <c r="F15" i="9"/>
  <c r="U14" i="9" a="1"/>
  <c r="U14" i="9" s="1"/>
  <c r="T14" i="9" a="1"/>
  <c r="T14" i="9" s="1"/>
  <c r="S14" i="9" a="1"/>
  <c r="S14" i="9" s="1"/>
  <c r="R14" i="9" a="1"/>
  <c r="R14" i="9" s="1"/>
  <c r="Q14" i="9" a="1"/>
  <c r="Q14" i="9" s="1"/>
  <c r="P14" i="9" a="1"/>
  <c r="P14" i="9" s="1"/>
  <c r="O14" i="9" a="1"/>
  <c r="O14" i="9" s="1"/>
  <c r="N14" i="9" a="1"/>
  <c r="N14" i="9" s="1"/>
  <c r="F14" i="9"/>
  <c r="U13" i="9" a="1"/>
  <c r="U13" i="9" s="1"/>
  <c r="T13" i="9" a="1"/>
  <c r="T13" i="9" s="1"/>
  <c r="S13" i="9" a="1"/>
  <c r="S13" i="9" s="1"/>
  <c r="R13" i="9" a="1"/>
  <c r="R13" i="9" s="1"/>
  <c r="Q13" i="9" a="1"/>
  <c r="Q13" i="9" s="1"/>
  <c r="P13" i="9" a="1"/>
  <c r="P13" i="9" s="1"/>
  <c r="O13" i="9" a="1"/>
  <c r="O13" i="9" s="1"/>
  <c r="N13" i="9" a="1"/>
  <c r="N13" i="9" s="1"/>
  <c r="H13" i="9" a="1"/>
  <c r="H13" i="9" s="1"/>
  <c r="F13" i="9"/>
  <c r="U12" i="9" a="1"/>
  <c r="U12" i="9" s="1"/>
  <c r="T12" i="9" a="1"/>
  <c r="T12" i="9" s="1"/>
  <c r="S12" i="9" a="1"/>
  <c r="S12" i="9" s="1"/>
  <c r="R12" i="9" a="1"/>
  <c r="R12" i="9" s="1"/>
  <c r="Q12" i="9" a="1"/>
  <c r="Q12" i="9" s="1"/>
  <c r="P12" i="9" a="1"/>
  <c r="P12" i="9" s="1"/>
  <c r="O12" i="9" a="1"/>
  <c r="O12" i="9" s="1"/>
  <c r="N12" i="9" a="1"/>
  <c r="N12" i="9" s="1"/>
  <c r="H12" i="9" a="1"/>
  <c r="H12" i="9" s="1"/>
  <c r="F12" i="9"/>
  <c r="U11" i="9" a="1"/>
  <c r="U11" i="9" s="1"/>
  <c r="T11" i="9" a="1"/>
  <c r="T11" i="9" s="1"/>
  <c r="S11" i="9" a="1"/>
  <c r="S11" i="9" s="1"/>
  <c r="R11" i="9" a="1"/>
  <c r="R11" i="9" s="1"/>
  <c r="Q11" i="9" a="1"/>
  <c r="Q11" i="9" s="1"/>
  <c r="P11" i="9" a="1"/>
  <c r="P11" i="9" s="1"/>
  <c r="O11" i="9" a="1"/>
  <c r="O11" i="9" s="1"/>
  <c r="N11" i="9" a="1"/>
  <c r="N11" i="9" s="1"/>
  <c r="H11" i="9" a="1"/>
  <c r="H11" i="9" s="1"/>
  <c r="F11" i="9"/>
  <c r="U10" i="9" a="1"/>
  <c r="U10" i="9" s="1"/>
  <c r="T10" i="9" a="1"/>
  <c r="T10" i="9" s="1"/>
  <c r="S10" i="9" a="1"/>
  <c r="S10" i="9" s="1"/>
  <c r="R10" i="9" a="1"/>
  <c r="R10" i="9" s="1"/>
  <c r="Q10" i="9" a="1"/>
  <c r="Q10" i="9" s="1"/>
  <c r="P10" i="9" a="1"/>
  <c r="P10" i="9" s="1"/>
  <c r="O10" i="9" a="1"/>
  <c r="O10" i="9" s="1"/>
  <c r="N10" i="9" a="1"/>
  <c r="N10" i="9" s="1"/>
  <c r="U9" i="9" a="1"/>
  <c r="U9" i="9" s="1"/>
  <c r="T9" i="9" a="1"/>
  <c r="T9" i="9" s="1"/>
  <c r="S9" i="9" a="1"/>
  <c r="S9" i="9" s="1"/>
  <c r="R9" i="9" a="1"/>
  <c r="R9" i="9" s="1"/>
  <c r="Q9" i="9" a="1"/>
  <c r="Q9" i="9" s="1"/>
  <c r="P9" i="9" a="1"/>
  <c r="P9" i="9" s="1"/>
  <c r="O9" i="9" a="1"/>
  <c r="O9" i="9" s="1"/>
  <c r="N9" i="9" a="1"/>
  <c r="N9" i="9" s="1"/>
  <c r="H9" i="9" a="1"/>
  <c r="H9" i="9" s="1"/>
  <c r="U8" i="9" a="1"/>
  <c r="U8" i="9" s="1"/>
  <c r="T8" i="9" a="1"/>
  <c r="T8" i="9" s="1"/>
  <c r="S8" i="9" a="1"/>
  <c r="S8" i="9" s="1"/>
  <c r="R8" i="9" a="1"/>
  <c r="R8" i="9" s="1"/>
  <c r="Q8" i="9" a="1"/>
  <c r="Q8" i="9" s="1"/>
  <c r="P8" i="9" a="1"/>
  <c r="P8" i="9" s="1"/>
  <c r="O8" i="9" a="1"/>
  <c r="O8" i="9" s="1"/>
  <c r="N8" i="9" a="1"/>
  <c r="N8" i="9" s="1"/>
  <c r="H8" i="9" a="1"/>
  <c r="H8" i="9" s="1"/>
  <c r="U7" i="9" a="1"/>
  <c r="U7" i="9" s="1"/>
  <c r="T7" i="9" a="1"/>
  <c r="T7" i="9" s="1"/>
  <c r="S7" i="9" a="1"/>
  <c r="S7" i="9" s="1"/>
  <c r="R7" i="9" a="1"/>
  <c r="R7" i="9" s="1"/>
  <c r="Q7" i="9" a="1"/>
  <c r="Q7" i="9" s="1"/>
  <c r="P7" i="9" a="1"/>
  <c r="P7" i="9" s="1"/>
  <c r="O7" i="9" a="1"/>
  <c r="O7" i="9" s="1"/>
  <c r="N7" i="9" a="1"/>
  <c r="N7" i="9" s="1"/>
  <c r="H7" i="9" a="1"/>
  <c r="H7" i="9" s="1"/>
  <c r="U6" i="9" a="1"/>
  <c r="U6" i="9" s="1"/>
  <c r="T6" i="9" a="1"/>
  <c r="T6" i="9" s="1"/>
  <c r="S6" i="9" a="1"/>
  <c r="S6" i="9" s="1"/>
  <c r="R6" i="9" a="1"/>
  <c r="R6" i="9" s="1"/>
  <c r="Q6" i="9" a="1"/>
  <c r="Q6" i="9" s="1"/>
  <c r="P6" i="9" a="1"/>
  <c r="P6" i="9" s="1"/>
  <c r="O6" i="9" a="1"/>
  <c r="O6" i="9" s="1"/>
  <c r="N6" i="9" a="1"/>
  <c r="N6" i="9" s="1"/>
  <c r="H4" i="9" a="1"/>
  <c r="H4" i="9" s="1"/>
  <c r="U5" i="9" a="1"/>
  <c r="U5" i="9" s="1"/>
  <c r="T5" i="9" a="1"/>
  <c r="T5" i="9" s="1"/>
  <c r="S5" i="9" a="1"/>
  <c r="S5" i="9" s="1"/>
  <c r="R5" i="9" a="1"/>
  <c r="R5" i="9" s="1"/>
  <c r="Q5" i="9" a="1"/>
  <c r="Q5" i="9" s="1"/>
  <c r="P5" i="9" a="1"/>
  <c r="P5" i="9" s="1"/>
  <c r="O5" i="9" a="1"/>
  <c r="O5" i="9" s="1"/>
  <c r="N5" i="9" a="1"/>
  <c r="N5" i="9" s="1"/>
  <c r="H5" i="9" a="1"/>
  <c r="H5" i="9" s="1"/>
  <c r="U4" i="9" a="1"/>
  <c r="U4" i="9" s="1"/>
  <c r="T4" i="9" a="1"/>
  <c r="T4" i="9" s="1"/>
  <c r="S4" i="9" a="1"/>
  <c r="S4" i="9" s="1"/>
  <c r="R4" i="9" a="1"/>
  <c r="R4" i="9" s="1"/>
  <c r="Q4" i="9" a="1"/>
  <c r="Q4" i="9" s="1"/>
  <c r="P4" i="9" a="1"/>
  <c r="P4" i="9" s="1"/>
  <c r="O4" i="9" a="1"/>
  <c r="O4" i="9" s="1"/>
  <c r="N4" i="9" a="1"/>
  <c r="N4" i="9" s="1"/>
  <c r="H3" i="9" a="1"/>
  <c r="H3" i="9" s="1"/>
  <c r="P28" i="8"/>
  <c r="Q28" i="8"/>
  <c r="R28" i="8"/>
  <c r="O28" i="8"/>
  <c r="S28" i="16" l="1"/>
  <c r="U28" i="16"/>
  <c r="O28" i="16"/>
  <c r="P28" i="16"/>
  <c r="Q28" i="16"/>
  <c r="R28" i="16"/>
  <c r="K4" i="16" a="1"/>
  <c r="K4" i="16" s="1"/>
  <c r="K26" i="16" a="1"/>
  <c r="K26" i="16" s="1"/>
  <c r="K18" i="16" a="1"/>
  <c r="K18" i="16" s="1"/>
  <c r="K10" i="16" a="1"/>
  <c r="K10" i="16" s="1"/>
  <c r="K2" i="16" a="1"/>
  <c r="K2" i="16" s="1"/>
  <c r="K5" i="16" a="1"/>
  <c r="K5" i="16" s="1"/>
  <c r="K3" i="16" a="1"/>
  <c r="K3" i="16" s="1"/>
  <c r="K27" i="16" a="1"/>
  <c r="K27" i="16" s="1"/>
  <c r="K21" i="16" a="1"/>
  <c r="K21" i="16" s="1"/>
  <c r="K19" i="16" a="1"/>
  <c r="K19" i="16" s="1"/>
  <c r="K13" i="16" a="1"/>
  <c r="K13" i="16" s="1"/>
  <c r="K11" i="16" a="1"/>
  <c r="K11" i="16" s="1"/>
  <c r="K20" i="16" a="1"/>
  <c r="K20" i="16" s="1"/>
  <c r="K12" i="16" a="1"/>
  <c r="K12" i="16" s="1"/>
  <c r="K8" i="16" a="1"/>
  <c r="K8" i="16" s="1"/>
  <c r="K22" i="16" a="1"/>
  <c r="K22" i="16" s="1"/>
  <c r="K14" i="16" a="1"/>
  <c r="K14" i="16" s="1"/>
  <c r="K6" i="16" a="1"/>
  <c r="K6" i="16" s="1"/>
  <c r="K24" i="16" a="1"/>
  <c r="K24" i="16" s="1"/>
  <c r="K25" i="16" a="1"/>
  <c r="K25" i="16" s="1"/>
  <c r="K23" i="16" a="1"/>
  <c r="K23" i="16" s="1"/>
  <c r="K17" i="16" a="1"/>
  <c r="K17" i="16" s="1"/>
  <c r="K15" i="16" a="1"/>
  <c r="K15" i="16" s="1"/>
  <c r="K9" i="16" a="1"/>
  <c r="K9" i="16" s="1"/>
  <c r="K7" i="16" a="1"/>
  <c r="K7" i="16" s="1"/>
  <c r="K16" i="16" a="1"/>
  <c r="K16" i="16" s="1"/>
  <c r="L27" i="16" a="1"/>
  <c r="L27" i="16" s="1"/>
  <c r="L21" i="16" a="1"/>
  <c r="L21" i="16" s="1"/>
  <c r="L19" i="16" a="1"/>
  <c r="L19" i="16" s="1"/>
  <c r="L13" i="16" a="1"/>
  <c r="L13" i="16" s="1"/>
  <c r="L11" i="16" a="1"/>
  <c r="L11" i="16" s="1"/>
  <c r="L5" i="16" a="1"/>
  <c r="L5" i="16" s="1"/>
  <c r="L3" i="16" a="1"/>
  <c r="L3" i="16" s="1"/>
  <c r="L2" i="16" a="1"/>
  <c r="L2" i="16" s="1"/>
  <c r="L32" i="16" a="1"/>
  <c r="L32" i="16" s="1"/>
  <c r="L20" i="16" a="1"/>
  <c r="L20" i="16" s="1"/>
  <c r="L12" i="16" a="1"/>
  <c r="L12" i="16" s="1"/>
  <c r="L4" i="16" a="1"/>
  <c r="L4" i="16" s="1"/>
  <c r="L35" i="16" a="1"/>
  <c r="L35" i="16" s="1"/>
  <c r="L33" i="16" a="1"/>
  <c r="L33" i="16" s="1"/>
  <c r="L30" i="16" a="1"/>
  <c r="L30" i="16" s="1"/>
  <c r="L28" i="16" a="1"/>
  <c r="L28" i="16" s="1"/>
  <c r="L22" i="16" a="1"/>
  <c r="L22" i="16" s="1"/>
  <c r="L14" i="16" a="1"/>
  <c r="L14" i="16" s="1"/>
  <c r="L6" i="16" a="1"/>
  <c r="L6" i="16" s="1"/>
  <c r="L10" i="16" a="1"/>
  <c r="L10" i="16" s="1"/>
  <c r="L25" i="16" a="1"/>
  <c r="L25" i="16" s="1"/>
  <c r="L23" i="16" a="1"/>
  <c r="L23" i="16" s="1"/>
  <c r="L17" i="16" a="1"/>
  <c r="L17" i="16" s="1"/>
  <c r="L15" i="16" a="1"/>
  <c r="L15" i="16" s="1"/>
  <c r="L9" i="16" a="1"/>
  <c r="L9" i="16" s="1"/>
  <c r="L7" i="16" a="1"/>
  <c r="L7" i="16" s="1"/>
  <c r="L26" i="16" a="1"/>
  <c r="L26" i="16" s="1"/>
  <c r="L24" i="16" a="1"/>
  <c r="L24" i="16" s="1"/>
  <c r="L16" i="16" a="1"/>
  <c r="L16" i="16" s="1"/>
  <c r="L8" i="16" a="1"/>
  <c r="L8" i="16" s="1"/>
  <c r="L34" i="16" a="1"/>
  <c r="L34" i="16" s="1"/>
  <c r="L31" i="16" a="1"/>
  <c r="L31" i="16" s="1"/>
  <c r="L29" i="16" a="1"/>
  <c r="L29" i="16" s="1"/>
  <c r="L18" i="16" a="1"/>
  <c r="L18" i="16" s="1"/>
  <c r="J5" i="14"/>
  <c r="S28" i="14"/>
  <c r="J9" i="14"/>
  <c r="L12" i="14" s="1" a="1"/>
  <c r="L12" i="14" s="1"/>
  <c r="I17" i="14"/>
  <c r="U28" i="14"/>
  <c r="I5" i="14"/>
  <c r="I13" i="14"/>
  <c r="Q23" i="14"/>
  <c r="Q28" i="14" s="1"/>
  <c r="N23" i="14"/>
  <c r="P28" i="14"/>
  <c r="R28" i="14"/>
  <c r="P4" i="11" a="1"/>
  <c r="P4" i="11" s="1"/>
  <c r="P25" i="11" s="1"/>
  <c r="O4" i="11" a="1"/>
  <c r="O4" i="11" s="1"/>
  <c r="O25" i="11" s="1"/>
  <c r="N5" i="11" a="1"/>
  <c r="N5" i="11" s="1"/>
  <c r="J41" i="11"/>
  <c r="N6" i="11" a="1"/>
  <c r="N6" i="11" s="1"/>
  <c r="J5" i="11"/>
  <c r="I5" i="11"/>
  <c r="R25" i="11"/>
  <c r="J53" i="11"/>
  <c r="I53" i="11"/>
  <c r="S25" i="11"/>
  <c r="S23" i="11"/>
  <c r="J65" i="11"/>
  <c r="I65" i="11"/>
  <c r="J21" i="11"/>
  <c r="I21" i="11"/>
  <c r="I25" i="11"/>
  <c r="J25" i="11"/>
  <c r="I29" i="11"/>
  <c r="J29" i="11"/>
  <c r="I9" i="11"/>
  <c r="J9" i="11"/>
  <c r="I17" i="11"/>
  <c r="J17" i="11"/>
  <c r="J33" i="11"/>
  <c r="I33" i="11"/>
  <c r="J37" i="11"/>
  <c r="I37" i="11"/>
  <c r="J73" i="11"/>
  <c r="I73" i="11"/>
  <c r="J13" i="11"/>
  <c r="I13" i="11"/>
  <c r="J77" i="11"/>
  <c r="I77" i="11"/>
  <c r="J81" i="11"/>
  <c r="I81" i="11"/>
  <c r="J45" i="11"/>
  <c r="I45" i="11"/>
  <c r="J61" i="11"/>
  <c r="I61" i="11"/>
  <c r="T25" i="11"/>
  <c r="J57" i="11"/>
  <c r="I57" i="11"/>
  <c r="U25" i="11"/>
  <c r="U23" i="11"/>
  <c r="J69" i="11"/>
  <c r="I69" i="11"/>
  <c r="J49" i="11"/>
  <c r="I49" i="11"/>
  <c r="Q25" i="11"/>
  <c r="Q23" i="11"/>
  <c r="N4" i="11" a="1"/>
  <c r="N4" i="11" s="1"/>
  <c r="R23" i="11"/>
  <c r="I41" i="11"/>
  <c r="T23" i="11"/>
  <c r="J21" i="9"/>
  <c r="J41" i="9"/>
  <c r="J37" i="9"/>
  <c r="I25" i="9"/>
  <c r="J5" i="9"/>
  <c r="I5" i="9"/>
  <c r="R25" i="9"/>
  <c r="J53" i="9"/>
  <c r="I53" i="9"/>
  <c r="J65" i="9"/>
  <c r="I65" i="9"/>
  <c r="T25" i="9"/>
  <c r="T23" i="9"/>
  <c r="J77" i="9"/>
  <c r="I77" i="9"/>
  <c r="N25" i="9"/>
  <c r="U25" i="9"/>
  <c r="U23" i="9"/>
  <c r="J13" i="9"/>
  <c r="J57" i="9"/>
  <c r="I57" i="9"/>
  <c r="O25" i="9"/>
  <c r="O23" i="9"/>
  <c r="I29" i="9"/>
  <c r="J33" i="9"/>
  <c r="J69" i="9"/>
  <c r="I69" i="9"/>
  <c r="S25" i="9"/>
  <c r="S23" i="9"/>
  <c r="P25" i="9"/>
  <c r="P23" i="9"/>
  <c r="J49" i="9"/>
  <c r="I49" i="9"/>
  <c r="J81" i="9"/>
  <c r="I81" i="9"/>
  <c r="Q25" i="9"/>
  <c r="Q23" i="9"/>
  <c r="J9" i="9"/>
  <c r="I9" i="9"/>
  <c r="I17" i="9"/>
  <c r="J17" i="9"/>
  <c r="J45" i="9"/>
  <c r="I45" i="9"/>
  <c r="J61" i="9"/>
  <c r="I61" i="9"/>
  <c r="J73" i="9"/>
  <c r="I73" i="9"/>
  <c r="J25" i="9"/>
  <c r="J29" i="9"/>
  <c r="R23" i="9"/>
  <c r="I41" i="9"/>
  <c r="I13" i="9"/>
  <c r="I21" i="9"/>
  <c r="I33" i="9"/>
  <c r="N23" i="9"/>
  <c r="I37" i="9"/>
  <c r="F5" i="8"/>
  <c r="F6" i="8"/>
  <c r="F7" i="8"/>
  <c r="F8" i="8"/>
  <c r="F9" i="8"/>
  <c r="F10" i="8"/>
  <c r="F4" i="8"/>
  <c r="F3" i="8"/>
  <c r="F2" i="8"/>
  <c r="H81" i="8" a="1"/>
  <c r="H81" i="8" s="1"/>
  <c r="H80" i="8" a="1"/>
  <c r="H80" i="8" s="1"/>
  <c r="H79" i="8" a="1"/>
  <c r="H79" i="8" s="1"/>
  <c r="H77" i="8" a="1"/>
  <c r="H77" i="8" s="1"/>
  <c r="H76" i="8" a="1"/>
  <c r="H76" i="8" s="1"/>
  <c r="H75" i="8" a="1"/>
  <c r="H75" i="8" s="1"/>
  <c r="H73" i="8" a="1"/>
  <c r="H73" i="8" s="1"/>
  <c r="H72" i="8" a="1"/>
  <c r="H72" i="8" s="1"/>
  <c r="H71" i="8" a="1"/>
  <c r="H71" i="8" s="1"/>
  <c r="H69" i="8" a="1"/>
  <c r="H69" i="8" s="1"/>
  <c r="H68" i="8" a="1"/>
  <c r="H68" i="8" s="1"/>
  <c r="H67" i="8" a="1"/>
  <c r="H67" i="8" s="1"/>
  <c r="H65" i="8" a="1"/>
  <c r="H65" i="8" s="1"/>
  <c r="H64" i="8" a="1"/>
  <c r="H64" i="8" s="1"/>
  <c r="H63" i="8" a="1"/>
  <c r="H63" i="8" s="1"/>
  <c r="H61" i="8" a="1"/>
  <c r="H61" i="8" s="1"/>
  <c r="H60" i="8" a="1"/>
  <c r="H60" i="8" s="1"/>
  <c r="H59" i="8" a="1"/>
  <c r="H59" i="8" s="1"/>
  <c r="H57" i="8" a="1"/>
  <c r="H57" i="8" s="1"/>
  <c r="H56" i="8" a="1"/>
  <c r="H56" i="8" s="1"/>
  <c r="H55" i="8" a="1"/>
  <c r="H55" i="8" s="1"/>
  <c r="H53" i="8" a="1"/>
  <c r="H53" i="8" s="1"/>
  <c r="H52" i="8" a="1"/>
  <c r="H52" i="8" s="1"/>
  <c r="H51" i="8" a="1"/>
  <c r="H51" i="8" s="1"/>
  <c r="H49" i="8" a="1"/>
  <c r="H49" i="8" s="1"/>
  <c r="H48" i="8" a="1"/>
  <c r="H48" i="8" s="1"/>
  <c r="H47" i="8" a="1"/>
  <c r="H47" i="8" s="1"/>
  <c r="F46" i="8"/>
  <c r="H45" i="8" a="1"/>
  <c r="H45" i="8" s="1"/>
  <c r="F45" i="8"/>
  <c r="H44" i="8" a="1"/>
  <c r="H44" i="8" s="1"/>
  <c r="F44" i="8"/>
  <c r="H43" i="8" a="1"/>
  <c r="H43" i="8" s="1"/>
  <c r="F43" i="8"/>
  <c r="F42" i="8"/>
  <c r="H41" i="8" a="1"/>
  <c r="H41" i="8" s="1"/>
  <c r="F41" i="8"/>
  <c r="H40" i="8" a="1"/>
  <c r="H40" i="8" s="1"/>
  <c r="F40" i="8"/>
  <c r="H39" i="8" a="1"/>
  <c r="H39" i="8" s="1"/>
  <c r="F39" i="8"/>
  <c r="R4" i="8" s="1" a="1"/>
  <c r="R4" i="8" s="1"/>
  <c r="F38" i="8"/>
  <c r="H37" i="8" a="1"/>
  <c r="H37" i="8" s="1"/>
  <c r="F37" i="8"/>
  <c r="H36" i="8" a="1"/>
  <c r="H36" i="8" s="1"/>
  <c r="F36" i="8"/>
  <c r="H35" i="8" a="1"/>
  <c r="H35" i="8" s="1"/>
  <c r="F35" i="8"/>
  <c r="F34" i="8"/>
  <c r="H33" i="8" a="1"/>
  <c r="H33" i="8" s="1"/>
  <c r="F33" i="8"/>
  <c r="H32" i="8" a="1"/>
  <c r="H32" i="8" s="1"/>
  <c r="F32" i="8"/>
  <c r="H31" i="8" a="1"/>
  <c r="H31" i="8" s="1"/>
  <c r="F31" i="8"/>
  <c r="F30" i="8"/>
  <c r="H29" i="8" a="1"/>
  <c r="H29" i="8" s="1"/>
  <c r="F29" i="8"/>
  <c r="H28" i="8" a="1"/>
  <c r="H28" i="8" s="1"/>
  <c r="F28" i="8"/>
  <c r="H27" i="8" a="1"/>
  <c r="H27" i="8" s="1"/>
  <c r="F27" i="8"/>
  <c r="F26" i="8"/>
  <c r="H25" i="8" a="1"/>
  <c r="H25" i="8" s="1"/>
  <c r="F25" i="8"/>
  <c r="H24" i="8" a="1"/>
  <c r="H24" i="8" s="1"/>
  <c r="F24" i="8"/>
  <c r="H23" i="8" a="1"/>
  <c r="H23" i="8" s="1"/>
  <c r="F23" i="8"/>
  <c r="F22" i="8"/>
  <c r="U21" i="8" a="1"/>
  <c r="U21" i="8" s="1"/>
  <c r="T21" i="8" a="1"/>
  <c r="T21" i="8" s="1"/>
  <c r="S21" i="8" a="1"/>
  <c r="S21" i="8" s="1"/>
  <c r="R21" i="8" a="1"/>
  <c r="R21" i="8" s="1"/>
  <c r="Q21" i="8" a="1"/>
  <c r="Q21" i="8" s="1"/>
  <c r="P21" i="8" a="1"/>
  <c r="P21" i="8" s="1"/>
  <c r="O21" i="8" a="1"/>
  <c r="O21" i="8" s="1"/>
  <c r="N21" i="8" a="1"/>
  <c r="N21" i="8" s="1"/>
  <c r="H21" i="8" a="1"/>
  <c r="H21" i="8" s="1"/>
  <c r="F21" i="8"/>
  <c r="U20" i="8" a="1"/>
  <c r="U20" i="8" s="1"/>
  <c r="T20" i="8" a="1"/>
  <c r="T20" i="8" s="1"/>
  <c r="S20" i="8" a="1"/>
  <c r="S20" i="8" s="1"/>
  <c r="R20" i="8" a="1"/>
  <c r="R20" i="8" s="1"/>
  <c r="Q20" i="8" a="1"/>
  <c r="Q20" i="8" s="1"/>
  <c r="P20" i="8" a="1"/>
  <c r="P20" i="8" s="1"/>
  <c r="O20" i="8" a="1"/>
  <c r="O20" i="8" s="1"/>
  <c r="N20" i="8" a="1"/>
  <c r="N20" i="8" s="1"/>
  <c r="H20" i="8" a="1"/>
  <c r="H20" i="8" s="1"/>
  <c r="F20" i="8"/>
  <c r="U19" i="8" a="1"/>
  <c r="U19" i="8" s="1"/>
  <c r="T19" i="8" a="1"/>
  <c r="T19" i="8" s="1"/>
  <c r="S19" i="8" a="1"/>
  <c r="S19" i="8" s="1"/>
  <c r="R19" i="8" a="1"/>
  <c r="R19" i="8" s="1"/>
  <c r="Q19" i="8" a="1"/>
  <c r="Q19" i="8" s="1"/>
  <c r="P19" i="8" a="1"/>
  <c r="P19" i="8" s="1"/>
  <c r="O19" i="8" a="1"/>
  <c r="O19" i="8" s="1"/>
  <c r="N19" i="8" a="1"/>
  <c r="N19" i="8" s="1"/>
  <c r="F19" i="8"/>
  <c r="U18" i="8" a="1"/>
  <c r="U18" i="8" s="1"/>
  <c r="T18" i="8" a="1"/>
  <c r="T18" i="8" s="1"/>
  <c r="S18" i="8" a="1"/>
  <c r="S18" i="8" s="1"/>
  <c r="R18" i="8" a="1"/>
  <c r="R18" i="8" s="1"/>
  <c r="Q18" i="8" a="1"/>
  <c r="Q18" i="8" s="1"/>
  <c r="P18" i="8" a="1"/>
  <c r="P18" i="8" s="1"/>
  <c r="O18" i="8" a="1"/>
  <c r="O18" i="8" s="1"/>
  <c r="N18" i="8" a="1"/>
  <c r="N18" i="8" s="1"/>
  <c r="F18" i="8"/>
  <c r="U17" i="8" a="1"/>
  <c r="U17" i="8" s="1"/>
  <c r="T17" i="8" a="1"/>
  <c r="T17" i="8" s="1"/>
  <c r="S17" i="8" a="1"/>
  <c r="S17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H17" i="8" a="1"/>
  <c r="H17" i="8" s="1"/>
  <c r="F17" i="8"/>
  <c r="U16" i="8" a="1"/>
  <c r="U16" i="8" s="1"/>
  <c r="T16" i="8" a="1"/>
  <c r="T16" i="8" s="1"/>
  <c r="S16" i="8" a="1"/>
  <c r="S16" i="8" s="1"/>
  <c r="R16" i="8" a="1"/>
  <c r="R16" i="8" s="1"/>
  <c r="Q16" i="8" a="1"/>
  <c r="Q16" i="8" s="1"/>
  <c r="P16" i="8" a="1"/>
  <c r="P16" i="8" s="1"/>
  <c r="O16" i="8" a="1"/>
  <c r="O16" i="8" s="1"/>
  <c r="N16" i="8" a="1"/>
  <c r="N16" i="8" s="1"/>
  <c r="H16" i="8" a="1"/>
  <c r="H16" i="8" s="1"/>
  <c r="F16" i="8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H15" i="8" a="1"/>
  <c r="H15" i="8" s="1"/>
  <c r="F15" i="8"/>
  <c r="U14" i="8" a="1"/>
  <c r="U14" i="8" s="1"/>
  <c r="T14" i="8" a="1"/>
  <c r="T14" i="8" s="1"/>
  <c r="S14" i="8" a="1"/>
  <c r="S14" i="8" s="1"/>
  <c r="R14" i="8" a="1"/>
  <c r="R14" i="8" s="1"/>
  <c r="Q14" i="8" a="1"/>
  <c r="Q14" i="8" s="1"/>
  <c r="P14" i="8" a="1"/>
  <c r="P14" i="8" s="1"/>
  <c r="O14" i="8" a="1"/>
  <c r="O14" i="8" s="1"/>
  <c r="N14" i="8" a="1"/>
  <c r="N14" i="8" s="1"/>
  <c r="F14" i="8"/>
  <c r="U13" i="8" a="1"/>
  <c r="U13" i="8" s="1"/>
  <c r="T13" i="8" a="1"/>
  <c r="T13" i="8" s="1"/>
  <c r="S13" i="8" a="1"/>
  <c r="S13" i="8" s="1"/>
  <c r="R13" i="8" a="1"/>
  <c r="R13" i="8" s="1"/>
  <c r="Q13" i="8" a="1"/>
  <c r="Q13" i="8" s="1"/>
  <c r="P13" i="8" a="1"/>
  <c r="P13" i="8" s="1"/>
  <c r="O13" i="8" a="1"/>
  <c r="O13" i="8" s="1"/>
  <c r="N13" i="8" a="1"/>
  <c r="N13" i="8" s="1"/>
  <c r="H13" i="8" a="1"/>
  <c r="H13" i="8" s="1"/>
  <c r="F13" i="8"/>
  <c r="U12" i="8" a="1"/>
  <c r="U12" i="8" s="1"/>
  <c r="T12" i="8" a="1"/>
  <c r="T12" i="8" s="1"/>
  <c r="S12" i="8" a="1"/>
  <c r="S12" i="8" s="1"/>
  <c r="R12" i="8" a="1"/>
  <c r="R12" i="8" s="1"/>
  <c r="Q12" i="8" a="1"/>
  <c r="Q12" i="8" s="1"/>
  <c r="P12" i="8" a="1"/>
  <c r="P12" i="8" s="1"/>
  <c r="O12" i="8" a="1"/>
  <c r="O12" i="8" s="1"/>
  <c r="N12" i="8" a="1"/>
  <c r="N12" i="8" s="1"/>
  <c r="H12" i="8" a="1"/>
  <c r="H12" i="8" s="1"/>
  <c r="F12" i="8"/>
  <c r="U11" i="8" a="1"/>
  <c r="U11" i="8" s="1"/>
  <c r="T11" i="8" a="1"/>
  <c r="T11" i="8" s="1"/>
  <c r="S11" i="8" a="1"/>
  <c r="S11" i="8" s="1"/>
  <c r="R11" i="8" a="1"/>
  <c r="R11" i="8" s="1"/>
  <c r="Q11" i="8" a="1"/>
  <c r="Q11" i="8" s="1"/>
  <c r="P11" i="8" a="1"/>
  <c r="P11" i="8" s="1"/>
  <c r="O11" i="8" a="1"/>
  <c r="O11" i="8" s="1"/>
  <c r="N11" i="8" a="1"/>
  <c r="N11" i="8" s="1"/>
  <c r="H11" i="8" a="1"/>
  <c r="H11" i="8" s="1"/>
  <c r="F11" i="8"/>
  <c r="U10" i="8" a="1"/>
  <c r="U10" i="8" s="1"/>
  <c r="T10" i="8" a="1"/>
  <c r="T10" i="8" s="1"/>
  <c r="S10" i="8" a="1"/>
  <c r="S10" i="8" s="1"/>
  <c r="R10" i="8" a="1"/>
  <c r="R10" i="8" s="1"/>
  <c r="Q10" i="8" a="1"/>
  <c r="Q10" i="8" s="1"/>
  <c r="P10" i="8" a="1"/>
  <c r="P10" i="8" s="1"/>
  <c r="O10" i="8" a="1"/>
  <c r="O10" i="8" s="1"/>
  <c r="N10" i="8" a="1"/>
  <c r="N10" i="8" s="1"/>
  <c r="U9" i="8" a="1"/>
  <c r="U9" i="8" s="1"/>
  <c r="T9" i="8" a="1"/>
  <c r="T9" i="8" s="1"/>
  <c r="S9" i="8" a="1"/>
  <c r="S9" i="8" s="1"/>
  <c r="R9" i="8" a="1"/>
  <c r="R9" i="8" s="1"/>
  <c r="Q9" i="8" a="1"/>
  <c r="Q9" i="8" s="1"/>
  <c r="P9" i="8" a="1"/>
  <c r="P9" i="8" s="1"/>
  <c r="O9" i="8" a="1"/>
  <c r="O9" i="8" s="1"/>
  <c r="N9" i="8" a="1"/>
  <c r="N9" i="8" s="1"/>
  <c r="H9" i="8" a="1"/>
  <c r="H9" i="8" s="1"/>
  <c r="U8" i="8" a="1"/>
  <c r="U8" i="8" s="1"/>
  <c r="T8" i="8" a="1"/>
  <c r="T8" i="8" s="1"/>
  <c r="S8" i="8" a="1"/>
  <c r="S8" i="8" s="1"/>
  <c r="R8" i="8" a="1"/>
  <c r="R8" i="8" s="1"/>
  <c r="Q8" i="8" a="1"/>
  <c r="Q8" i="8" s="1"/>
  <c r="P8" i="8" a="1"/>
  <c r="P8" i="8" s="1"/>
  <c r="O8" i="8" a="1"/>
  <c r="O8" i="8" s="1"/>
  <c r="N8" i="8" a="1"/>
  <c r="N8" i="8" s="1"/>
  <c r="H8" i="8" a="1"/>
  <c r="H8" i="8" s="1"/>
  <c r="U7" i="8" a="1"/>
  <c r="U7" i="8" s="1"/>
  <c r="T7" i="8" a="1"/>
  <c r="T7" i="8" s="1"/>
  <c r="S7" i="8" a="1"/>
  <c r="S7" i="8" s="1"/>
  <c r="R7" i="8" a="1"/>
  <c r="R7" i="8" s="1"/>
  <c r="Q7" i="8" a="1"/>
  <c r="Q7" i="8" s="1"/>
  <c r="P7" i="8" a="1"/>
  <c r="P7" i="8" s="1"/>
  <c r="O7" i="8" a="1"/>
  <c r="O7" i="8" s="1"/>
  <c r="N7" i="8" a="1"/>
  <c r="N7" i="8" s="1"/>
  <c r="H7" i="8" a="1"/>
  <c r="H7" i="8" s="1"/>
  <c r="U6" i="8" a="1"/>
  <c r="U6" i="8" s="1"/>
  <c r="T6" i="8" a="1"/>
  <c r="T6" i="8" s="1"/>
  <c r="S6" i="8" a="1"/>
  <c r="S6" i="8" s="1"/>
  <c r="R6" i="8" a="1"/>
  <c r="R6" i="8" s="1"/>
  <c r="Q6" i="8" a="1"/>
  <c r="Q6" i="8" s="1"/>
  <c r="P6" i="8" a="1"/>
  <c r="P6" i="8" s="1"/>
  <c r="O6" i="8" a="1"/>
  <c r="O6" i="8" s="1"/>
  <c r="N6" i="8" a="1"/>
  <c r="N6" i="8" s="1"/>
  <c r="U5" i="8" a="1"/>
  <c r="U5" i="8" s="1"/>
  <c r="T5" i="8" a="1"/>
  <c r="T5" i="8" s="1"/>
  <c r="S5" i="8" a="1"/>
  <c r="S5" i="8" s="1"/>
  <c r="R5" i="8" a="1"/>
  <c r="R5" i="8" s="1"/>
  <c r="Q5" i="8" a="1"/>
  <c r="Q5" i="8" s="1"/>
  <c r="P5" i="8" a="1"/>
  <c r="P5" i="8" s="1"/>
  <c r="O5" i="8" a="1"/>
  <c r="O5" i="8" s="1"/>
  <c r="N5" i="8" a="1"/>
  <c r="N5" i="8" s="1"/>
  <c r="H5" i="8" a="1"/>
  <c r="H5" i="8" s="1"/>
  <c r="U4" i="8" a="1"/>
  <c r="U4" i="8" s="1"/>
  <c r="T4" i="8" a="1"/>
  <c r="T4" i="8" s="1"/>
  <c r="S4" i="8" a="1"/>
  <c r="S4" i="8" s="1"/>
  <c r="Q4" i="8" a="1"/>
  <c r="Q4" i="8" s="1"/>
  <c r="P4" i="8" a="1"/>
  <c r="P4" i="8" s="1"/>
  <c r="O4" i="8" a="1"/>
  <c r="O4" i="8" s="1"/>
  <c r="H4" i="8" a="1"/>
  <c r="H4" i="8" s="1"/>
  <c r="N4" i="8" a="1"/>
  <c r="N4" i="8" s="1"/>
  <c r="K12" i="14" l="1" a="1"/>
  <c r="K12" i="14" s="1"/>
  <c r="L2" i="14" a="1"/>
  <c r="L2" i="14" s="1"/>
  <c r="L20" i="14" a="1"/>
  <c r="L20" i="14" s="1"/>
  <c r="L3" i="14" a="1"/>
  <c r="L3" i="14" s="1"/>
  <c r="L31" i="14" a="1"/>
  <c r="L31" i="14" s="1"/>
  <c r="L18" i="14" a="1"/>
  <c r="L18" i="14" s="1"/>
  <c r="L23" i="14" a="1"/>
  <c r="L23" i="14" s="1"/>
  <c r="L24" i="14" a="1"/>
  <c r="L24" i="14" s="1"/>
  <c r="L26" i="14" a="1"/>
  <c r="L26" i="14" s="1"/>
  <c r="L15" i="14" a="1"/>
  <c r="L15" i="14" s="1"/>
  <c r="L10" i="14" a="1"/>
  <c r="L10" i="14" s="1"/>
  <c r="L34" i="14" a="1"/>
  <c r="L34" i="14" s="1"/>
  <c r="L17" i="14" a="1"/>
  <c r="L17" i="14" s="1"/>
  <c r="L8" i="14" a="1"/>
  <c r="L8" i="14" s="1"/>
  <c r="L16" i="14" a="1"/>
  <c r="L16" i="14" s="1"/>
  <c r="L30" i="14" a="1"/>
  <c r="L30" i="14" s="1"/>
  <c r="L29" i="14" a="1"/>
  <c r="L29" i="14" s="1"/>
  <c r="L5" i="14" a="1"/>
  <c r="L5" i="14" s="1"/>
  <c r="L25" i="14" a="1"/>
  <c r="L25" i="14" s="1"/>
  <c r="L6" i="14" a="1"/>
  <c r="L6" i="14" s="1"/>
  <c r="L33" i="14" a="1"/>
  <c r="L33" i="14" s="1"/>
  <c r="L32" i="14" a="1"/>
  <c r="L32" i="14" s="1"/>
  <c r="L28" i="14" a="1"/>
  <c r="L28" i="14" s="1"/>
  <c r="L9" i="14" a="1"/>
  <c r="L9" i="14" s="1"/>
  <c r="L13" i="14" a="1"/>
  <c r="L13" i="14" s="1"/>
  <c r="L14" i="14" a="1"/>
  <c r="L14" i="14" s="1"/>
  <c r="L22" i="14" a="1"/>
  <c r="L22" i="14" s="1"/>
  <c r="L27" i="14" a="1"/>
  <c r="L27" i="14" s="1"/>
  <c r="L11" i="14" a="1"/>
  <c r="L11" i="14" s="1"/>
  <c r="L21" i="14" a="1"/>
  <c r="L21" i="14" s="1"/>
  <c r="L7" i="14" a="1"/>
  <c r="L7" i="14" s="1"/>
  <c r="L35" i="14" a="1"/>
  <c r="L35" i="14" s="1"/>
  <c r="K20" i="14" a="1"/>
  <c r="K20" i="14" s="1"/>
  <c r="L4" i="14" a="1"/>
  <c r="L4" i="14" s="1"/>
  <c r="L19" i="14" a="1"/>
  <c r="L19" i="14" s="1"/>
  <c r="K8" i="14" a="1"/>
  <c r="K8" i="14" s="1"/>
  <c r="K19" i="14" a="1"/>
  <c r="K19" i="14" s="1"/>
  <c r="K17" i="14" a="1"/>
  <c r="K17" i="14" s="1"/>
  <c r="K16" i="14" a="1"/>
  <c r="K16" i="14" s="1"/>
  <c r="K18" i="14" a="1"/>
  <c r="K18" i="14" s="1"/>
  <c r="K2" i="14" a="1"/>
  <c r="K2" i="14" s="1"/>
  <c r="K22" i="14" a="1"/>
  <c r="K22" i="14" s="1"/>
  <c r="K25" i="14" a="1"/>
  <c r="K25" i="14" s="1"/>
  <c r="K10" i="14" a="1"/>
  <c r="K10" i="14" s="1"/>
  <c r="K14" i="14" a="1"/>
  <c r="K14" i="14" s="1"/>
  <c r="K4" i="14" a="1"/>
  <c r="K4" i="14" s="1"/>
  <c r="K7" i="14" a="1"/>
  <c r="K7" i="14" s="1"/>
  <c r="K27" i="14" a="1"/>
  <c r="K27" i="14" s="1"/>
  <c r="K11" i="14" a="1"/>
  <c r="K11" i="14" s="1"/>
  <c r="K5" i="14" a="1"/>
  <c r="K5" i="14" s="1"/>
  <c r="K9" i="14" a="1"/>
  <c r="K9" i="14" s="1"/>
  <c r="K26" i="14" a="1"/>
  <c r="K26" i="14" s="1"/>
  <c r="K13" i="14" a="1"/>
  <c r="K13" i="14" s="1"/>
  <c r="K15" i="14" a="1"/>
  <c r="K15" i="14" s="1"/>
  <c r="K21" i="14" a="1"/>
  <c r="K21" i="14" s="1"/>
  <c r="K24" i="14" a="1"/>
  <c r="K24" i="14" s="1"/>
  <c r="K23" i="14" a="1"/>
  <c r="K23" i="14" s="1"/>
  <c r="K3" i="14" a="1"/>
  <c r="K3" i="14" s="1"/>
  <c r="K6" i="14" a="1"/>
  <c r="K6" i="14" s="1"/>
  <c r="P23" i="11"/>
  <c r="O23" i="11"/>
  <c r="S28" i="11"/>
  <c r="U28" i="11"/>
  <c r="K10" i="11" a="1"/>
  <c r="K10" i="11" s="1"/>
  <c r="K26" i="11" a="1"/>
  <c r="K26" i="11" s="1"/>
  <c r="K27" i="11" a="1"/>
  <c r="K27" i="11" s="1"/>
  <c r="K21" i="11" a="1"/>
  <c r="K21" i="11" s="1"/>
  <c r="K19" i="11" a="1"/>
  <c r="K19" i="11" s="1"/>
  <c r="K13" i="11" a="1"/>
  <c r="K13" i="11" s="1"/>
  <c r="K11" i="11" a="1"/>
  <c r="K11" i="11" s="1"/>
  <c r="K20" i="11" a="1"/>
  <c r="K20" i="11" s="1"/>
  <c r="K12" i="11" a="1"/>
  <c r="K12" i="11" s="1"/>
  <c r="K4" i="11" a="1"/>
  <c r="K4" i="11" s="1"/>
  <c r="K3" i="11" a="1"/>
  <c r="K3" i="11" s="1"/>
  <c r="K22" i="11" a="1"/>
  <c r="K22" i="11" s="1"/>
  <c r="K14" i="11" a="1"/>
  <c r="K14" i="11" s="1"/>
  <c r="K6" i="11" a="1"/>
  <c r="K6" i="11" s="1"/>
  <c r="K5" i="11" a="1"/>
  <c r="K5" i="11" s="1"/>
  <c r="K25" i="11" a="1"/>
  <c r="K25" i="11" s="1"/>
  <c r="K23" i="11" a="1"/>
  <c r="K23" i="11" s="1"/>
  <c r="K17" i="11" a="1"/>
  <c r="K17" i="11" s="1"/>
  <c r="K15" i="11" a="1"/>
  <c r="K15" i="11" s="1"/>
  <c r="K9" i="11" a="1"/>
  <c r="K9" i="11" s="1"/>
  <c r="K7" i="11" a="1"/>
  <c r="K7" i="11" s="1"/>
  <c r="K18" i="11" a="1"/>
  <c r="K18" i="11" s="1"/>
  <c r="K2" i="11" a="1"/>
  <c r="K2" i="11" s="1"/>
  <c r="K24" i="11" a="1"/>
  <c r="K24" i="11" s="1"/>
  <c r="K16" i="11" a="1"/>
  <c r="K16" i="11" s="1"/>
  <c r="K8" i="11" a="1"/>
  <c r="K8" i="11" s="1"/>
  <c r="N25" i="11"/>
  <c r="N23" i="11"/>
  <c r="O28" i="11" s="1"/>
  <c r="L27" i="11" a="1"/>
  <c r="L27" i="11" s="1"/>
  <c r="L21" i="11" a="1"/>
  <c r="L21" i="11" s="1"/>
  <c r="L19" i="11" a="1"/>
  <c r="L19" i="11" s="1"/>
  <c r="L13" i="11" a="1"/>
  <c r="L13" i="11" s="1"/>
  <c r="L11" i="11" a="1"/>
  <c r="L11" i="11" s="1"/>
  <c r="L3" i="11" a="1"/>
  <c r="L3" i="11" s="1"/>
  <c r="L20" i="11" a="1"/>
  <c r="L20" i="11" s="1"/>
  <c r="L32" i="11" a="1"/>
  <c r="L32" i="11" s="1"/>
  <c r="L35" i="11" a="1"/>
  <c r="L35" i="11" s="1"/>
  <c r="L33" i="11" a="1"/>
  <c r="L33" i="11" s="1"/>
  <c r="L30" i="11" a="1"/>
  <c r="L30" i="11" s="1"/>
  <c r="L28" i="11" a="1"/>
  <c r="L28" i="11" s="1"/>
  <c r="L22" i="11" a="1"/>
  <c r="L22" i="11" s="1"/>
  <c r="L14" i="11" a="1"/>
  <c r="L14" i="11" s="1"/>
  <c r="L6" i="11" a="1"/>
  <c r="L6" i="11" s="1"/>
  <c r="L8" i="11" a="1"/>
  <c r="L8" i="11" s="1"/>
  <c r="L12" i="11" a="1"/>
  <c r="L12" i="11" s="1"/>
  <c r="L25" i="11" a="1"/>
  <c r="L25" i="11" s="1"/>
  <c r="L23" i="11" a="1"/>
  <c r="L23" i="11" s="1"/>
  <c r="L17" i="11" a="1"/>
  <c r="L17" i="11" s="1"/>
  <c r="L15" i="11" a="1"/>
  <c r="L15" i="11" s="1"/>
  <c r="L9" i="11" a="1"/>
  <c r="L9" i="11" s="1"/>
  <c r="L7" i="11" a="1"/>
  <c r="L7" i="11" s="1"/>
  <c r="L24" i="11" a="1"/>
  <c r="L24" i="11" s="1"/>
  <c r="L16" i="11" a="1"/>
  <c r="L16" i="11" s="1"/>
  <c r="L4" i="11" a="1"/>
  <c r="L4" i="11" s="1"/>
  <c r="L31" i="11" a="1"/>
  <c r="L31" i="11" s="1"/>
  <c r="L29" i="11" a="1"/>
  <c r="L29" i="11" s="1"/>
  <c r="L34" i="11" a="1"/>
  <c r="L34" i="11" s="1"/>
  <c r="L26" i="11" a="1"/>
  <c r="L26" i="11" s="1"/>
  <c r="L18" i="11" a="1"/>
  <c r="L18" i="11" s="1"/>
  <c r="L10" i="11" a="1"/>
  <c r="L10" i="11" s="1"/>
  <c r="L2" i="11" a="1"/>
  <c r="L2" i="11" s="1"/>
  <c r="L5" i="11" a="1"/>
  <c r="L5" i="11" s="1"/>
  <c r="U28" i="9"/>
  <c r="S28" i="9"/>
  <c r="K26" i="9" a="1"/>
  <c r="K26" i="9" s="1"/>
  <c r="K18" i="9" a="1"/>
  <c r="K18" i="9" s="1"/>
  <c r="K2" i="9" a="1"/>
  <c r="K2" i="9" s="1"/>
  <c r="K27" i="9" a="1"/>
  <c r="K27" i="9" s="1"/>
  <c r="K21" i="9" a="1"/>
  <c r="K21" i="9" s="1"/>
  <c r="K19" i="9" a="1"/>
  <c r="K19" i="9" s="1"/>
  <c r="K13" i="9" a="1"/>
  <c r="K13" i="9" s="1"/>
  <c r="K11" i="9" a="1"/>
  <c r="K11" i="9" s="1"/>
  <c r="K5" i="9" a="1"/>
  <c r="K5" i="9" s="1"/>
  <c r="K3" i="9" a="1"/>
  <c r="K3" i="9" s="1"/>
  <c r="K7" i="9" a="1"/>
  <c r="K7" i="9" s="1"/>
  <c r="K20" i="9" a="1"/>
  <c r="K20" i="9" s="1"/>
  <c r="K12" i="9" a="1"/>
  <c r="K12" i="9" s="1"/>
  <c r="K4" i="9" a="1"/>
  <c r="K4" i="9" s="1"/>
  <c r="K10" i="9" a="1"/>
  <c r="K10" i="9" s="1"/>
  <c r="K9" i="9" a="1"/>
  <c r="K9" i="9" s="1"/>
  <c r="K22" i="9" a="1"/>
  <c r="K22" i="9" s="1"/>
  <c r="K14" i="9" a="1"/>
  <c r="K14" i="9" s="1"/>
  <c r="K6" i="9" a="1"/>
  <c r="K6" i="9" s="1"/>
  <c r="K25" i="9" a="1"/>
  <c r="K25" i="9" s="1"/>
  <c r="K23" i="9" a="1"/>
  <c r="K23" i="9" s="1"/>
  <c r="K17" i="9" a="1"/>
  <c r="K17" i="9" s="1"/>
  <c r="K15" i="9" a="1"/>
  <c r="K15" i="9" s="1"/>
  <c r="K24" i="9" a="1"/>
  <c r="K24" i="9" s="1"/>
  <c r="K16" i="9" a="1"/>
  <c r="K16" i="9" s="1"/>
  <c r="K8" i="9" a="1"/>
  <c r="K8" i="9" s="1"/>
  <c r="L27" i="9" a="1"/>
  <c r="L27" i="9" s="1"/>
  <c r="L21" i="9" a="1"/>
  <c r="L21" i="9" s="1"/>
  <c r="L19" i="9" a="1"/>
  <c r="L19" i="9" s="1"/>
  <c r="L13" i="9" a="1"/>
  <c r="L13" i="9" s="1"/>
  <c r="L11" i="9" a="1"/>
  <c r="L11" i="9" s="1"/>
  <c r="L4" i="9" a="1"/>
  <c r="L4" i="9" s="1"/>
  <c r="L32" i="9" a="1"/>
  <c r="L32" i="9" s="1"/>
  <c r="L20" i="9" a="1"/>
  <c r="L20" i="9" s="1"/>
  <c r="L35" i="9" a="1"/>
  <c r="L35" i="9" s="1"/>
  <c r="L33" i="9" a="1"/>
  <c r="L33" i="9" s="1"/>
  <c r="L30" i="9" a="1"/>
  <c r="L30" i="9" s="1"/>
  <c r="L28" i="9" a="1"/>
  <c r="L28" i="9" s="1"/>
  <c r="L22" i="9" a="1"/>
  <c r="L22" i="9" s="1"/>
  <c r="L14" i="9" a="1"/>
  <c r="L14" i="9" s="1"/>
  <c r="L6" i="9" a="1"/>
  <c r="L6" i="9" s="1"/>
  <c r="L25" i="9" a="1"/>
  <c r="L25" i="9" s="1"/>
  <c r="L23" i="9" a="1"/>
  <c r="L23" i="9" s="1"/>
  <c r="L17" i="9" a="1"/>
  <c r="L17" i="9" s="1"/>
  <c r="L15" i="9" a="1"/>
  <c r="L15" i="9" s="1"/>
  <c r="L9" i="9" a="1"/>
  <c r="L9" i="9" s="1"/>
  <c r="L7" i="9" a="1"/>
  <c r="L7" i="9" s="1"/>
  <c r="L5" i="9" a="1"/>
  <c r="L5" i="9" s="1"/>
  <c r="L24" i="9" a="1"/>
  <c r="L24" i="9" s="1"/>
  <c r="L16" i="9" a="1"/>
  <c r="L16" i="9" s="1"/>
  <c r="L8" i="9" a="1"/>
  <c r="L8" i="9" s="1"/>
  <c r="L3" i="9" a="1"/>
  <c r="L3" i="9" s="1"/>
  <c r="L12" i="9" a="1"/>
  <c r="L12" i="9" s="1"/>
  <c r="L31" i="9" a="1"/>
  <c r="L31" i="9" s="1"/>
  <c r="L29" i="9" a="1"/>
  <c r="L29" i="9" s="1"/>
  <c r="L34" i="9" a="1"/>
  <c r="L34" i="9" s="1"/>
  <c r="L26" i="9" a="1"/>
  <c r="L26" i="9" s="1"/>
  <c r="L18" i="9" a="1"/>
  <c r="L18" i="9" s="1"/>
  <c r="L10" i="9" a="1"/>
  <c r="L10" i="9" s="1"/>
  <c r="L2" i="9" a="1"/>
  <c r="L2" i="9" s="1"/>
  <c r="H19" i="8" a="1"/>
  <c r="H19" i="8" s="1"/>
  <c r="I21" i="8" s="1"/>
  <c r="R25" i="8"/>
  <c r="S25" i="8"/>
  <c r="S23" i="8"/>
  <c r="J13" i="8"/>
  <c r="I13" i="8"/>
  <c r="J17" i="8"/>
  <c r="I17" i="8"/>
  <c r="J77" i="8"/>
  <c r="I77" i="8"/>
  <c r="O25" i="8"/>
  <c r="O23" i="8"/>
  <c r="T25" i="8"/>
  <c r="J29" i="8"/>
  <c r="I29" i="8"/>
  <c r="U25" i="8"/>
  <c r="U23" i="8"/>
  <c r="J57" i="8"/>
  <c r="I57" i="8"/>
  <c r="J61" i="8"/>
  <c r="I61" i="8"/>
  <c r="J65" i="8"/>
  <c r="I65" i="8"/>
  <c r="J69" i="8"/>
  <c r="I69" i="8"/>
  <c r="J73" i="8"/>
  <c r="I73" i="8"/>
  <c r="J25" i="8"/>
  <c r="I25" i="8"/>
  <c r="P25" i="8"/>
  <c r="J9" i="8"/>
  <c r="I9" i="8"/>
  <c r="J49" i="8"/>
  <c r="I49" i="8"/>
  <c r="J53" i="8"/>
  <c r="I53" i="8"/>
  <c r="J81" i="8"/>
  <c r="I81" i="8"/>
  <c r="N25" i="8"/>
  <c r="N23" i="8"/>
  <c r="Q25" i="8"/>
  <c r="Q23" i="8"/>
  <c r="J41" i="8"/>
  <c r="I41" i="8"/>
  <c r="J45" i="8"/>
  <c r="I45" i="8"/>
  <c r="J33" i="8"/>
  <c r="I33" i="8"/>
  <c r="J37" i="8"/>
  <c r="I37" i="8"/>
  <c r="R23" i="8"/>
  <c r="H3" i="8" a="1"/>
  <c r="H3" i="8" s="1"/>
  <c r="T23" i="8"/>
  <c r="P23" i="8"/>
  <c r="P28" i="11" l="1"/>
  <c r="Q28" i="11"/>
  <c r="R28" i="11"/>
  <c r="J21" i="8"/>
  <c r="U28" i="8"/>
  <c r="S28" i="8"/>
  <c r="J5" i="8"/>
  <c r="I5" i="8"/>
  <c r="K24" i="8" l="1" a="1"/>
  <c r="K24" i="8" s="1"/>
  <c r="K16" i="8" a="1"/>
  <c r="K16" i="8" s="1"/>
  <c r="K8" i="8" a="1"/>
  <c r="K8" i="8" s="1"/>
  <c r="K5" i="8" a="1"/>
  <c r="K5" i="8" s="1"/>
  <c r="K26" i="8" a="1"/>
  <c r="K26" i="8" s="1"/>
  <c r="K18" i="8" a="1"/>
  <c r="K18" i="8" s="1"/>
  <c r="K10" i="8" a="1"/>
  <c r="K10" i="8" s="1"/>
  <c r="K2" i="8" a="1"/>
  <c r="K2" i="8" s="1"/>
  <c r="K27" i="8" a="1"/>
  <c r="K27" i="8" s="1"/>
  <c r="K21" i="8" a="1"/>
  <c r="K21" i="8" s="1"/>
  <c r="K19" i="8" a="1"/>
  <c r="K19" i="8" s="1"/>
  <c r="K13" i="8" a="1"/>
  <c r="K13" i="8" s="1"/>
  <c r="K11" i="8" a="1"/>
  <c r="K11" i="8" s="1"/>
  <c r="K3" i="8" a="1"/>
  <c r="K3" i="8" s="1"/>
  <c r="K20" i="8" a="1"/>
  <c r="K20" i="8" s="1"/>
  <c r="K12" i="8" a="1"/>
  <c r="K12" i="8" s="1"/>
  <c r="K4" i="8" a="1"/>
  <c r="K4" i="8" s="1"/>
  <c r="K22" i="8" a="1"/>
  <c r="K22" i="8" s="1"/>
  <c r="K14" i="8" a="1"/>
  <c r="K14" i="8" s="1"/>
  <c r="K6" i="8" a="1"/>
  <c r="K6" i="8" s="1"/>
  <c r="K25" i="8" a="1"/>
  <c r="K25" i="8" s="1"/>
  <c r="K23" i="8" a="1"/>
  <c r="K23" i="8" s="1"/>
  <c r="K17" i="8" a="1"/>
  <c r="K17" i="8" s="1"/>
  <c r="K15" i="8" a="1"/>
  <c r="K15" i="8" s="1"/>
  <c r="K9" i="8" a="1"/>
  <c r="K9" i="8" s="1"/>
  <c r="K7" i="8" a="1"/>
  <c r="K7" i="8" s="1"/>
  <c r="L26" i="8" a="1"/>
  <c r="L26" i="8" s="1"/>
  <c r="L18" i="8" a="1"/>
  <c r="L18" i="8" s="1"/>
  <c r="L10" i="8" a="1"/>
  <c r="L10" i="8" s="1"/>
  <c r="L2" i="8" a="1"/>
  <c r="L2" i="8" s="1"/>
  <c r="L31" i="8" a="1"/>
  <c r="L31" i="8" s="1"/>
  <c r="L29" i="8" a="1"/>
  <c r="L29" i="8" s="1"/>
  <c r="L27" i="8" a="1"/>
  <c r="L27" i="8" s="1"/>
  <c r="L21" i="8" a="1"/>
  <c r="L21" i="8" s="1"/>
  <c r="L19" i="8" a="1"/>
  <c r="L19" i="8" s="1"/>
  <c r="L13" i="8" a="1"/>
  <c r="L13" i="8" s="1"/>
  <c r="L11" i="8" a="1"/>
  <c r="L11" i="8" s="1"/>
  <c r="L5" i="8" a="1"/>
  <c r="L5" i="8" s="1"/>
  <c r="L3" i="8" a="1"/>
  <c r="L3" i="8" s="1"/>
  <c r="L34" i="8" a="1"/>
  <c r="L34" i="8" s="1"/>
  <c r="L20" i="8" a="1"/>
  <c r="L20" i="8" s="1"/>
  <c r="L12" i="8" a="1"/>
  <c r="L12" i="8" s="1"/>
  <c r="L4" i="8" a="1"/>
  <c r="L4" i="8" s="1"/>
  <c r="L32" i="8" a="1"/>
  <c r="L32" i="8" s="1"/>
  <c r="L28" i="8" a="1"/>
  <c r="L28" i="8" s="1"/>
  <c r="L22" i="8" a="1"/>
  <c r="L22" i="8" s="1"/>
  <c r="L14" i="8" a="1"/>
  <c r="L14" i="8" s="1"/>
  <c r="L6" i="8" a="1"/>
  <c r="L6" i="8" s="1"/>
  <c r="L35" i="8" a="1"/>
  <c r="L35" i="8" s="1"/>
  <c r="L33" i="8" a="1"/>
  <c r="L33" i="8" s="1"/>
  <c r="L25" i="8" a="1"/>
  <c r="L25" i="8" s="1"/>
  <c r="L23" i="8" a="1"/>
  <c r="L23" i="8" s="1"/>
  <c r="L17" i="8" a="1"/>
  <c r="L17" i="8" s="1"/>
  <c r="L15" i="8" a="1"/>
  <c r="L15" i="8" s="1"/>
  <c r="L9" i="8" a="1"/>
  <c r="L9" i="8" s="1"/>
  <c r="L7" i="8" a="1"/>
  <c r="L7" i="8" s="1"/>
  <c r="L30" i="8" a="1"/>
  <c r="L30" i="8" s="1"/>
  <c r="L24" i="8" a="1"/>
  <c r="L24" i="8" s="1"/>
  <c r="L16" i="8" a="1"/>
  <c r="L16" i="8" s="1"/>
  <c r="L8" i="8" a="1"/>
  <c r="L8" i="8" s="1"/>
  <c r="N4" i="15" a="1"/>
  <c r="N4" i="15" s="1"/>
  <c r="H3" i="15" a="1"/>
  <c r="H3" i="15" s="1"/>
  <c r="H35" i="15" a="1"/>
  <c r="H35" i="15" s="1"/>
  <c r="H11" i="15" a="1"/>
  <c r="H11" i="15" s="1"/>
  <c r="H31" i="15" a="1"/>
  <c r="H31" i="15" s="1"/>
  <c r="O4" i="15" a="1"/>
  <c r="O4" i="15" s="1"/>
  <c r="S4" i="15" a="1"/>
  <c r="S4" i="15" s="1"/>
  <c r="H19" i="15" a="1"/>
  <c r="H19" i="15" s="1"/>
  <c r="H39" i="15" a="1"/>
  <c r="H39" i="15" s="1"/>
  <c r="H15" i="15" a="1"/>
  <c r="H15" i="15" s="1"/>
  <c r="U4" i="15" a="1"/>
  <c r="U4" i="15" s="1"/>
  <c r="H27" i="15" a="1"/>
  <c r="H27" i="15" s="1"/>
  <c r="H43" i="15" a="1"/>
  <c r="H43" i="15" s="1"/>
  <c r="P4" i="15" a="1"/>
  <c r="P4" i="15" s="1"/>
  <c r="H67" i="15" a="1"/>
  <c r="H67" i="15" s="1"/>
  <c r="H51" i="15" a="1"/>
  <c r="H51" i="15" s="1"/>
  <c r="T4" i="15" a="1"/>
  <c r="T4" i="15" s="1"/>
  <c r="Q4" i="15" a="1"/>
  <c r="Q4" i="15" s="1"/>
  <c r="H71" i="15" a="1"/>
  <c r="H71" i="15" s="1"/>
  <c r="H63" i="15" a="1"/>
  <c r="H63" i="15" s="1"/>
  <c r="H23" i="15" a="1"/>
  <c r="H23" i="15" s="1"/>
  <c r="H79" i="15" a="1"/>
  <c r="H79" i="15" s="1"/>
  <c r="R4" i="15" a="1"/>
  <c r="R4" i="15" s="1"/>
  <c r="H59" i="15" a="1"/>
  <c r="H59" i="15" s="1"/>
  <c r="H47" i="15" a="1"/>
  <c r="H47" i="15" s="1"/>
  <c r="H55" i="15" a="1"/>
  <c r="H55" i="15" s="1"/>
  <c r="H75" i="15" a="1"/>
  <c r="H75" i="15" s="1"/>
  <c r="H7" i="15" a="1"/>
  <c r="H7" i="15" s="1"/>
  <c r="N6" i="15" a="1"/>
  <c r="N6" i="15" s="1"/>
  <c r="Q6" i="15" a="1"/>
  <c r="Q6" i="15" s="1"/>
  <c r="N12" i="15" a="1"/>
  <c r="N12" i="15" s="1"/>
  <c r="U17" i="15" a="1"/>
  <c r="U17" i="15" s="1"/>
  <c r="N21" i="15" a="1"/>
  <c r="N21" i="15" s="1"/>
  <c r="H53" i="15" a="1"/>
  <c r="H53" i="15" s="1"/>
  <c r="R5" i="15" a="1"/>
  <c r="R5" i="15" s="1"/>
  <c r="R6" i="15" a="1"/>
  <c r="R6" i="15" s="1"/>
  <c r="P7" i="15" a="1"/>
  <c r="P7" i="15" s="1"/>
  <c r="N8" i="15" a="1"/>
  <c r="N8" i="15" s="1"/>
  <c r="T9" i="15" a="1"/>
  <c r="T9" i="15" s="1"/>
  <c r="S10" i="15" a="1"/>
  <c r="S10" i="15" s="1"/>
  <c r="Q11" i="15" a="1"/>
  <c r="Q11" i="15" s="1"/>
  <c r="O12" i="15" a="1"/>
  <c r="O12" i="15" s="1"/>
  <c r="H13" i="15" a="1"/>
  <c r="H13" i="15" s="1"/>
  <c r="U13" i="15" a="1"/>
  <c r="U13" i="15" s="1"/>
  <c r="T14" i="15" a="1"/>
  <c r="T14" i="15" s="1"/>
  <c r="R15" i="15" a="1"/>
  <c r="R15" i="15" s="1"/>
  <c r="P16" i="15" a="1"/>
  <c r="P16" i="15" s="1"/>
  <c r="N17" i="15" a="1"/>
  <c r="N17" i="15" s="1"/>
  <c r="U18" i="15" a="1"/>
  <c r="U18" i="15" s="1"/>
  <c r="S19" i="15" a="1"/>
  <c r="S19" i="15" s="1"/>
  <c r="Q20" i="15" a="1"/>
  <c r="Q20" i="15" s="1"/>
  <c r="O21" i="15" a="1"/>
  <c r="O21" i="15" s="1"/>
  <c r="H36" i="15" a="1"/>
  <c r="H36" i="15" s="1"/>
  <c r="H45" i="15" a="1"/>
  <c r="H45" i="15" s="1"/>
  <c r="H65" i="15" a="1"/>
  <c r="H65" i="15" s="1"/>
  <c r="H76" i="15" a="1"/>
  <c r="H76" i="15" s="1"/>
  <c r="P6" i="15" a="1"/>
  <c r="P6" i="15" s="1"/>
  <c r="U8" i="15" a="1"/>
  <c r="U8" i="15" s="1"/>
  <c r="T13" i="15" a="1"/>
  <c r="T13" i="15" s="1"/>
  <c r="H17" i="15" a="1"/>
  <c r="H17" i="15" s="1"/>
  <c r="P20" i="15" a="1"/>
  <c r="P20" i="15" s="1"/>
  <c r="S5" i="15" a="1"/>
  <c r="S5" i="15" s="1"/>
  <c r="S6" i="15" a="1"/>
  <c r="S6" i="15" s="1"/>
  <c r="Q7" i="15" a="1"/>
  <c r="Q7" i="15" s="1"/>
  <c r="O8" i="15" a="1"/>
  <c r="O8" i="15" s="1"/>
  <c r="H9" i="15" a="1"/>
  <c r="H9" i="15" s="1"/>
  <c r="U9" i="15" a="1"/>
  <c r="U9" i="15" s="1"/>
  <c r="T10" i="15" a="1"/>
  <c r="T10" i="15" s="1"/>
  <c r="R11" i="15" a="1"/>
  <c r="R11" i="15" s="1"/>
  <c r="P12" i="15" a="1"/>
  <c r="P12" i="15" s="1"/>
  <c r="N13" i="15" a="1"/>
  <c r="N13" i="15" s="1"/>
  <c r="U14" i="15" a="1"/>
  <c r="U14" i="15" s="1"/>
  <c r="S15" i="15" a="1"/>
  <c r="S15" i="15" s="1"/>
  <c r="Q16" i="15" a="1"/>
  <c r="Q16" i="15" s="1"/>
  <c r="O17" i="15" a="1"/>
  <c r="O17" i="15" s="1"/>
  <c r="N18" i="15" a="1"/>
  <c r="N18" i="15" s="1"/>
  <c r="T19" i="15" a="1"/>
  <c r="T19" i="15" s="1"/>
  <c r="R20" i="15" a="1"/>
  <c r="R20" i="15" s="1"/>
  <c r="P21" i="15" a="1"/>
  <c r="P21" i="15" s="1"/>
  <c r="H32" i="15" a="1"/>
  <c r="H32" i="15" s="1"/>
  <c r="H41" i="15" a="1"/>
  <c r="H41" i="15" s="1"/>
  <c r="H56" i="15" a="1"/>
  <c r="H56" i="15" s="1"/>
  <c r="H77" i="15" a="1"/>
  <c r="H77" i="15" s="1"/>
  <c r="R10" i="15" a="1"/>
  <c r="R10" i="15" s="1"/>
  <c r="S14" i="15" a="1"/>
  <c r="S14" i="15" s="1"/>
  <c r="T18" i="15" a="1"/>
  <c r="T18" i="15" s="1"/>
  <c r="H40" i="15" a="1"/>
  <c r="H40" i="15" s="1"/>
  <c r="H4" i="15" a="1"/>
  <c r="H4" i="15" s="1"/>
  <c r="T5" i="15" a="1"/>
  <c r="T5" i="15" s="1"/>
  <c r="T6" i="15" a="1"/>
  <c r="T6" i="15" s="1"/>
  <c r="R7" i="15" a="1"/>
  <c r="R7" i="15" s="1"/>
  <c r="P8" i="15" a="1"/>
  <c r="P8" i="15" s="1"/>
  <c r="N9" i="15" a="1"/>
  <c r="N9" i="15" s="1"/>
  <c r="U10" i="15" a="1"/>
  <c r="U10" i="15" s="1"/>
  <c r="S11" i="15" a="1"/>
  <c r="S11" i="15" s="1"/>
  <c r="Q12" i="15" a="1"/>
  <c r="Q12" i="15" s="1"/>
  <c r="O13" i="15" a="1"/>
  <c r="O13" i="15" s="1"/>
  <c r="N14" i="15" a="1"/>
  <c r="N14" i="15" s="1"/>
  <c r="T15" i="15" a="1"/>
  <c r="T15" i="15" s="1"/>
  <c r="R16" i="15" a="1"/>
  <c r="R16" i="15" s="1"/>
  <c r="P17" i="15" a="1"/>
  <c r="P17" i="15" s="1"/>
  <c r="O18" i="15" a="1"/>
  <c r="O18" i="15" s="1"/>
  <c r="U19" i="15" a="1"/>
  <c r="U19" i="15" s="1"/>
  <c r="S20" i="15" a="1"/>
  <c r="S20" i="15" s="1"/>
  <c r="Q21" i="15" a="1"/>
  <c r="Q21" i="15" s="1"/>
  <c r="H28" i="15" a="1"/>
  <c r="H28" i="15" s="1"/>
  <c r="H37" i="15" a="1"/>
  <c r="H37" i="15" s="1"/>
  <c r="H57" i="15" a="1"/>
  <c r="H57" i="15" s="1"/>
  <c r="H68" i="15" a="1"/>
  <c r="H68" i="15" s="1"/>
  <c r="T8" i="15" a="1"/>
  <c r="T8" i="15" s="1"/>
  <c r="S9" i="15" a="1"/>
  <c r="S9" i="15" s="1"/>
  <c r="Q15" i="15" a="1"/>
  <c r="Q15" i="15" s="1"/>
  <c r="U5" i="15" a="1"/>
  <c r="U5" i="15" s="1"/>
  <c r="U6" i="15" a="1"/>
  <c r="U6" i="15" s="1"/>
  <c r="S7" i="15" a="1"/>
  <c r="S7" i="15" s="1"/>
  <c r="Q8" i="15" a="1"/>
  <c r="Q8" i="15" s="1"/>
  <c r="O9" i="15" a="1"/>
  <c r="O9" i="15" s="1"/>
  <c r="N10" i="15" a="1"/>
  <c r="N10" i="15" s="1"/>
  <c r="T11" i="15" a="1"/>
  <c r="T11" i="15" s="1"/>
  <c r="R12" i="15" a="1"/>
  <c r="R12" i="15" s="1"/>
  <c r="P13" i="15" a="1"/>
  <c r="P13" i="15" s="1"/>
  <c r="O14" i="15" a="1"/>
  <c r="O14" i="15" s="1"/>
  <c r="U15" i="15" a="1"/>
  <c r="U15" i="15" s="1"/>
  <c r="S16" i="15" a="1"/>
  <c r="S16" i="15" s="1"/>
  <c r="Q17" i="15" a="1"/>
  <c r="Q17" i="15" s="1"/>
  <c r="P18" i="15" a="1"/>
  <c r="P18" i="15" s="1"/>
  <c r="N19" i="15" a="1"/>
  <c r="N19" i="15" s="1"/>
  <c r="T20" i="15" a="1"/>
  <c r="T20" i="15" s="1"/>
  <c r="R21" i="15" a="1"/>
  <c r="R21" i="15" s="1"/>
  <c r="H24" i="15" a="1"/>
  <c r="H24" i="15" s="1"/>
  <c r="H33" i="15" a="1"/>
  <c r="H33" i="15" s="1"/>
  <c r="H48" i="15" a="1"/>
  <c r="H48" i="15" s="1"/>
  <c r="H69" i="15" a="1"/>
  <c r="H69" i="15" s="1"/>
  <c r="H80" i="15" a="1"/>
  <c r="H80" i="15" s="1"/>
  <c r="Q5" i="15" a="1"/>
  <c r="Q5" i="15" s="1"/>
  <c r="H8" i="15" a="1"/>
  <c r="H8" i="15" s="1"/>
  <c r="P11" i="15" a="1"/>
  <c r="P11" i="15" s="1"/>
  <c r="O16" i="15" a="1"/>
  <c r="O16" i="15" s="1"/>
  <c r="R19" i="15" a="1"/>
  <c r="R19" i="15" s="1"/>
  <c r="H64" i="15" a="1"/>
  <c r="H64" i="15" s="1"/>
  <c r="H5" i="15" a="1"/>
  <c r="H5" i="15" s="1"/>
  <c r="N5" i="15" a="1"/>
  <c r="N5" i="15" s="1"/>
  <c r="T7" i="15" a="1"/>
  <c r="T7" i="15" s="1"/>
  <c r="R8" i="15" a="1"/>
  <c r="R8" i="15" s="1"/>
  <c r="P9" i="15" a="1"/>
  <c r="P9" i="15" s="1"/>
  <c r="O10" i="15" a="1"/>
  <c r="O10" i="15" s="1"/>
  <c r="U11" i="15" a="1"/>
  <c r="U11" i="15" s="1"/>
  <c r="S12" i="15" a="1"/>
  <c r="S12" i="15" s="1"/>
  <c r="Q13" i="15" a="1"/>
  <c r="Q13" i="15" s="1"/>
  <c r="P14" i="15" a="1"/>
  <c r="P14" i="15" s="1"/>
  <c r="N15" i="15" a="1"/>
  <c r="N15" i="15" s="1"/>
  <c r="T16" i="15" a="1"/>
  <c r="T16" i="15" s="1"/>
  <c r="R17" i="15" a="1"/>
  <c r="R17" i="15" s="1"/>
  <c r="Q18" i="15" a="1"/>
  <c r="Q18" i="15" s="1"/>
  <c r="O19" i="15" a="1"/>
  <c r="O19" i="15" s="1"/>
  <c r="H20" i="15" a="1"/>
  <c r="H20" i="15" s="1"/>
  <c r="U20" i="15" a="1"/>
  <c r="U20" i="15" s="1"/>
  <c r="S21" i="15" a="1"/>
  <c r="S21" i="15" s="1"/>
  <c r="H29" i="15" a="1"/>
  <c r="H29" i="15" s="1"/>
  <c r="H49" i="15" a="1"/>
  <c r="H49" i="15" s="1"/>
  <c r="H60" i="15" a="1"/>
  <c r="H60" i="15" s="1"/>
  <c r="H81" i="15" a="1"/>
  <c r="H81" i="15" s="1"/>
  <c r="P5" i="15" a="1"/>
  <c r="P5" i="15" s="1"/>
  <c r="O7" i="15" a="1"/>
  <c r="O7" i="15" s="1"/>
  <c r="O5" i="15" a="1"/>
  <c r="O5" i="15" s="1"/>
  <c r="O6" i="15" a="1"/>
  <c r="O6" i="15" s="1"/>
  <c r="U7" i="15" a="1"/>
  <c r="U7" i="15" s="1"/>
  <c r="S8" i="15" a="1"/>
  <c r="S8" i="15" s="1"/>
  <c r="Q9" i="15" a="1"/>
  <c r="Q9" i="15" s="1"/>
  <c r="P10" i="15" a="1"/>
  <c r="P10" i="15" s="1"/>
  <c r="N11" i="15" a="1"/>
  <c r="N11" i="15" s="1"/>
  <c r="T12" i="15" a="1"/>
  <c r="T12" i="15" s="1"/>
  <c r="R13" i="15" a="1"/>
  <c r="R13" i="15" s="1"/>
  <c r="Q14" i="15" a="1"/>
  <c r="Q14" i="15" s="1"/>
  <c r="O15" i="15" a="1"/>
  <c r="O15" i="15" s="1"/>
  <c r="H16" i="15" a="1"/>
  <c r="H16" i="15" s="1"/>
  <c r="U16" i="15" a="1"/>
  <c r="U16" i="15" s="1"/>
  <c r="S17" i="15" a="1"/>
  <c r="S17" i="15" s="1"/>
  <c r="R18" i="15" a="1"/>
  <c r="R18" i="15" s="1"/>
  <c r="P19" i="15" a="1"/>
  <c r="P19" i="15" s="1"/>
  <c r="N20" i="15" a="1"/>
  <c r="N20" i="15" s="1"/>
  <c r="T21" i="15" a="1"/>
  <c r="T21" i="15" s="1"/>
  <c r="H25" i="15" a="1"/>
  <c r="H25" i="15" s="1"/>
  <c r="H61" i="15" a="1"/>
  <c r="H61" i="15" s="1"/>
  <c r="H72" i="15" a="1"/>
  <c r="H72" i="15" s="1"/>
  <c r="N7" i="15" a="1"/>
  <c r="N7" i="15" s="1"/>
  <c r="R9" i="15" a="1"/>
  <c r="R9" i="15" s="1"/>
  <c r="Q10" i="15" a="1"/>
  <c r="Q10" i="15" s="1"/>
  <c r="O11" i="15" a="1"/>
  <c r="O11" i="15" s="1"/>
  <c r="H12" i="15" a="1"/>
  <c r="H12" i="15" s="1"/>
  <c r="U12" i="15" a="1"/>
  <c r="U12" i="15" s="1"/>
  <c r="S13" i="15" a="1"/>
  <c r="S13" i="15" s="1"/>
  <c r="R14" i="15" a="1"/>
  <c r="R14" i="15" s="1"/>
  <c r="P15" i="15" a="1"/>
  <c r="P15" i="15" s="1"/>
  <c r="N16" i="15" a="1"/>
  <c r="N16" i="15" s="1"/>
  <c r="T17" i="15" a="1"/>
  <c r="T17" i="15" s="1"/>
  <c r="S18" i="15" a="1"/>
  <c r="S18" i="15" s="1"/>
  <c r="Q19" i="15" a="1"/>
  <c r="Q19" i="15" s="1"/>
  <c r="O20" i="15" a="1"/>
  <c r="O20" i="15" s="1"/>
  <c r="H21" i="15" a="1"/>
  <c r="H21" i="15" s="1"/>
  <c r="U21" i="15" a="1"/>
  <c r="U21" i="15" s="1"/>
  <c r="H44" i="15" a="1"/>
  <c r="H44" i="15" s="1"/>
  <c r="H52" i="15" a="1"/>
  <c r="H52" i="15" s="1"/>
  <c r="H73" i="15" a="1"/>
  <c r="H73" i="15" s="1"/>
  <c r="J69" i="15" l="1"/>
  <c r="I65" i="15"/>
  <c r="I41" i="15"/>
  <c r="I25" i="15"/>
  <c r="J77" i="15"/>
  <c r="I77" i="15"/>
  <c r="I81" i="15"/>
  <c r="Q25" i="15"/>
  <c r="J45" i="15"/>
  <c r="T23" i="15"/>
  <c r="J29" i="15"/>
  <c r="I29" i="15"/>
  <c r="S25" i="15"/>
  <c r="I21" i="15"/>
  <c r="J21" i="15"/>
  <c r="N25" i="15"/>
  <c r="N23" i="15"/>
  <c r="I73" i="15"/>
  <c r="I57" i="15"/>
  <c r="J25" i="15"/>
  <c r="T25" i="15"/>
  <c r="O23" i="15"/>
  <c r="O25" i="15"/>
  <c r="I49" i="15"/>
  <c r="J49" i="15"/>
  <c r="I53" i="15"/>
  <c r="J53" i="15"/>
  <c r="U25" i="15"/>
  <c r="I33" i="15"/>
  <c r="J33" i="15"/>
  <c r="J17" i="15"/>
  <c r="I17" i="15"/>
  <c r="I13" i="15"/>
  <c r="J13" i="15"/>
  <c r="I61" i="15"/>
  <c r="J61" i="15"/>
  <c r="I37" i="15"/>
  <c r="J37" i="15"/>
  <c r="J9" i="15"/>
  <c r="I9" i="15"/>
  <c r="R25" i="15"/>
  <c r="R23" i="15"/>
  <c r="J73" i="15"/>
  <c r="P23" i="15"/>
  <c r="P25" i="15"/>
  <c r="I5" i="15"/>
  <c r="J5" i="15"/>
  <c r="J81" i="15"/>
  <c r="J65" i="15"/>
  <c r="Q23" i="15"/>
  <c r="I69" i="15"/>
  <c r="I45" i="15"/>
  <c r="U23" i="15"/>
  <c r="J41" i="15"/>
  <c r="S23" i="15"/>
  <c r="J57" i="15"/>
  <c r="O28" i="15" l="1"/>
  <c r="S28" i="15"/>
  <c r="U28" i="15"/>
  <c r="L6" i="15" a="1"/>
  <c r="L6" i="15" s="1"/>
  <c r="L21" i="15" a="1"/>
  <c r="L21" i="15" s="1"/>
  <c r="L32" i="15" a="1"/>
  <c r="L32" i="15" s="1"/>
  <c r="L22" i="15" a="1"/>
  <c r="L22" i="15" s="1"/>
  <c r="L26" i="15" a="1"/>
  <c r="L26" i="15" s="1"/>
  <c r="L34" i="15" a="1"/>
  <c r="L34" i="15" s="1"/>
  <c r="L33" i="15" a="1"/>
  <c r="L33" i="15" s="1"/>
  <c r="L23" i="15" a="1"/>
  <c r="L23" i="15" s="1"/>
  <c r="L3" i="15" a="1"/>
  <c r="L3" i="15" s="1"/>
  <c r="L20" i="15" a="1"/>
  <c r="L20" i="15" s="1"/>
  <c r="L10" i="15" a="1"/>
  <c r="L10" i="15" s="1"/>
  <c r="L25" i="15" a="1"/>
  <c r="L25" i="15" s="1"/>
  <c r="L4" i="15" a="1"/>
  <c r="L4" i="15" s="1"/>
  <c r="L9" i="15" a="1"/>
  <c r="L9" i="15" s="1"/>
  <c r="L30" i="15" a="1"/>
  <c r="L30" i="15" s="1"/>
  <c r="L17" i="15" a="1"/>
  <c r="L17" i="15" s="1"/>
  <c r="L35" i="15" a="1"/>
  <c r="L35" i="15" s="1"/>
  <c r="L14" i="15" a="1"/>
  <c r="L14" i="15" s="1"/>
  <c r="L5" i="15" a="1"/>
  <c r="L5" i="15" s="1"/>
  <c r="L16" i="15" a="1"/>
  <c r="L16" i="15" s="1"/>
  <c r="L8" i="15" a="1"/>
  <c r="L8" i="15" s="1"/>
  <c r="L7" i="15" a="1"/>
  <c r="L7" i="15" s="1"/>
  <c r="L12" i="15" a="1"/>
  <c r="L12" i="15" s="1"/>
  <c r="L31" i="15" a="1"/>
  <c r="L31" i="15" s="1"/>
  <c r="L2" i="15" a="1"/>
  <c r="L2" i="15" s="1"/>
  <c r="L27" i="15" a="1"/>
  <c r="L27" i="15" s="1"/>
  <c r="L24" i="15" a="1"/>
  <c r="L24" i="15" s="1"/>
  <c r="L18" i="15" a="1"/>
  <c r="L18" i="15" s="1"/>
  <c r="L15" i="15" a="1"/>
  <c r="L15" i="15" s="1"/>
  <c r="L28" i="15" a="1"/>
  <c r="L28" i="15" s="1"/>
  <c r="L11" i="15" a="1"/>
  <c r="L11" i="15" s="1"/>
  <c r="L13" i="15" a="1"/>
  <c r="L13" i="15" s="1"/>
  <c r="L19" i="15" a="1"/>
  <c r="L19" i="15" s="1"/>
  <c r="L29" i="15" a="1"/>
  <c r="L29" i="15" s="1"/>
  <c r="K11" i="15" a="1"/>
  <c r="K11" i="15" s="1"/>
  <c r="K2" i="15" a="1"/>
  <c r="K2" i="15" s="1"/>
  <c r="K27" i="15" a="1"/>
  <c r="K27" i="15" s="1"/>
  <c r="K13" i="15" a="1"/>
  <c r="K13" i="15" s="1"/>
  <c r="K12" i="15" a="1"/>
  <c r="K12" i="15" s="1"/>
  <c r="K24" i="15" a="1"/>
  <c r="K24" i="15" s="1"/>
  <c r="K14" i="15" a="1"/>
  <c r="K14" i="15" s="1"/>
  <c r="K7" i="15" a="1"/>
  <c r="K7" i="15" s="1"/>
  <c r="K9" i="15" a="1"/>
  <c r="K9" i="15" s="1"/>
  <c r="K10" i="15" a="1"/>
  <c r="K10" i="15" s="1"/>
  <c r="K22" i="15" a="1"/>
  <c r="K22" i="15" s="1"/>
  <c r="K16" i="15" a="1"/>
  <c r="K16" i="15" s="1"/>
  <c r="K25" i="15" a="1"/>
  <c r="K25" i="15" s="1"/>
  <c r="K6" i="15" a="1"/>
  <c r="K6" i="15" s="1"/>
  <c r="K5" i="15" a="1"/>
  <c r="K5" i="15" s="1"/>
  <c r="K15" i="15" a="1"/>
  <c r="K15" i="15" s="1"/>
  <c r="K8" i="15" a="1"/>
  <c r="K8" i="15" s="1"/>
  <c r="K23" i="15" a="1"/>
  <c r="K23" i="15" s="1"/>
  <c r="K19" i="15" a="1"/>
  <c r="K19" i="15" s="1"/>
  <c r="K21" i="15" a="1"/>
  <c r="K21" i="15" s="1"/>
  <c r="K18" i="15" a="1"/>
  <c r="K18" i="15" s="1"/>
  <c r="K26" i="15" a="1"/>
  <c r="K26" i="15" s="1"/>
  <c r="K4" i="15" a="1"/>
  <c r="K4" i="15" s="1"/>
  <c r="K17" i="15" a="1"/>
  <c r="K17" i="15" s="1"/>
  <c r="K20" i="15" a="1"/>
  <c r="K20" i="15" s="1"/>
  <c r="K3" i="15" a="1"/>
  <c r="K3" i="15" s="1"/>
  <c r="R28" i="15"/>
  <c r="P28" i="15"/>
  <c r="Q28" i="15"/>
</calcChain>
</file>

<file path=xl/sharedStrings.xml><?xml version="1.0" encoding="utf-8"?>
<sst xmlns="http://schemas.openxmlformats.org/spreadsheetml/2006/main" count="751" uniqueCount="96">
  <si>
    <t>Treatment</t>
  </si>
  <si>
    <t>Dilution</t>
  </si>
  <si>
    <t>10^-4</t>
  </si>
  <si>
    <t>10^-5</t>
  </si>
  <si>
    <t>10^-3</t>
  </si>
  <si>
    <t>Technical Replicate 1</t>
  </si>
  <si>
    <t>Technical Replicate 2</t>
  </si>
  <si>
    <t>Biological Replicate</t>
  </si>
  <si>
    <t>CFU/ld</t>
  </si>
  <si>
    <t>Stdev</t>
  </si>
  <si>
    <t>Good Reps</t>
  </si>
  <si>
    <t>Plant 1</t>
  </si>
  <si>
    <t>Plant 2</t>
  </si>
  <si>
    <t>Plant 3</t>
  </si>
  <si>
    <t>Plant 4</t>
  </si>
  <si>
    <t>Plant 5</t>
  </si>
  <si>
    <t>Plant 6</t>
  </si>
  <si>
    <t>Plant 7</t>
  </si>
  <si>
    <t>Plant 8</t>
  </si>
  <si>
    <t>Plant 9</t>
  </si>
  <si>
    <t>Plant 10</t>
  </si>
  <si>
    <t>Plant 11</t>
  </si>
  <si>
    <t>Plant 12</t>
  </si>
  <si>
    <t>Plant 13</t>
  </si>
  <si>
    <t>Plant 14</t>
  </si>
  <si>
    <t>Plant 15</t>
  </si>
  <si>
    <t>Plant 16</t>
  </si>
  <si>
    <t>Plant 17</t>
  </si>
  <si>
    <t>Plant 18</t>
  </si>
  <si>
    <t>Plant 19</t>
  </si>
  <si>
    <t>Plant 20</t>
  </si>
  <si>
    <t>Plants</t>
  </si>
  <si>
    <t>Averages</t>
  </si>
  <si>
    <t>Averages Cut</t>
  </si>
  <si>
    <t>Stdev Cut</t>
  </si>
  <si>
    <t>AVG T1</t>
  </si>
  <si>
    <t>AVG T2</t>
  </si>
  <si>
    <t>AVGT3</t>
  </si>
  <si>
    <t>AVG T4</t>
  </si>
  <si>
    <t>AVG T5</t>
  </si>
  <si>
    <t>AVG T6</t>
  </si>
  <si>
    <t>AVG T7</t>
  </si>
  <si>
    <t>AVG T8</t>
  </si>
  <si>
    <t>STDEV T1</t>
  </si>
  <si>
    <t>STDEV T2</t>
  </si>
  <si>
    <t>STDEV T3</t>
  </si>
  <si>
    <t>STDEV T4</t>
  </si>
  <si>
    <t>STDEV T5</t>
  </si>
  <si>
    <t>STDEV T6</t>
  </si>
  <si>
    <t>STDEV T8</t>
  </si>
  <si>
    <t>STDEV T7</t>
  </si>
  <si>
    <t>Plant lower</t>
  </si>
  <si>
    <t>Plant higher</t>
  </si>
  <si>
    <t>10^-2</t>
  </si>
  <si>
    <t>Y.Col</t>
  </si>
  <si>
    <t>M.Col</t>
  </si>
  <si>
    <t>Y.ald</t>
  </si>
  <si>
    <t>M.ald</t>
  </si>
  <si>
    <t>Y.bak1-3</t>
  </si>
  <si>
    <t>M.bak1-3</t>
  </si>
  <si>
    <t>Y.hsfb1</t>
  </si>
  <si>
    <t>M.hsfb1</t>
  </si>
  <si>
    <t>TNTC</t>
  </si>
  <si>
    <t>tftc</t>
  </si>
  <si>
    <t>tntc</t>
  </si>
  <si>
    <t>Col-0 3 wpg</t>
  </si>
  <si>
    <t>Col-0 4 wpg</t>
  </si>
  <si>
    <t>Col-0 5 wpg</t>
  </si>
  <si>
    <t>Col-0 7 wpg</t>
  </si>
  <si>
    <t>Col-0 6 wph</t>
  </si>
  <si>
    <t>~115</t>
  </si>
  <si>
    <t>~180</t>
  </si>
  <si>
    <t>tbtc</t>
  </si>
  <si>
    <t>3W_1</t>
  </si>
  <si>
    <t>3W_2</t>
  </si>
  <si>
    <t>4W_1</t>
  </si>
  <si>
    <t>4W_2</t>
  </si>
  <si>
    <t>4W_3</t>
  </si>
  <si>
    <t>5W_1</t>
  </si>
  <si>
    <t>5W_2</t>
  </si>
  <si>
    <t>5W_3</t>
  </si>
  <si>
    <t>6W_1</t>
  </si>
  <si>
    <t>6W_2</t>
  </si>
  <si>
    <t>6W_3</t>
  </si>
  <si>
    <t>7W_1</t>
  </si>
  <si>
    <t>7W_2</t>
  </si>
  <si>
    <t>7W_3</t>
  </si>
  <si>
    <t>3W_3</t>
  </si>
  <si>
    <t>WKEX-22-2</t>
  </si>
  <si>
    <t>WKEX-22-3</t>
  </si>
  <si>
    <t>experiment</t>
  </si>
  <si>
    <t>sample</t>
  </si>
  <si>
    <t>cfu</t>
  </si>
  <si>
    <t>Fridge</t>
  </si>
  <si>
    <t>Bench</t>
  </si>
  <si>
    <t>WKEX-23-2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</si>
</sst>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49" fontId="2" fillId="0" borderId="1" xfId="0" applyNumberFormat="1" applyFont="1" applyBorder="1" applyAlignment="1">
      <alignment wrapText="1"/>
    </xf>
    <xf numFmtId="1" fontId="2" fillId="0" borderId="9" xfId="0" applyNumberFormat="1" applyFont="1" applyBorder="1" applyAlignment="1">
      <alignment horizontal="center" wrapText="1"/>
    </xf>
    <xf numFmtId="1" fontId="2" fillId="0" borderId="2" xfId="0" applyNumberFormat="1" applyFont="1" applyBorder="1"/>
    <xf numFmtId="11" fontId="2" fillId="0" borderId="11" xfId="0" applyNumberFormat="1" applyFont="1" applyBorder="1"/>
    <xf numFmtId="11" fontId="3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3" xfId="0" applyNumberFormat="1" applyFont="1" applyBorder="1"/>
    <xf numFmtId="11" fontId="3" fillId="0" borderId="5" xfId="0" applyNumberFormat="1" applyFont="1" applyBorder="1"/>
    <xf numFmtId="11" fontId="3" fillId="0" borderId="17" xfId="0" applyNumberFormat="1" applyFont="1" applyBorder="1"/>
    <xf numFmtId="1" fontId="3" fillId="0" borderId="4" xfId="0" applyNumberFormat="1" applyFont="1" applyBorder="1"/>
    <xf numFmtId="1" fontId="3" fillId="0" borderId="16" xfId="0" applyNumberFormat="1" applyFont="1" applyBorder="1"/>
    <xf numFmtId="11" fontId="3" fillId="0" borderId="5" xfId="0" applyNumberFormat="1" applyFont="1" applyBorder="1" applyAlignment="1">
      <alignment horizontal="center" wrapText="1"/>
    </xf>
    <xf numFmtId="11" fontId="3" fillId="0" borderId="5" xfId="0" applyNumberFormat="1" applyFont="1" applyBorder="1" applyAlignment="1">
      <alignment wrapText="1"/>
    </xf>
    <xf numFmtId="0" fontId="4" fillId="0" borderId="8" xfId="0" applyFont="1" applyBorder="1" applyAlignment="1">
      <alignment horizontal="center"/>
    </xf>
    <xf numFmtId="0" fontId="3" fillId="0" borderId="7" xfId="0" applyFont="1" applyBorder="1"/>
    <xf numFmtId="1" fontId="3" fillId="4" borderId="3" xfId="0" applyNumberFormat="1" applyFont="1" applyFill="1" applyBorder="1"/>
    <xf numFmtId="1" fontId="3" fillId="4" borderId="4" xfId="0" applyNumberFormat="1" applyFont="1" applyFill="1" applyBorder="1"/>
    <xf numFmtId="1" fontId="3" fillId="4" borderId="16" xfId="0" applyNumberFormat="1" applyFont="1" applyFill="1" applyBorder="1"/>
    <xf numFmtId="1" fontId="3" fillId="3" borderId="3" xfId="0" applyNumberFormat="1" applyFont="1" applyFill="1" applyBorder="1"/>
    <xf numFmtId="11" fontId="3" fillId="0" borderId="0" xfId="0" applyNumberFormat="1" applyFont="1" applyAlignment="1">
      <alignment wrapText="1"/>
    </xf>
    <xf numFmtId="11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horizontal="center" wrapText="1"/>
    </xf>
    <xf numFmtId="1" fontId="3" fillId="0" borderId="0" xfId="0" applyNumberFormat="1" applyFont="1"/>
    <xf numFmtId="11" fontId="2" fillId="0" borderId="0" xfId="0" applyNumberFormat="1" applyFont="1"/>
    <xf numFmtId="0" fontId="2" fillId="0" borderId="17" xfId="0" applyFont="1" applyBorder="1"/>
    <xf numFmtId="0" fontId="3" fillId="0" borderId="19" xfId="0" applyFont="1" applyBorder="1"/>
    <xf numFmtId="0" fontId="3" fillId="0" borderId="4" xfId="0" applyFont="1" applyBorder="1"/>
    <xf numFmtId="1" fontId="3" fillId="0" borderId="22" xfId="0" applyNumberFormat="1" applyFont="1" applyBorder="1"/>
    <xf numFmtId="11" fontId="3" fillId="2" borderId="23" xfId="0" applyNumberFormat="1" applyFont="1" applyFill="1" applyBorder="1"/>
    <xf numFmtId="11" fontId="3" fillId="2" borderId="25" xfId="0" applyNumberFormat="1" applyFont="1" applyFill="1" applyBorder="1"/>
    <xf numFmtId="11" fontId="3" fillId="2" borderId="26" xfId="0" applyNumberFormat="1" applyFont="1" applyFill="1" applyBorder="1"/>
    <xf numFmtId="11" fontId="3" fillId="2" borderId="27" xfId="0" applyNumberFormat="1" applyFont="1" applyFill="1" applyBorder="1"/>
    <xf numFmtId="1" fontId="3" fillId="0" borderId="30" xfId="0" applyNumberFormat="1" applyFont="1" applyBorder="1"/>
    <xf numFmtId="11" fontId="3" fillId="2" borderId="31" xfId="0" applyNumberFormat="1" applyFont="1" applyFill="1" applyBorder="1"/>
    <xf numFmtId="1" fontId="3" fillId="3" borderId="22" xfId="0" applyNumberFormat="1" applyFont="1" applyFill="1" applyBorder="1"/>
    <xf numFmtId="11" fontId="0" fillId="0" borderId="18" xfId="0" quotePrefix="1" applyNumberFormat="1" applyBorder="1"/>
    <xf numFmtId="11" fontId="3" fillId="0" borderId="18" xfId="0" quotePrefix="1" applyNumberFormat="1" applyFont="1" applyBorder="1"/>
    <xf numFmtId="11" fontId="3" fillId="0" borderId="18" xfId="0" applyNumberFormat="1" applyFont="1" applyBorder="1" applyAlignment="1">
      <alignment wrapText="1"/>
    </xf>
    <xf numFmtId="11" fontId="3" fillId="0" borderId="5" xfId="0" quotePrefix="1" applyNumberFormat="1" applyFont="1" applyBorder="1"/>
    <xf numFmtId="11" fontId="3" fillId="0" borderId="6" xfId="0" applyNumberFormat="1" applyFont="1" applyBorder="1" applyAlignment="1">
      <alignment wrapText="1"/>
    </xf>
    <xf numFmtId="11" fontId="3" fillId="0" borderId="32" xfId="0" applyNumberFormat="1" applyFont="1" applyBorder="1"/>
    <xf numFmtId="11" fontId="3" fillId="0" borderId="7" xfId="0" applyNumberFormat="1" applyFont="1" applyBorder="1"/>
    <xf numFmtId="11" fontId="1" fillId="0" borderId="0" xfId="0" applyNumberFormat="1" applyFont="1"/>
    <xf numFmtId="11" fontId="1" fillId="0" borderId="5" xfId="0" applyNumberFormat="1" applyFont="1" applyBorder="1"/>
    <xf numFmtId="11" fontId="1" fillId="0" borderId="17" xfId="0" applyNumberFormat="1" applyFont="1" applyBorder="1"/>
    <xf numFmtId="11" fontId="1" fillId="0" borderId="0" xfId="0" applyNumberFormat="1" applyFont="1" applyAlignment="1">
      <alignment wrapText="1"/>
    </xf>
    <xf numFmtId="11" fontId="4" fillId="0" borderId="8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wrapText="1"/>
    </xf>
    <xf numFmtId="49" fontId="3" fillId="0" borderId="24" xfId="0" applyNumberFormat="1" applyFont="1" applyBorder="1" applyAlignment="1">
      <alignment wrapText="1"/>
    </xf>
    <xf numFmtId="49" fontId="3" fillId="0" borderId="28" xfId="0" applyNumberFormat="1" applyFont="1" applyBorder="1" applyAlignment="1">
      <alignment wrapText="1"/>
    </xf>
    <xf numFmtId="1" fontId="3" fillId="0" borderId="21" xfId="0" applyNumberFormat="1" applyFont="1" applyBorder="1" applyAlignment="1">
      <alignment wrapText="1"/>
    </xf>
    <xf numFmtId="1" fontId="3" fillId="0" borderId="14" xfId="0" applyNumberFormat="1" applyFont="1" applyBorder="1" applyAlignment="1">
      <alignment wrapText="1"/>
    </xf>
    <xf numFmtId="1" fontId="3" fillId="0" borderId="15" xfId="0" applyNumberFormat="1" applyFont="1" applyBorder="1" applyAlignment="1">
      <alignment wrapText="1"/>
    </xf>
    <xf numFmtId="1" fontId="3" fillId="0" borderId="13" xfId="0" applyNumberFormat="1" applyFont="1" applyBorder="1" applyAlignment="1">
      <alignment wrapText="1"/>
    </xf>
    <xf numFmtId="1" fontId="3" fillId="0" borderId="29" xfId="0" applyNumberFormat="1" applyFont="1" applyBorder="1" applyAlignment="1">
      <alignment wrapText="1"/>
    </xf>
    <xf numFmtId="1" fontId="0" fillId="0" borderId="22" xfId="0" applyNumberFormat="1" applyBorder="1"/>
    <xf numFmtId="1" fontId="0" fillId="0" borderId="3" xfId="0" applyNumberFormat="1" applyBorder="1"/>
    <xf numFmtId="0" fontId="3" fillId="0" borderId="0" xfId="0" applyFont="1" applyAlignment="1">
      <alignment wrapText="1"/>
    </xf>
    <xf numFmtId="0" fontId="3" fillId="0" borderId="5" xfId="0" applyFont="1" applyBorder="1"/>
    <xf numFmtId="0" fontId="3" fillId="0" borderId="17" xfId="0" applyFont="1" applyBorder="1"/>
    <xf numFmtId="0" fontId="0" fillId="0" borderId="0" xfId="0" quotePrefix="1"/>
    <xf numFmtId="0" fontId="3" fillId="0" borderId="5" xfId="0" quotePrefix="1" applyFont="1" applyBorder="1"/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11" fontId="5" fillId="2" borderId="23" xfId="0" applyNumberFormat="1" applyFont="1" applyFill="1" applyBorder="1"/>
    <xf numFmtId="11" fontId="5" fillId="2" borderId="25" xfId="0" applyNumberFormat="1" applyFont="1" applyFill="1" applyBorder="1"/>
    <xf numFmtId="11" fontId="5" fillId="2" borderId="26" xfId="0" applyNumberFormat="1" applyFont="1" applyFill="1" applyBorder="1"/>
    <xf numFmtId="0" fontId="0" fillId="0" borderId="5" xfId="0" quotePrefix="1" applyBorder="1"/>
    <xf numFmtId="1" fontId="5" fillId="0" borderId="4" xfId="0" applyNumberFormat="1" applyFont="1" applyBorder="1"/>
    <xf numFmtId="11" fontId="6" fillId="2" borderId="23" xfId="0" applyNumberFormat="1" applyFont="1" applyFill="1" applyBorder="1"/>
    <xf numFmtId="11" fontId="6" fillId="2" borderId="25" xfId="0" applyNumberFormat="1" applyFont="1" applyFill="1" applyBorder="1"/>
    <xf numFmtId="11" fontId="6" fillId="2" borderId="26" xfId="0" applyNumberFormat="1" applyFont="1" applyFill="1" applyBorder="1"/>
    <xf numFmtId="1" fontId="6" fillId="0" borderId="22" xfId="0" applyNumberFormat="1" applyFont="1" applyBorder="1"/>
    <xf numFmtId="1" fontId="6" fillId="0" borderId="4" xfId="0" applyNumberFormat="1" applyFont="1" applyBorder="1"/>
    <xf numFmtId="1" fontId="6" fillId="0" borderId="16" xfId="0" applyNumberFormat="1" applyFont="1" applyBorder="1"/>
    <xf numFmtId="1" fontId="6" fillId="0" borderId="3" xfId="0" applyNumberFormat="1" applyFont="1" applyBorder="1"/>
    <xf numFmtId="1" fontId="6" fillId="0" borderId="30" xfId="0" applyNumberFormat="1" applyFont="1" applyBorder="1"/>
    <xf numFmtId="49" fontId="0" fillId="0" borderId="20" xfId="0" applyNumberFormat="1" applyBorder="1" applyAlignment="1">
      <alignment horizontal="center" wrapText="1"/>
    </xf>
    <xf numFmtId="49" fontId="3" fillId="0" borderId="24" xfId="0" applyNumberFormat="1" applyFont="1" applyBorder="1" applyAlignment="1">
      <alignment horizontal="center" wrapText="1"/>
    </xf>
    <xf numFmtId="49" fontId="3" fillId="0" borderId="28" xfId="0" applyNumberFormat="1" applyFont="1" applyBorder="1" applyAlignment="1">
      <alignment horizontal="center" wrapText="1"/>
    </xf>
    <xf numFmtId="1" fontId="3" fillId="0" borderId="21" xfId="0" applyNumberFormat="1" applyFont="1" applyBorder="1" applyAlignment="1">
      <alignment horizontal="center" wrapText="1"/>
    </xf>
    <xf numFmtId="1" fontId="3" fillId="0" borderId="14" xfId="0" applyNumberFormat="1" applyFont="1" applyBorder="1" applyAlignment="1">
      <alignment horizontal="center" wrapText="1"/>
    </xf>
    <xf numFmtId="1" fontId="3" fillId="0" borderId="15" xfId="0" applyNumberFormat="1" applyFont="1" applyBorder="1" applyAlignment="1">
      <alignment horizontal="center" wrapText="1"/>
    </xf>
    <xf numFmtId="1" fontId="3" fillId="0" borderId="13" xfId="0" applyNumberFormat="1" applyFont="1" applyBorder="1" applyAlignment="1">
      <alignment horizontal="center" wrapText="1"/>
    </xf>
    <xf numFmtId="1" fontId="3" fillId="0" borderId="29" xfId="0" applyNumberFormat="1" applyFont="1" applyBorder="1" applyAlignment="1">
      <alignment horizontal="center" wrapText="1"/>
    </xf>
    <xf numFmtId="49" fontId="3" fillId="0" borderId="20" xfId="0" applyNumberFormat="1" applyFont="1" applyBorder="1" applyAlignment="1">
      <alignment horizontal="center" wrapText="1"/>
    </xf>
    <xf numFmtId="1" fontId="3" fillId="0" borderId="34" xfId="0" applyNumberFormat="1" applyFont="1" applyBorder="1" applyAlignment="1">
      <alignment horizontal="center" wrapText="1"/>
    </xf>
    <xf numFmtId="1" fontId="3" fillId="0" borderId="12" xfId="0" applyNumberFormat="1" applyFont="1" applyBorder="1" applyAlignment="1">
      <alignment horizontal="center" wrapText="1"/>
    </xf>
    <xf numFmtId="1" fontId="3" fillId="0" borderId="10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1" fontId="3" fillId="0" borderId="3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81734383202099725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36-4EFF-9B79-A0B9946B94DA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36-4EFF-9B79-A0B9946B94DA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Test!$N$25:$R$25</c15:sqref>
                    </c15:fullRef>
                  </c:ext>
                </c:extLst>
                <c:f>Test!$N$25:$O$25</c:f>
                <c:numCache>
                  <c:formatCode>General</c:formatCode>
                  <c:ptCount val="2"/>
                  <c:pt idx="0">
                    <c:v>2953634.7664078805</c:v>
                  </c:pt>
                  <c:pt idx="1">
                    <c:v>3125000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Test!$N$25:$R$25</c15:sqref>
                    </c15:fullRef>
                  </c:ext>
                </c:extLst>
                <c:f>Test!$N$25:$O$25</c:f>
                <c:numCache>
                  <c:formatCode>General</c:formatCode>
                  <c:ptCount val="2"/>
                  <c:pt idx="0">
                    <c:v>2953634.7664078805</c:v>
                  </c:pt>
                  <c:pt idx="1">
                    <c:v>3125000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Test!$L$42:$L$43</c15:sqref>
                  </c15:fullRef>
                </c:ext>
              </c:extLst>
              <c:f>Test!$L$42:$L$43</c:f>
              <c:strCache>
                <c:ptCount val="2"/>
                <c:pt idx="0">
                  <c:v>Bench</c:v>
                </c:pt>
                <c:pt idx="1">
                  <c:v>Fridge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Test!$N$23:$R$23</c15:sqref>
                  </c15:fullRef>
                </c:ext>
              </c:extLst>
              <c:f>Test!$N$23:$O$23</c:f>
              <c:numCache>
                <c:formatCode>0.00E+00</c:formatCode>
                <c:ptCount val="2"/>
                <c:pt idx="0">
                  <c:v>28333333.333333332</c:v>
                </c:pt>
                <c:pt idx="1">
                  <c:v>32500000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Test!$Q$23</c15:sqref>
                  <c15:spPr xmlns:c15="http://schemas.microsoft.com/office/drawing/2012/chart">
                    <a:pattFill prst="ltHorz">
                      <a:fgClr>
                        <a:schemeClr val="tx1"/>
                      </a:fgClr>
                      <a:bgClr>
                        <a:schemeClr val="bg1"/>
                      </a:bgClr>
                    </a:pattFill>
                    <a:ln w="15875">
                      <a:solidFill>
                        <a:schemeClr val="tx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Test!$R$23</c15:sqref>
                  <c15:spPr xmlns:c15="http://schemas.microsoft.com/office/drawing/2012/chart">
                    <a:pattFill prst="pct5">
                      <a:fgClr>
                        <a:schemeClr val="tx1"/>
                      </a:fgClr>
                      <a:bgClr>
                        <a:schemeClr val="bg1"/>
                      </a:bgClr>
                    </a:pattFill>
                    <a:ln w="15875">
                      <a:solidFill>
                        <a:schemeClr val="tx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A936-4EFF-9B79-A0B9946B9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C8-413F-995A-D77E1B5A872C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C8-413F-995A-D77E1B5A872C}"/>
              </c:ext>
            </c:extLst>
          </c:dPt>
          <c:dPt>
            <c:idx val="3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4C8-413F-995A-D77E1B5A872C}"/>
              </c:ext>
            </c:extLst>
          </c:dPt>
          <c:dPt>
            <c:idx val="4"/>
            <c:invertIfNegative val="0"/>
            <c:bubble3D val="0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37-45C4-AE5E-B2CC3CE415E0}"/>
              </c:ext>
            </c:extLst>
          </c:dPt>
          <c:errBars>
            <c:errBarType val="both"/>
            <c:errValType val="cust"/>
            <c:noEndCap val="0"/>
            <c:plus>
              <c:numRef>
                <c:f>'PIPEX-22-1'!$N$25:$R$25</c:f>
                <c:numCache>
                  <c:formatCode>General</c:formatCode>
                  <c:ptCount val="5"/>
                  <c:pt idx="0">
                    <c:v>827873.26908160548</c:v>
                  </c:pt>
                  <c:pt idx="1">
                    <c:v>2850666.9541237778</c:v>
                  </c:pt>
                  <c:pt idx="2">
                    <c:v>833572.88223646046</c:v>
                  </c:pt>
                  <c:pt idx="3">
                    <c:v>821068.59995577345</c:v>
                  </c:pt>
                  <c:pt idx="4">
                    <c:v>359379.52895696962</c:v>
                  </c:pt>
                </c:numCache>
              </c:numRef>
            </c:plus>
            <c:minus>
              <c:numRef>
                <c:f>'PIPEX-22-1'!$N$25:$R$25</c:f>
                <c:numCache>
                  <c:formatCode>General</c:formatCode>
                  <c:ptCount val="5"/>
                  <c:pt idx="0">
                    <c:v>827873.26908160548</c:v>
                  </c:pt>
                  <c:pt idx="1">
                    <c:v>2850666.9541237778</c:v>
                  </c:pt>
                  <c:pt idx="2">
                    <c:v>833572.88223646046</c:v>
                  </c:pt>
                  <c:pt idx="3">
                    <c:v>821068.59995577345</c:v>
                  </c:pt>
                  <c:pt idx="4">
                    <c:v>359379.52895696962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'PIPEX-22-1'!$M$22:$M$26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cat>
          <c:val>
            <c:numRef>
              <c:f>'PIPEX-22-1'!$N$23:$R$23</c:f>
              <c:numCache>
                <c:formatCode>0.00E+00</c:formatCode>
                <c:ptCount val="5"/>
                <c:pt idx="0">
                  <c:v>23523809.523809522</c:v>
                </c:pt>
                <c:pt idx="1">
                  <c:v>5791666.666666667</c:v>
                </c:pt>
                <c:pt idx="2">
                  <c:v>4537500</c:v>
                </c:pt>
                <c:pt idx="3">
                  <c:v>2439583.3333333335</c:v>
                </c:pt>
                <c:pt idx="4">
                  <c:v>845833.33333333337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C8-413F-995A-D77E1B5A8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81734383202099725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5875">
                <a:solidFill>
                  <a:schemeClr val="tx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26-4BB5-8905-658E4EA2E5BE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F96-413D-819C-64BB4917D9BC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26-4BB5-8905-658E4EA2E5BE}"/>
              </c:ext>
            </c:extLst>
          </c:dPt>
          <c:dPt>
            <c:idx val="3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26-4BB5-8905-658E4EA2E5BE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'PIPEX-22-2 (WKEX-22-2)'!$N$25:$R$25</c15:sqref>
                    </c15:fullRef>
                  </c:ext>
                </c:extLst>
                <c:f>'PIPEX-22-2 (WKEX-22-2)'!$O$25:$R$25</c:f>
                <c:numCache>
                  <c:formatCode>General</c:formatCode>
                  <c:ptCount val="4"/>
                  <c:pt idx="0">
                    <c:v>848558.82726734586</c:v>
                  </c:pt>
                  <c:pt idx="1">
                    <c:v>450693.90943299868</c:v>
                  </c:pt>
                  <c:pt idx="2">
                    <c:v>183179.38612191056</c:v>
                  </c:pt>
                  <c:pt idx="3">
                    <c:v>21875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'PIPEX-22-2 (WKEX-22-2)'!$N$25:$R$25</c15:sqref>
                    </c15:fullRef>
                  </c:ext>
                </c:extLst>
                <c:f>'PIPEX-22-2 (WKEX-22-2)'!$O$25:$R$25</c:f>
                <c:numCache>
                  <c:formatCode>General</c:formatCode>
                  <c:ptCount val="4"/>
                  <c:pt idx="0">
                    <c:v>848558.82726734586</c:v>
                  </c:pt>
                  <c:pt idx="1">
                    <c:v>450693.90943299868</c:v>
                  </c:pt>
                  <c:pt idx="2">
                    <c:v>183179.38612191056</c:v>
                  </c:pt>
                  <c:pt idx="3">
                    <c:v>21875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'PIPEX-22-2 (WKEX-22-2)'!$M$22:$M$26</c15:sqref>
                  </c15:fullRef>
                </c:ext>
              </c:extLst>
              <c:f>'PIPEX-22-2 (WKEX-22-2)'!$M$23:$M$26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'PIPEX-22-2 (WKEX-22-2)'!$N$23:$R$23</c15:sqref>
                  </c15:fullRef>
                </c:ext>
              </c:extLst>
              <c:f>'PIPEX-22-2 (WKEX-22-2)'!$O$23:$R$23</c:f>
              <c:numCache>
                <c:formatCode>0.00E+00</c:formatCode>
                <c:ptCount val="4"/>
                <c:pt idx="0">
                  <c:v>10833333.333333334</c:v>
                </c:pt>
                <c:pt idx="1">
                  <c:v>2125000</c:v>
                </c:pt>
                <c:pt idx="2">
                  <c:v>1168750</c:v>
                </c:pt>
                <c:pt idx="3">
                  <c:v>85000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'PIPEX-22-2 (WKEX-22-2)'!$N$23</c15:sqref>
                  <c15:spPr xmlns:c15="http://schemas.microsoft.com/office/drawing/2012/chart">
                    <a:solidFill>
                      <a:schemeClr val="tx1">
                        <a:lumMod val="75000"/>
                        <a:lumOff val="25000"/>
                      </a:schemeClr>
                    </a:solidFill>
                    <a:ln w="15875">
                      <a:solidFill>
                        <a:schemeClr val="tx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6E26-4BB5-8905-658E4EA2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81734383202099725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AB2-4141-AC78-5810B45D52CB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B2-4141-AC78-5810B45D52CB}"/>
              </c:ext>
            </c:extLst>
          </c:dPt>
          <c:dPt>
            <c:idx val="3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B2-4141-AC78-5810B45D52CB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'WKEX-22-3'!$N$25:$R$25</c15:sqref>
                    </c15:fullRef>
                  </c:ext>
                </c:extLst>
                <c:f>'WKEX-22-3'!$N$25:$Q$25</c:f>
                <c:numCache>
                  <c:formatCode>General</c:formatCode>
                  <c:ptCount val="4"/>
                  <c:pt idx="0">
                    <c:v>5687271.0576631837</c:v>
                  </c:pt>
                  <c:pt idx="1">
                    <c:v>1393810.7236398119</c:v>
                  </c:pt>
                  <c:pt idx="2">
                    <c:v>1154700.5383792527</c:v>
                  </c:pt>
                  <c:pt idx="3">
                    <c:v>4254.2870534712793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'WKEX-22-3'!$N$25:$R$25</c15:sqref>
                    </c15:fullRef>
                  </c:ext>
                </c:extLst>
                <c:f>'WKEX-22-3'!$N$25:$Q$25</c:f>
                <c:numCache>
                  <c:formatCode>General</c:formatCode>
                  <c:ptCount val="4"/>
                  <c:pt idx="0">
                    <c:v>5687271.0576631837</c:v>
                  </c:pt>
                  <c:pt idx="1">
                    <c:v>1393810.7236398119</c:v>
                  </c:pt>
                  <c:pt idx="2">
                    <c:v>1154700.5383792527</c:v>
                  </c:pt>
                  <c:pt idx="3">
                    <c:v>4254.2870534712793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'WKEX-22-3'!$M$22:$M$26</c15:sqref>
                  </c15:fullRef>
                </c:ext>
              </c:extLst>
              <c:f>'WKEX-22-3'!$M$22:$M$25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'WKEX-22-3'!$N$23:$R$23</c15:sqref>
                  </c15:fullRef>
                </c:ext>
              </c:extLst>
              <c:f>'WKEX-22-3'!$N$23:$Q$23</c:f>
              <c:numCache>
                <c:formatCode>0.00E+00</c:formatCode>
                <c:ptCount val="4"/>
                <c:pt idx="0">
                  <c:v>16583333.333333334</c:v>
                </c:pt>
                <c:pt idx="1">
                  <c:v>6833333.333333333</c:v>
                </c:pt>
                <c:pt idx="2">
                  <c:v>6583333.333333333</c:v>
                </c:pt>
                <c:pt idx="3">
                  <c:v>67291.666666666672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'WKEX-22-3'!$R$23</c15:sqref>
                  <c15:spPr xmlns:c15="http://schemas.microsoft.com/office/drawing/2012/chart">
                    <a:pattFill prst="pct5">
                      <a:fgClr>
                        <a:schemeClr val="tx1"/>
                      </a:fgClr>
                      <a:bgClr>
                        <a:schemeClr val="bg1"/>
                      </a:bgClr>
                    </a:pattFill>
                    <a:ln w="15875">
                      <a:solidFill>
                        <a:schemeClr val="tx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2AB2-4141-AC78-5810B45D5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81734383202099725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80-4A3C-A229-75600576D0E4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80-4A3C-A229-75600576D0E4}"/>
              </c:ext>
            </c:extLst>
          </c:dPt>
          <c:dPt>
            <c:idx val="3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80-4A3C-A229-75600576D0E4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'WKEX-23-1'!$N$25:$R$25</c15:sqref>
                    </c15:fullRef>
                  </c:ext>
                </c:extLst>
                <c:f>'WKEX-23-1'!$N$25:$Q$25</c:f>
                <c:numCache>
                  <c:formatCode>General</c:formatCode>
                  <c:ptCount val="4"/>
                  <c:pt idx="0">
                    <c:v>1254678.7437427957</c:v>
                  </c:pt>
                  <c:pt idx="1">
                    <c:v>757772.22831138386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'WKEX-23-1'!$N$25:$R$25</c15:sqref>
                    </c15:fullRef>
                  </c:ext>
                </c:extLst>
                <c:f>'WKEX-23-1'!$N$25:$Q$25</c:f>
                <c:numCache>
                  <c:formatCode>General</c:formatCode>
                  <c:ptCount val="4"/>
                  <c:pt idx="0">
                    <c:v>1254678.7437427957</c:v>
                  </c:pt>
                  <c:pt idx="1">
                    <c:v>757772.22831138386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'WKEX-23-1'!$M$22:$M$26</c15:sqref>
                  </c15:fullRef>
                </c:ext>
              </c:extLst>
              <c:f>'WKEX-23-1'!$M$22:$M$25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'WKEX-23-1'!$N$23:$R$23</c15:sqref>
                  </c15:fullRef>
                </c:ext>
              </c:extLst>
              <c:f>'WKEX-23-1'!$N$23:$Q$23</c:f>
              <c:numCache>
                <c:formatCode>0.00E+00</c:formatCode>
                <c:ptCount val="4"/>
                <c:pt idx="0">
                  <c:v>5812500</c:v>
                </c:pt>
                <c:pt idx="1">
                  <c:v>2500000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'WKEX-23-1'!$R$23</c15:sqref>
                  <c15:spPr xmlns:c15="http://schemas.microsoft.com/office/drawing/2012/chart">
                    <a:pattFill prst="pct5">
                      <a:fgClr>
                        <a:schemeClr val="tx1"/>
                      </a:fgClr>
                      <a:bgClr>
                        <a:schemeClr val="bg1"/>
                      </a:bgClr>
                    </a:pattFill>
                    <a:ln w="15875">
                      <a:solidFill>
                        <a:schemeClr val="tx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D380-4A3C-A229-75600576D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81734383202099725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CB-49B0-A08C-825C73241DCC}"/>
              </c:ext>
            </c:extLst>
          </c:dPt>
          <c:dPt>
            <c:idx val="1"/>
            <c:invertIfNegative val="0"/>
            <c:bubble3D val="0"/>
            <c:spPr>
              <a:pattFill prst="wdUpDiag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CB-49B0-A08C-825C73241DCC}"/>
              </c:ext>
            </c:extLst>
          </c:dPt>
          <c:dPt>
            <c:idx val="3"/>
            <c:invertIfNegative val="0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CB-49B0-A08C-825C73241DCC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'WKEX-23-2'!$N$25:$R$25</c15:sqref>
                    </c15:fullRef>
                  </c:ext>
                </c:extLst>
                <c:f>'WKEX-23-2'!$N$25:$Q$25</c:f>
                <c:numCache>
                  <c:formatCode>General</c:formatCode>
                  <c:ptCount val="4"/>
                  <c:pt idx="0">
                    <c:v>2953634.7664078805</c:v>
                  </c:pt>
                  <c:pt idx="1">
                    <c:v>2352691.278089839</c:v>
                  </c:pt>
                  <c:pt idx="2">
                    <c:v>1508223.9831448537</c:v>
                  </c:pt>
                  <c:pt idx="3">
                    <c:v>269354.93931489979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'WKEX-23-2'!$N$25:$R$25</c15:sqref>
                    </c15:fullRef>
                  </c:ext>
                </c:extLst>
                <c:f>'WKEX-23-2'!$N$25:$Q$25</c:f>
                <c:numCache>
                  <c:formatCode>General</c:formatCode>
                  <c:ptCount val="4"/>
                  <c:pt idx="0">
                    <c:v>2953634.7664078805</c:v>
                  </c:pt>
                  <c:pt idx="1">
                    <c:v>2352691.278089839</c:v>
                  </c:pt>
                  <c:pt idx="2">
                    <c:v>1508223.9831448537</c:v>
                  </c:pt>
                  <c:pt idx="3">
                    <c:v>269354.93931489979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'WKEX-23-2'!$M$22:$M$26</c15:sqref>
                  </c15:fullRef>
                </c:ext>
              </c:extLst>
              <c:f>'WKEX-23-2'!$M$22:$M$25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'WKEX-23-2'!$N$23:$R$23</c15:sqref>
                  </c15:fullRef>
                </c:ext>
              </c:extLst>
              <c:f>'WKEX-23-2'!$N$23:$Q$23</c:f>
              <c:numCache>
                <c:formatCode>0.00E+00</c:formatCode>
                <c:ptCount val="4"/>
                <c:pt idx="0">
                  <c:v>28333333.333333332</c:v>
                </c:pt>
                <c:pt idx="1">
                  <c:v>5500000</c:v>
                </c:pt>
                <c:pt idx="2">
                  <c:v>9416666.666666666</c:v>
                </c:pt>
                <c:pt idx="3">
                  <c:v>391666.66666666669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'WKEX-23-2'!$R$23</c15:sqref>
                  <c15:spPr xmlns:c15="http://schemas.microsoft.com/office/drawing/2012/chart">
                    <a:pattFill prst="pct5">
                      <a:fgClr>
                        <a:schemeClr val="tx1"/>
                      </a:fgClr>
                      <a:bgClr>
                        <a:schemeClr val="bg1"/>
                      </a:bgClr>
                    </a:pattFill>
                    <a:ln w="15875">
                      <a:solidFill>
                        <a:schemeClr val="tx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12CB-49B0-A08C-825C73241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114299</xdr:rowOff>
    </xdr:from>
    <xdr:to>
      <xdr:col>18</xdr:col>
      <xdr:colOff>149225</xdr:colOff>
      <xdr:row>50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30ED1-D03D-4A7E-A556-C88051FF2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0.04569</cdr:x>
      <cdr:y>0.01008</cdr:y>
    </cdr:from>
    <cdr:to>
      <cdr:x>0.1286</cdr:x>
      <cdr:y>0.13703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208885" y="28369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cdr:txBody>
    </cdr:sp>
  </cdr:relSizeAnchor>
  <cdr:relSizeAnchor xmlns:cdr="http://schemas.openxmlformats.org/drawingml/2006/chartDrawing">
    <cdr:from>
      <cdr:x>0.04569</cdr:x>
      <cdr:y>0.39861</cdr:y>
    </cdr:from>
    <cdr:to>
      <cdr:x>0.1286</cdr:x>
      <cdr:y>0.52556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208885" y="1121305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0.05124</cdr:x>
      <cdr:y>0.57756</cdr:y>
    </cdr:from>
    <cdr:to>
      <cdr:x>0.13415</cdr:x>
      <cdr:y>0.70451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234285" y="1624709"/>
          <a:ext cx="379064" cy="357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0.05139</cdr:x>
      <cdr:y>0.20316</cdr:y>
    </cdr:from>
    <cdr:to>
      <cdr:x>0.1343</cdr:x>
      <cdr:y>0.33011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0A2F475B-F231-4C3B-989C-B4B6BFEECB7B}"/>
            </a:ext>
          </a:extLst>
        </cdr:cNvPr>
        <cdr:cNvSpPr txBox="1"/>
      </cdr:nvSpPr>
      <cdr:spPr>
        <a:xfrm xmlns:a="http://schemas.openxmlformats.org/drawingml/2006/main">
          <a:off x="234950" y="571500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114299</xdr:rowOff>
    </xdr:from>
    <xdr:to>
      <xdr:col>18</xdr:col>
      <xdr:colOff>149225</xdr:colOff>
      <xdr:row>50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AFEB6-875E-44CF-9E89-CEC047B3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0.04569</cdr:x>
      <cdr:y>0.01008</cdr:y>
    </cdr:from>
    <cdr:to>
      <cdr:x>0.1286</cdr:x>
      <cdr:y>0.13703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208885" y="28369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cdr:txBody>
    </cdr:sp>
  </cdr:relSizeAnchor>
  <cdr:relSizeAnchor xmlns:cdr="http://schemas.openxmlformats.org/drawingml/2006/chartDrawing">
    <cdr:from>
      <cdr:x>0.04569</cdr:x>
      <cdr:y>0.39861</cdr:y>
    </cdr:from>
    <cdr:to>
      <cdr:x>0.1286</cdr:x>
      <cdr:y>0.52556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208885" y="1121305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0.05124</cdr:x>
      <cdr:y>0.57756</cdr:y>
    </cdr:from>
    <cdr:to>
      <cdr:x>0.13415</cdr:x>
      <cdr:y>0.70451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234285" y="1624709"/>
          <a:ext cx="379064" cy="357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0.05139</cdr:x>
      <cdr:y>0.20316</cdr:y>
    </cdr:from>
    <cdr:to>
      <cdr:x>0.1343</cdr:x>
      <cdr:y>0.33011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0A2F475B-F231-4C3B-989C-B4B6BFEECB7B}"/>
            </a:ext>
          </a:extLst>
        </cdr:cNvPr>
        <cdr:cNvSpPr txBox="1"/>
      </cdr:nvSpPr>
      <cdr:spPr>
        <a:xfrm xmlns:a="http://schemas.openxmlformats.org/drawingml/2006/main">
          <a:off x="234950" y="571500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0.15625</cdr:x>
      <cdr:y>0.05643</cdr:y>
    </cdr:from>
    <cdr:to>
      <cdr:x>0.23681</cdr:x>
      <cdr:y>0.19639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9E64E13A-6B88-4C8F-9ECE-9FB8876738A5}"/>
            </a:ext>
          </a:extLst>
        </cdr:cNvPr>
        <cdr:cNvSpPr txBox="1"/>
      </cdr:nvSpPr>
      <cdr:spPr>
        <a:xfrm xmlns:a="http://schemas.openxmlformats.org/drawingml/2006/main">
          <a:off x="714375" y="158751"/>
          <a:ext cx="368300" cy="393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t"/>
        <a:lstStyle xmlns:a="http://schemas.openxmlformats.org/drawingml/2006/main"/>
        <a:p xmlns:a="http://schemas.openxmlformats.org/drawingml/2006/main">
          <a:pPr algn="ctr"/>
          <a:r>
            <a:rPr lang="en-CA" sz="1400" b="1"/>
            <a:t>a</a:t>
          </a:r>
        </a:p>
      </cdr:txBody>
    </cdr:sp>
  </cdr:relSizeAnchor>
  <cdr:relSizeAnchor xmlns:cdr="http://schemas.openxmlformats.org/drawingml/2006/chartDrawing">
    <cdr:from>
      <cdr:x>0.28889</cdr:x>
      <cdr:y>0.14221</cdr:y>
    </cdr:from>
    <cdr:to>
      <cdr:x>0.36944</cdr:x>
      <cdr:y>0.28217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20023F4A-D59F-4894-8519-DFDC00F27F23}"/>
            </a:ext>
          </a:extLst>
        </cdr:cNvPr>
        <cdr:cNvSpPr txBox="1"/>
      </cdr:nvSpPr>
      <cdr:spPr>
        <a:xfrm xmlns:a="http://schemas.openxmlformats.org/drawingml/2006/main">
          <a:off x="1320800" y="400050"/>
          <a:ext cx="368300" cy="393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  <cdr:relSizeAnchor xmlns:cdr="http://schemas.openxmlformats.org/drawingml/2006/chartDrawing">
    <cdr:from>
      <cdr:x>0.43333</cdr:x>
      <cdr:y>0.17156</cdr:y>
    </cdr:from>
    <cdr:to>
      <cdr:x>0.51389</cdr:x>
      <cdr:y>0.31151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9A221DB4-E19E-4B4A-B3D3-EF2E58661BBB}"/>
            </a:ext>
          </a:extLst>
        </cdr:cNvPr>
        <cdr:cNvSpPr txBox="1"/>
      </cdr:nvSpPr>
      <cdr:spPr>
        <a:xfrm xmlns:a="http://schemas.openxmlformats.org/drawingml/2006/main">
          <a:off x="1981200" y="482600"/>
          <a:ext cx="368300" cy="393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b</a:t>
          </a:r>
        </a:p>
      </cdr:txBody>
    </cdr:sp>
  </cdr:relSizeAnchor>
  <cdr:relSizeAnchor xmlns:cdr="http://schemas.openxmlformats.org/drawingml/2006/chartDrawing">
    <cdr:from>
      <cdr:x>0.56944</cdr:x>
      <cdr:y>0.22573</cdr:y>
    </cdr:from>
    <cdr:to>
      <cdr:x>0.65</cdr:x>
      <cdr:y>0.36569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9A221DB4-E19E-4B4A-B3D3-EF2E58661BBB}"/>
            </a:ext>
          </a:extLst>
        </cdr:cNvPr>
        <cdr:cNvSpPr txBox="1"/>
      </cdr:nvSpPr>
      <cdr:spPr>
        <a:xfrm xmlns:a="http://schemas.openxmlformats.org/drawingml/2006/main">
          <a:off x="2603500" y="635000"/>
          <a:ext cx="368300" cy="393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c</a:t>
          </a:r>
        </a:p>
      </cdr:txBody>
    </cdr:sp>
  </cdr:relSizeAnchor>
  <cdr:relSizeAnchor xmlns:cdr="http://schemas.openxmlformats.org/drawingml/2006/chartDrawing">
    <cdr:from>
      <cdr:x>0.71349</cdr:x>
      <cdr:y>0.27414</cdr:y>
    </cdr:from>
    <cdr:to>
      <cdr:x>0.79405</cdr:x>
      <cdr:y>0.4141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61C7380-FC3C-4604-BD5C-3ACA60498626}"/>
            </a:ext>
          </a:extLst>
        </cdr:cNvPr>
        <cdr:cNvSpPr txBox="1"/>
      </cdr:nvSpPr>
      <cdr:spPr>
        <a:xfrm xmlns:a="http://schemas.openxmlformats.org/drawingml/2006/main">
          <a:off x="3262086" y="767442"/>
          <a:ext cx="368320" cy="3918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 b="1"/>
            <a:t>d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114299</xdr:rowOff>
    </xdr:from>
    <xdr:to>
      <xdr:col>18</xdr:col>
      <xdr:colOff>149225</xdr:colOff>
      <xdr:row>50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424E1-D93F-45D0-A0AC-4976C392D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0.04569</cdr:x>
      <cdr:y>0.01008</cdr:y>
    </cdr:from>
    <cdr:to>
      <cdr:x>0.1286</cdr:x>
      <cdr:y>0.13703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208885" y="28369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cdr:txBody>
    </cdr:sp>
  </cdr:relSizeAnchor>
  <cdr:relSizeAnchor xmlns:cdr="http://schemas.openxmlformats.org/drawingml/2006/chartDrawing">
    <cdr:from>
      <cdr:x>0.04569</cdr:x>
      <cdr:y>0.39861</cdr:y>
    </cdr:from>
    <cdr:to>
      <cdr:x>0.1286</cdr:x>
      <cdr:y>0.52556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208885" y="1121305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0.05124</cdr:x>
      <cdr:y>0.57756</cdr:y>
    </cdr:from>
    <cdr:to>
      <cdr:x>0.13415</cdr:x>
      <cdr:y>0.70451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234285" y="1624709"/>
          <a:ext cx="379064" cy="357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0.05139</cdr:x>
      <cdr:y>0.20316</cdr:y>
    </cdr:from>
    <cdr:to>
      <cdr:x>0.1343</cdr:x>
      <cdr:y>0.33011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0A2F475B-F231-4C3B-989C-B4B6BFEECB7B}"/>
            </a:ext>
          </a:extLst>
        </cdr:cNvPr>
        <cdr:cNvSpPr txBox="1"/>
      </cdr:nvSpPr>
      <cdr:spPr>
        <a:xfrm xmlns:a="http://schemas.openxmlformats.org/drawingml/2006/main">
          <a:off x="234950" y="571500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114299</xdr:rowOff>
    </xdr:from>
    <xdr:to>
      <xdr:col>18</xdr:col>
      <xdr:colOff>149225</xdr:colOff>
      <xdr:row>50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93D81-26B5-4480-A2F2-DEE0616B6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0.04569</cdr:x>
      <cdr:y>0.01008</cdr:y>
    </cdr:from>
    <cdr:to>
      <cdr:x>0.1286</cdr:x>
      <cdr:y>0.13703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208885" y="28369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cdr:txBody>
    </cdr:sp>
  </cdr:relSizeAnchor>
  <cdr:relSizeAnchor xmlns:cdr="http://schemas.openxmlformats.org/drawingml/2006/chartDrawing">
    <cdr:from>
      <cdr:x>0.04569</cdr:x>
      <cdr:y>0.39861</cdr:y>
    </cdr:from>
    <cdr:to>
      <cdr:x>0.1286</cdr:x>
      <cdr:y>0.52556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208885" y="1121305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0.05124</cdr:x>
      <cdr:y>0.57756</cdr:y>
    </cdr:from>
    <cdr:to>
      <cdr:x>0.13415</cdr:x>
      <cdr:y>0.70451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234285" y="1624709"/>
          <a:ext cx="379064" cy="357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0.05139</cdr:x>
      <cdr:y>0.20316</cdr:y>
    </cdr:from>
    <cdr:to>
      <cdr:x>0.1343</cdr:x>
      <cdr:y>0.33011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0A2F475B-F231-4C3B-989C-B4B6BFEECB7B}"/>
            </a:ext>
          </a:extLst>
        </cdr:cNvPr>
        <cdr:cNvSpPr txBox="1"/>
      </cdr:nvSpPr>
      <cdr:spPr>
        <a:xfrm xmlns:a="http://schemas.openxmlformats.org/drawingml/2006/main">
          <a:off x="234950" y="571500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114299</xdr:rowOff>
    </xdr:from>
    <xdr:to>
      <xdr:col>18</xdr:col>
      <xdr:colOff>149225</xdr:colOff>
      <xdr:row>50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4207B-575D-453F-BA93-974EE0713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0.04569</cdr:x>
      <cdr:y>0.01008</cdr:y>
    </cdr:from>
    <cdr:to>
      <cdr:x>0.1286</cdr:x>
      <cdr:y>0.13703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208885" y="28369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cdr:txBody>
    </cdr:sp>
  </cdr:relSizeAnchor>
  <cdr:relSizeAnchor xmlns:cdr="http://schemas.openxmlformats.org/drawingml/2006/chartDrawing">
    <cdr:from>
      <cdr:x>0.04569</cdr:x>
      <cdr:y>0.39861</cdr:y>
    </cdr:from>
    <cdr:to>
      <cdr:x>0.1286</cdr:x>
      <cdr:y>0.52556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208885" y="1121305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0.05124</cdr:x>
      <cdr:y>0.57756</cdr:y>
    </cdr:from>
    <cdr:to>
      <cdr:x>0.13415</cdr:x>
      <cdr:y>0.70451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234285" y="1624709"/>
          <a:ext cx="379064" cy="357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0.05139</cdr:x>
      <cdr:y>0.20316</cdr:y>
    </cdr:from>
    <cdr:to>
      <cdr:x>0.1343</cdr:x>
      <cdr:y>0.33011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0A2F475B-F231-4C3B-989C-B4B6BFEECB7B}"/>
            </a:ext>
          </a:extLst>
        </cdr:cNvPr>
        <cdr:cNvSpPr txBox="1"/>
      </cdr:nvSpPr>
      <cdr:spPr>
        <a:xfrm xmlns:a="http://schemas.openxmlformats.org/drawingml/2006/main">
          <a:off x="234950" y="571500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</xdr:colOff>
      <xdr:row>35</xdr:row>
      <xdr:rowOff>114299</xdr:rowOff>
    </xdr:from>
    <xdr:to>
      <xdr:col>18</xdr:col>
      <xdr:colOff>149225</xdr:colOff>
      <xdr:row>50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C3645-DB81-4E28-A737-4B9FA067C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0.04569</cdr:x>
      <cdr:y>0.01008</cdr:y>
    </cdr:from>
    <cdr:to>
      <cdr:x>0.1286</cdr:x>
      <cdr:y>0.13703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208885" y="28369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8</a:t>
          </a:r>
        </a:p>
      </cdr:txBody>
    </cdr:sp>
  </cdr:relSizeAnchor>
  <cdr:relSizeAnchor xmlns:cdr="http://schemas.openxmlformats.org/drawingml/2006/chartDrawing">
    <cdr:from>
      <cdr:x>0.04569</cdr:x>
      <cdr:y>0.39861</cdr:y>
    </cdr:from>
    <cdr:to>
      <cdr:x>0.1286</cdr:x>
      <cdr:y>0.52556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208885" y="1121305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0.05124</cdr:x>
      <cdr:y>0.57756</cdr:y>
    </cdr:from>
    <cdr:to>
      <cdr:x>0.13415</cdr:x>
      <cdr:y>0.70451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234285" y="1624709"/>
          <a:ext cx="379064" cy="357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0.05139</cdr:x>
      <cdr:y>0.20316</cdr:y>
    </cdr:from>
    <cdr:to>
      <cdr:x>0.1343</cdr:x>
      <cdr:y>0.33011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0A2F475B-F231-4C3B-989C-B4B6BFEECB7B}"/>
            </a:ext>
          </a:extLst>
        </cdr:cNvPr>
        <cdr:cNvSpPr txBox="1"/>
      </cdr:nvSpPr>
      <cdr:spPr>
        <a:xfrm xmlns:a="http://schemas.openxmlformats.org/drawingml/2006/main">
          <a:off x="234950" y="571500"/>
          <a:ext cx="379064" cy="357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89FE-7015-4750-80FB-BD1D71CEA1CC}">
  <dimension ref="A1:V182"/>
  <sheetViews>
    <sheetView zoomScaleNormal="100" workbookViewId="0">
      <selection activeCell="D20" sqref="D20"/>
    </sheetView>
  </sheetViews>
  <sheetFormatPr defaultColWidth="9.19921875" defaultRowHeight="14" x14ac:dyDescent="0.3"/>
  <cols>
    <col min="1" max="1" width="10.69921875" style="23" customWidth="1"/>
    <col min="2" max="2" width="10.69921875" style="24" customWidth="1"/>
    <col min="3" max="3" width="12.69921875" style="25" bestFit="1" customWidth="1"/>
    <col min="4" max="4" width="20.296875" style="25" customWidth="1"/>
    <col min="5" max="5" width="21" style="25" customWidth="1"/>
    <col min="6" max="6" width="11.5" style="5" customWidth="1"/>
    <col min="7" max="7" width="11.5" style="29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7" customWidth="1"/>
    <col min="14" max="15" width="12.69921875" style="21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7" customWidth="1"/>
    <col min="23" max="16384" width="9.19921875" style="7"/>
  </cols>
  <sheetData>
    <row r="1" spans="1:22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7" t="s">
        <v>10</v>
      </c>
      <c r="H1" s="26" t="s">
        <v>31</v>
      </c>
      <c r="I1" s="26" t="s">
        <v>32</v>
      </c>
      <c r="J1" s="26" t="s">
        <v>9</v>
      </c>
      <c r="K1" s="26" t="s">
        <v>33</v>
      </c>
      <c r="L1" s="26" t="s">
        <v>34</v>
      </c>
      <c r="M1" s="6"/>
      <c r="N1" s="48" t="s">
        <v>54</v>
      </c>
      <c r="O1" s="48" t="s">
        <v>55</v>
      </c>
      <c r="P1" s="48" t="s">
        <v>56</v>
      </c>
      <c r="Q1" s="48" t="s">
        <v>57</v>
      </c>
      <c r="R1" s="48" t="s">
        <v>58</v>
      </c>
      <c r="S1" s="48" t="s">
        <v>59</v>
      </c>
      <c r="T1" s="45" t="s">
        <v>60</v>
      </c>
      <c r="U1" s="45" t="s">
        <v>61</v>
      </c>
      <c r="V1" s="6"/>
    </row>
    <row r="2" spans="1:22" ht="15.75" customHeight="1" thickTop="1" x14ac:dyDescent="0.3">
      <c r="A2" s="80" t="s">
        <v>65</v>
      </c>
      <c r="B2" s="83">
        <v>1</v>
      </c>
      <c r="C2" s="30" t="s">
        <v>4</v>
      </c>
      <c r="D2" s="58"/>
      <c r="E2" s="58"/>
      <c r="F2" s="72" t="e">
        <f>(AVERAGEIF(D2:E2,"&gt;0",D2:E2))*10^3*100/8</f>
        <v>#DIV/0!</v>
      </c>
      <c r="G2" s="7"/>
      <c r="H2" s="5" t="s">
        <v>11</v>
      </c>
      <c r="J2" s="38"/>
      <c r="K2" s="41">
        <f t="array" ref="K2">IFERROR(INDEX($I$2:$I$81,SMALL(IF(ISNUMBER($I$2:$I$81),ROW($A$1:$A$80),""),ROW(A1))),"")</f>
        <v>28333333.333333332</v>
      </c>
      <c r="L2" s="41">
        <f t="array" ref="L2">IFERROR(INDEX($J$2:$J$81,SMALL(IF(ISNUMBER($J$2:$J$81),ROW($A$1:$A$80),""),ROW(A1))),"")</f>
        <v>2953634.7664078805</v>
      </c>
      <c r="M2" s="63" t="s">
        <v>51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81"/>
      <c r="B3" s="84"/>
      <c r="C3" s="11" t="s">
        <v>2</v>
      </c>
      <c r="D3" s="11"/>
      <c r="E3" s="11"/>
      <c r="F3" s="73" t="e">
        <f>(AVERAGEIF(D3:E3,"&gt;0",D3:E3))*10^4*100/8</f>
        <v>#DIV/0!</v>
      </c>
      <c r="G3" s="7"/>
      <c r="H3" s="5">
        <f t="array" ref="H3">IFERROR(INDEX($F$2:$F$181,SMALL(IF($G$2:$G$181=1,ROW($A$1:$A$163),""),ROW(A1))),"")</f>
        <v>30625000</v>
      </c>
      <c r="J3" s="39"/>
      <c r="K3" s="41">
        <f t="array" ref="K3">IFERROR(INDEX($I$2:$I$81,SMALL(IF(ISNUMBER($I$2:$I$81),ROW($A$1:$A$80),""),ROW(A2))),"")</f>
        <v>32500000</v>
      </c>
      <c r="L3" s="41">
        <f t="array" ref="L3">IFERROR(INDEX($J$2:$J$81,SMALL(IF(ISNUMBER($J$2:$J$81),ROW($A$1:$A$80),""),ROW(A2))),"")</f>
        <v>3125000</v>
      </c>
      <c r="M3" s="63" t="s">
        <v>52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4.55" thickBot="1" x14ac:dyDescent="0.35">
      <c r="A4" s="81"/>
      <c r="B4" s="85"/>
      <c r="C4" s="12" t="s">
        <v>3</v>
      </c>
      <c r="D4" s="12">
        <v>23</v>
      </c>
      <c r="E4" s="12">
        <v>26</v>
      </c>
      <c r="F4" s="74">
        <f>(AVERAGEIF(D4:E4,"&gt;0",D4:E4))*10^5*100/8</f>
        <v>30625000</v>
      </c>
      <c r="G4" s="7">
        <v>1</v>
      </c>
      <c r="H4" s="5">
        <f t="array" ref="H4">IFERROR(INDEX($F$2:$F$181,SMALL(IF($G$2:$G$181=1,ROW($A$1:$A$163),""),ROW(A2))),"")</f>
        <v>29375000</v>
      </c>
      <c r="J4" s="39"/>
      <c r="K4" s="41" t="str">
        <f t="array" ref="K4">IFERROR(INDEX($I$2:$I$81,SMALL(IF(ISNUMBER($I$2:$I$81),ROW($A$1:$A$80),""),ROW(A3))),"")</f>
        <v/>
      </c>
      <c r="L4" s="41" t="str">
        <f t="array" ref="L4">IFERROR(INDEX($J$2:$J$81,SMALL(IF(ISNUMBER($J$2:$J$81),ROW($A$1:$A$80),""),ROW(A3))),"")</f>
        <v/>
      </c>
      <c r="M4" s="64"/>
      <c r="N4" s="9">
        <f t="array" ref="N4">IFERROR(INDEX($F$2:$F$181,SMALL(_xlfn.IFS($G$2:$G$181&lt;$N$2,"",$G$2:$G$181&gt;$N$3,"",ISNUMBER($G$2:$G$181),ROW($A$1:$A$180)),ROW(A1))),"")</f>
        <v>30625000</v>
      </c>
      <c r="O4" s="9">
        <f t="array" ref="O4">IFERROR(INDEX($F$2:$F$181,SMALL(_xlfn.IFS($G$2:$G$181&lt;$O$2,"",$G$2:$G$181&gt;$O$3,"",ISNUMBER($G$2:$G$181),ROW($A$1:$A$180)),ROW(A1))),"")</f>
        <v>32500000</v>
      </c>
      <c r="P4" s="9" t="str">
        <f t="array" ref="P4">IFERROR(INDEX($F$2:$F$181,SMALL(_xlfn.IFS($G$2:$G$181&lt;$P$2,"",$G$2:$G$181&gt;$P$3,"",ISNUMBER($G$2:$G$181),ROW($A$1:$A$180)),ROW(A1))),"")</f>
        <v/>
      </c>
      <c r="Q4" s="9" t="str">
        <f t="array" ref="Q4">IFERROR(INDEX($F$2:$F$181,SMALL(_xlfn.IFS($G$2:$G$181&lt;$Q$2,"",$G$2:$G$181&gt;$Q$3,"",ISNUMBER($G$2:$G$181),ROW($A$1:$A$180)),ROW(A1))),"")</f>
        <v/>
      </c>
      <c r="R4" s="9" t="str">
        <f t="array" ref="R4">IFERROR(INDEX($F$2:$F$181,SMALL(_xlfn.IFS($G$2:$G$181&lt;$R$2,"",$G$2:$G$181&gt;$R$3,"",ISNUMBER($G$2:$G$181),ROW($A$1:$A$180)),ROW(A1))),"")</f>
        <v/>
      </c>
      <c r="S4" s="10" t="str">
        <f t="array" ref="S4">IFERROR(INDEX($F$2:$F$181,SMALL(_xlfn.IFS($G$2:$G$181&lt;$S$2,"",$G$2:$G$181&gt;$S$3,"",ISNUMBER($G$2:$G$181),ROW($A$1:$A$180)),ROW(A1))),"")</f>
        <v/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ht="14.55" thickTop="1" x14ac:dyDescent="0.3">
      <c r="A5" s="81"/>
      <c r="B5" s="86">
        <v>2</v>
      </c>
      <c r="C5" s="8" t="s">
        <v>4</v>
      </c>
      <c r="D5" s="59"/>
      <c r="E5" s="59"/>
      <c r="F5" s="72" t="e">
        <f t="shared" ref="F5" si="0">(AVERAGEIF(D5:E5,"&gt;0",D5:E5))*10^3*100/8</f>
        <v>#DIV/0!</v>
      </c>
      <c r="G5" s="7"/>
      <c r="H5" s="5">
        <f t="array" ref="H5">IFERROR(INDEX($F$2:$F$181,SMALL(IF($G$2:$G$181=1,ROW($A$1:$A$163),""),ROW(A3))),"")</f>
        <v>25000000</v>
      </c>
      <c r="I5" s="5">
        <f>AVERAGE(H3:H5)</f>
        <v>28333333.333333332</v>
      </c>
      <c r="J5" s="39">
        <f>STDEV(H3:H5)</f>
        <v>2953634.7664078805</v>
      </c>
      <c r="K5" s="41" t="str">
        <f t="array" ref="K5">IFERROR(INDEX($I$2:$I$81,SMALL(IF(ISNUMBER($I$2:$I$81),ROW($A$1:$A$80),""),ROW(A4))),"")</f>
        <v/>
      </c>
      <c r="L5" s="41" t="str">
        <f t="array" ref="L5">IFERROR(INDEX($J$2:$J$81,SMALL(IF(ISNUMBER($J$2:$J$81),ROW($A$1:$A$80),""),ROW(A4))),"")</f>
        <v/>
      </c>
      <c r="M5" s="64"/>
      <c r="N5" s="9">
        <f t="array" ref="N5">IFERROR(INDEX($F$2:$F$181,SMALL(_xlfn.IFS($G$2:$G$181&lt;$N$2,"",$G$2:$G$181&gt;$N$3,"",ISNUMBER($G$2:$G$181),ROW($A$1:$A$180)),ROW(A2))),"")</f>
        <v>29375000</v>
      </c>
      <c r="O5" s="9">
        <f t="array" ref="O5">IFERROR(INDEX($F$2:$F$181,SMALL(_xlfn.IFS($G$2:$G$181&lt;$O$2,"",$G$2:$G$181&gt;$O$3,"",ISNUMBER($G$2:$G$181),ROW($A$1:$A$180)),ROW(A2))),"")</f>
        <v>35625000</v>
      </c>
      <c r="P5" s="9" t="str">
        <f t="array" ref="P5">IFERROR(INDEX($F$2:$F$181,SMALL(_xlfn.IFS($G$2:$G$181&lt;$P$2,"",$G$2:$G$181&gt;$P$3,"",ISNUMBER($G$2:$G$181),ROW($A$1:$A$180)),ROW(A2))),"")</f>
        <v/>
      </c>
      <c r="Q5" s="9" t="str">
        <f t="array" ref="Q5">IFERROR(INDEX($F$2:$F$181,SMALL(_xlfn.IFS($G$2:$G$181&lt;$Q$2,"",$G$2:$G$181&gt;$Q$3,"",ISNUMBER($G$2:$G$181),ROW($A$1:$A$180)),ROW(A2))),"")</f>
        <v/>
      </c>
      <c r="R5" s="9" t="str">
        <f t="array" ref="R5">IFERROR(INDEX($F$2:$F$181,SMALL(_xlfn.IFS($G$2:$G$181&lt;$R$2,"",$G$2:$G$181&gt;$R$3,"",ISNUMBER($G$2:$G$181),ROW($A$1:$A$180)),ROW(A2))),"")</f>
        <v/>
      </c>
      <c r="S5" s="10" t="str">
        <f t="array" ref="S5">IFERROR(INDEX($F$2:$F$181,SMALL(_xlfn.IFS($G$2:$G$181&lt;$S$2,"",$G$2:$G$181&gt;$S$3,"",ISNUMBER($G$2:$G$181),ROW($A$1:$A$180)),ROW(A2))),"")</f>
        <v/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81"/>
      <c r="B6" s="84"/>
      <c r="C6" s="11" t="s">
        <v>2</v>
      </c>
      <c r="D6" s="11"/>
      <c r="E6" s="11"/>
      <c r="F6" s="73" t="e">
        <f t="shared" ref="F6" si="1">(AVERAGEIF(D6:E6,"&gt;0",D6:E6))*10^4*100/8</f>
        <v>#DIV/0!</v>
      </c>
      <c r="G6" s="7"/>
      <c r="H6" s="5" t="s">
        <v>12</v>
      </c>
      <c r="J6" s="39"/>
      <c r="K6" s="41" t="str">
        <f t="array" ref="K6">IFERROR(INDEX($I$2:$I$81,SMALL(IF(ISNUMBER($I$2:$I$81),ROW($A$1:$A$80),""),ROW(A5))),"")</f>
        <v/>
      </c>
      <c r="L6" s="41" t="str">
        <f t="array" ref="L6">IFERROR(INDEX($J$2:$J$81,SMALL(IF(ISNUMBER($J$2:$J$81),ROW($A$1:$A$80),""),ROW(A5))),"")</f>
        <v/>
      </c>
      <c r="M6" s="64"/>
      <c r="N6" s="9">
        <f t="array" ref="N6">IFERROR(INDEX($F$2:$F$181,SMALL(_xlfn.IFS($G$2:$G$181&lt;$N$2,"",$G$2:$G$181&gt;$N$3,"",ISNUMBER($G$2:$G$181),ROW($A$1:$A$180)),ROW(A3))),"")</f>
        <v>25000000</v>
      </c>
      <c r="O6" s="9">
        <f t="array" ref="O6">IFERROR(INDEX($F$2:$F$181,SMALL(_xlfn.IFS($G$2:$G$181&lt;$O$2,"",$G$2:$G$181&gt;$O$3,"",ISNUMBER($G$2:$G$181),ROW($A$1:$A$180)),ROW(A3))),"")</f>
        <v>29375000</v>
      </c>
      <c r="P6" s="9" t="str">
        <f t="array" ref="P6">IFERROR(INDEX($F$2:$F$181,SMALL(_xlfn.IFS($G$2:$G$181&lt;$P$2,"",$G$2:$G$181&gt;$P$3,"",ISNUMBER($G$2:$G$181),ROW($A$1:$A$180)),ROW(A3))),"")</f>
        <v/>
      </c>
      <c r="Q6" s="9" t="str">
        <f t="array" ref="Q6">IFERROR(INDEX($F$2:$F$181,SMALL(_xlfn.IFS($G$2:$G$181&lt;$Q$2,"",$G$2:$G$181&gt;$Q$3,"",ISNUMBER($G$2:$G$181),ROW($A$1:$A$180)),ROW(A3))),"")</f>
        <v/>
      </c>
      <c r="R6" s="9" t="str">
        <f t="array" ref="R6">IFERROR(INDEX($F$2:$F$181,SMALL(_xlfn.IFS($G$2:$G$181&lt;$R$2,"",$G$2:$G$181&gt;$R$3,"",ISNUMBER($G$2:$G$181),ROW($A$1:$A$180)),ROW(A3))),"")</f>
        <v/>
      </c>
      <c r="S6" s="10" t="str">
        <f t="array" ref="S6">IFERROR(INDEX($F$2:$F$181,SMALL(_xlfn.IFS($G$2:$G$181&lt;$S$2,"",$G$2:$G$181&gt;$S$3,"",ISNUMBER($G$2:$G$181),ROW($A$1:$A$180)),ROW(A3))),"")</f>
        <v/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4.55" thickBot="1" x14ac:dyDescent="0.35">
      <c r="A7" s="81"/>
      <c r="B7" s="85"/>
      <c r="C7" s="12" t="s">
        <v>3</v>
      </c>
      <c r="D7" s="12">
        <v>22</v>
      </c>
      <c r="E7" s="12">
        <v>25</v>
      </c>
      <c r="F7" s="74">
        <f t="shared" ref="F7" si="2">(AVERAGEIF(D7:E7,"&gt;0",D7:E7))*10^5*100/8</f>
        <v>29375000</v>
      </c>
      <c r="G7" s="7">
        <v>1</v>
      </c>
      <c r="H7" s="5">
        <f t="array" ref="H7">IFERROR(INDEX($F$2:$F$181,SMALL(IF($G$2:$G$181=2,ROW($A$1:$A$163),""),ROW(A1))),"")</f>
        <v>32500000</v>
      </c>
      <c r="J7" s="39"/>
      <c r="K7" s="41" t="str">
        <f t="array" ref="K7">IFERROR(INDEX($I$2:$I$81,SMALL(IF(ISNUMBER($I$2:$I$81),ROW($A$1:$A$80),""),ROW(A6))),"")</f>
        <v/>
      </c>
      <c r="L7" s="41" t="str">
        <f t="array" ref="L7">IFERROR(INDEX($J$2:$J$81,SMALL(IF(ISNUMBER($J$2:$J$81),ROW($A$1:$A$80),""),ROW(A6))),"")</f>
        <v/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ht="14.55" thickTop="1" x14ac:dyDescent="0.3">
      <c r="A8" s="81"/>
      <c r="B8" s="86">
        <v>3</v>
      </c>
      <c r="C8" s="8" t="s">
        <v>4</v>
      </c>
      <c r="D8" s="59"/>
      <c r="E8" s="59"/>
      <c r="F8" s="72" t="e">
        <f t="shared" ref="F8" si="3">(AVERAGEIF(D8:E8,"&gt;0",D8:E8))*10^3*100/8</f>
        <v>#DIV/0!</v>
      </c>
      <c r="G8" s="7"/>
      <c r="H8" s="5">
        <f t="array" ref="H8">IFERROR(INDEX($F$2:$F$181,SMALL(IF($G$2:$G$181=2,ROW($A$1:$A$163),""),ROW(A2))),"")</f>
        <v>35625000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81"/>
      <c r="B9" s="84"/>
      <c r="C9" s="11" t="s">
        <v>2</v>
      </c>
      <c r="D9" s="11"/>
      <c r="E9" s="11"/>
      <c r="F9" s="73" t="e">
        <f t="shared" ref="F9" si="4">(AVERAGEIF(D9:E9,"&gt;0",D9:E9))*10^4*100/8</f>
        <v>#DIV/0!</v>
      </c>
      <c r="G9" s="7"/>
      <c r="H9" s="5">
        <f t="array" ref="H9">IFERROR(INDEX($F$2:$F$181,SMALL(IF($G$2:$G$181=2,ROW($A$1:$A$163),""),ROW(A3))),"")</f>
        <v>29375000</v>
      </c>
      <c r="I9" s="5">
        <f>AVERAGE(H7:H9)</f>
        <v>32500000</v>
      </c>
      <c r="J9" s="39">
        <f>STDEV(H7:H9)</f>
        <v>3125000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4.55" thickBot="1" x14ac:dyDescent="0.35">
      <c r="A10" s="82"/>
      <c r="B10" s="87"/>
      <c r="C10" s="35" t="s">
        <v>3</v>
      </c>
      <c r="D10" s="35">
        <v>20</v>
      </c>
      <c r="E10" s="35">
        <v>20</v>
      </c>
      <c r="F10" s="74">
        <f t="shared" ref="F10" si="5">(AVERAGEIF(D10:E10,"&gt;0",D10:E10))*10^5*100/8</f>
        <v>25000000</v>
      </c>
      <c r="G10" s="7">
        <v>1</v>
      </c>
      <c r="H10" s="5" t="s">
        <v>13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5" customHeight="1" thickTop="1" x14ac:dyDescent="0.3">
      <c r="A11" s="80" t="s">
        <v>66</v>
      </c>
      <c r="B11" s="83">
        <v>1</v>
      </c>
      <c r="C11" s="30" t="s">
        <v>4</v>
      </c>
      <c r="D11" s="30"/>
      <c r="E11" s="30"/>
      <c r="F11" s="31" t="e">
        <f t="shared" ref="F11" si="6">(AVERAGEIF(D11:E11,"&gt;0",D11:E11))*10^3*100/8</f>
        <v>#DIV/0!</v>
      </c>
      <c r="G11" s="7"/>
      <c r="H11" s="5" t="str">
        <f t="array" ref="H11">IFERROR(INDEX($F$2:$F$181,SMALL(IF($G$2:$G$181=3,ROW($A$1:$A$163),""),ROW(A1))),"")</f>
        <v/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81"/>
      <c r="B12" s="84"/>
      <c r="C12" s="11" t="s">
        <v>2</v>
      </c>
      <c r="D12" s="11"/>
      <c r="E12" s="11"/>
      <c r="F12" s="32" t="e">
        <f t="shared" ref="F12" si="7">(AVERAGEIF(D12:E12,"&gt;0",D12:E12))*10^4*100/8</f>
        <v>#DIV/0!</v>
      </c>
      <c r="G12" s="7"/>
      <c r="H12" s="5" t="str">
        <f t="array" ref="H12">IFERROR(INDEX($F$2:$F$181,SMALL(IF($G$2:$G$181=3,ROW($A$1:$A$163),""),ROW(A2))),"")</f>
        <v/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4.55" thickBot="1" x14ac:dyDescent="0.35">
      <c r="A13" s="81"/>
      <c r="B13" s="85"/>
      <c r="C13" s="12" t="s">
        <v>3</v>
      </c>
      <c r="D13" s="12">
        <v>25</v>
      </c>
      <c r="E13" s="12">
        <v>27</v>
      </c>
      <c r="F13" s="33">
        <f t="shared" ref="F13" si="8">(AVERAGEIF(D13:E13,"&gt;0",D13:E13))*10^5*100/8</f>
        <v>32500000</v>
      </c>
      <c r="G13" s="7">
        <v>2</v>
      </c>
      <c r="H13" s="5" t="str">
        <f t="array" ref="H13">IFERROR(INDEX($F$2:$F$181,SMALL(IF($G$2:$G$181=3,ROW($A$1:$A$163),""),ROW(A3))),"")</f>
        <v/>
      </c>
      <c r="I13" s="5" t="e">
        <f>AVERAGE(H11:H13)</f>
        <v>#DIV/0!</v>
      </c>
      <c r="J13" s="39" t="e">
        <f>STDEV(H11:H13)</f>
        <v>#DIV/0!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81"/>
      <c r="B14" s="86">
        <v>2</v>
      </c>
      <c r="C14" s="8" t="s">
        <v>4</v>
      </c>
      <c r="D14" s="8"/>
      <c r="E14" s="8"/>
      <c r="F14" s="34" t="e">
        <f t="shared" ref="F14" si="9">(AVERAGEIF(D14:E14,"&gt;0",D14:E14))*10^3*100/8</f>
        <v>#DIV/0!</v>
      </c>
      <c r="G14" s="7"/>
      <c r="H14" s="5" t="s">
        <v>14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81"/>
      <c r="B15" s="84"/>
      <c r="C15" s="11" t="s">
        <v>2</v>
      </c>
      <c r="D15" s="11"/>
      <c r="E15" s="11"/>
      <c r="F15" s="32" t="e">
        <f t="shared" ref="F15" si="10">(AVERAGEIF(D15:E15,"&gt;0",D15:E15))*10^4*100/8</f>
        <v>#DIV/0!</v>
      </c>
      <c r="G15" s="7"/>
      <c r="H15" s="5" t="str">
        <f t="array" ref="H15">IFERROR(INDEX($F$2:$F$181,SMALL(IF($G$2:$G$181=4,ROW($A$1:$A$163),""),ROW(A1))),"")</f>
        <v/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4.55" thickBot="1" x14ac:dyDescent="0.35">
      <c r="A16" s="81"/>
      <c r="B16" s="85"/>
      <c r="C16" s="12" t="s">
        <v>3</v>
      </c>
      <c r="D16" s="12">
        <v>27</v>
      </c>
      <c r="E16" s="12">
        <v>30</v>
      </c>
      <c r="F16" s="33">
        <f t="shared" ref="F16" si="11">(AVERAGEIF(D16:E16,"&gt;0",D16:E16))*10^5*100/8</f>
        <v>35625000</v>
      </c>
      <c r="G16" s="7">
        <v>2</v>
      </c>
      <c r="H16" s="5" t="str">
        <f t="array" ref="H16">IFERROR(INDEX($F$2:$F$181,SMALL(IF($G$2:$G$181=4,ROW($A$1:$A$163),""),ROW(A2))),"")</f>
        <v/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81"/>
      <c r="B17" s="86">
        <v>3</v>
      </c>
      <c r="C17" s="8" t="s">
        <v>4</v>
      </c>
      <c r="D17" s="8"/>
      <c r="E17" s="8"/>
      <c r="F17" s="34" t="e">
        <f t="shared" ref="F17" si="12">(AVERAGEIF(D17:E17,"&gt;0",D17:E17))*10^3*100/8</f>
        <v>#DIV/0!</v>
      </c>
      <c r="G17" s="7"/>
      <c r="H17" s="5" t="str">
        <f t="array" ref="H17">IFERROR(INDEX($F$2:$F$181,SMALL(IF($G$2:$G$181=4,ROW($A$1:$A$163),""),ROW(A3))),"")</f>
        <v/>
      </c>
      <c r="I17" s="5" t="e">
        <f>AVERAGE(H15:H17)</f>
        <v>#DIV/0!</v>
      </c>
      <c r="J17" s="39" t="e">
        <f>STDEV(H15:H17)</f>
        <v>#DIV/0!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81"/>
      <c r="B18" s="84"/>
      <c r="C18" s="11" t="s">
        <v>2</v>
      </c>
      <c r="D18" s="11"/>
      <c r="E18" s="11"/>
      <c r="F18" s="32" t="e">
        <f t="shared" ref="F18" si="13">(AVERAGEIF(D18:E18,"&gt;0",D18:E18))*10^4*100/8</f>
        <v>#DIV/0!</v>
      </c>
      <c r="G18" s="7"/>
      <c r="H18" s="5" t="s">
        <v>15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4.55" thickBot="1" x14ac:dyDescent="0.35">
      <c r="A19" s="82"/>
      <c r="B19" s="87"/>
      <c r="C19" s="35" t="s">
        <v>3</v>
      </c>
      <c r="D19" s="35">
        <v>22</v>
      </c>
      <c r="E19" s="35">
        <v>25</v>
      </c>
      <c r="F19" s="36">
        <f t="shared" ref="F19" si="14">(AVERAGEIF(D19:E19,"&gt;0",D19:E19))*10^5*100/8</f>
        <v>29375000</v>
      </c>
      <c r="G19" s="7">
        <v>2</v>
      </c>
      <c r="H19" s="5" t="str">
        <f t="array" ref="H19">IFERROR(INDEX($F$2:$F$181,SMALL(IF($G$2:$G$181=5,ROW($A$1:$A$163),""),ROW(A1))),"")</f>
        <v/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4.55" thickTop="1" x14ac:dyDescent="0.3">
      <c r="A20" s="80" t="s">
        <v>67</v>
      </c>
      <c r="B20" s="83">
        <v>1</v>
      </c>
      <c r="C20" s="30" t="s">
        <v>4</v>
      </c>
      <c r="D20" s="58"/>
      <c r="E20" s="58"/>
      <c r="F20" s="31" t="e">
        <f t="shared" ref="F20" si="15">(AVERAGEIF(D20:E20,"&gt;0",D20:E20))*10^3*100/8</f>
        <v>#DIV/0!</v>
      </c>
      <c r="G20" s="7"/>
      <c r="H20" s="5" t="str">
        <f t="array" ref="H20">IFERROR(INDEX($F$2:$F$181,SMALL(IF($G$2:$G$181=5,ROW($A$1:$A$163),""),ROW(A2))),"")</f>
        <v/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81"/>
      <c r="B21" s="84"/>
      <c r="C21" s="11" t="s">
        <v>2</v>
      </c>
      <c r="D21" s="11"/>
      <c r="E21" s="11"/>
      <c r="F21" s="32" t="e">
        <f t="shared" ref="F21" si="16">(AVERAGEIF(D21:E21,"&gt;0",D21:E21))*10^4*100/8</f>
        <v>#DIV/0!</v>
      </c>
      <c r="G21" s="7"/>
      <c r="H21" s="5" t="str">
        <f t="array" ref="H21">IFERROR(INDEX($F$2:$F$181,SMALL(IF($G$2:$G$181=5,ROW($A$1:$A$163),""),ROW(A3))),"")</f>
        <v/>
      </c>
      <c r="I21" s="5" t="e">
        <f>AVERAGE(H19:H21)</f>
        <v>#DIV/0!</v>
      </c>
      <c r="J21" s="39" t="e">
        <f>STDEV(H19:H21)</f>
        <v>#DIV/0!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4.55" thickBot="1" x14ac:dyDescent="0.35">
      <c r="A22" s="81"/>
      <c r="B22" s="85"/>
      <c r="C22" s="12" t="s">
        <v>3</v>
      </c>
      <c r="D22" s="12"/>
      <c r="E22" s="12"/>
      <c r="F22" s="33" t="e">
        <f t="shared" ref="F22" si="17">(AVERAGEIF(D22:E22,"&gt;0",D22:E22))*10^5*100/8</f>
        <v>#DIV/0!</v>
      </c>
      <c r="G22" s="7"/>
      <c r="H22" s="5" t="s">
        <v>16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70">
        <v>3</v>
      </c>
      <c r="N22" s="46" t="s">
        <v>35</v>
      </c>
      <c r="O22" s="46" t="s">
        <v>36</v>
      </c>
      <c r="P22" s="46" t="s">
        <v>37</v>
      </c>
      <c r="Q22" s="46" t="s">
        <v>38</v>
      </c>
      <c r="R22" s="47" t="s">
        <v>39</v>
      </c>
      <c r="S22" s="47" t="s">
        <v>40</v>
      </c>
      <c r="T22" s="45" t="s">
        <v>41</v>
      </c>
      <c r="U22" s="45" t="s">
        <v>42</v>
      </c>
    </row>
    <row r="23" spans="1:21" x14ac:dyDescent="0.3">
      <c r="A23" s="81"/>
      <c r="B23" s="86">
        <v>2</v>
      </c>
      <c r="C23" s="8" t="s">
        <v>4</v>
      </c>
      <c r="D23" s="59"/>
      <c r="E23" s="59"/>
      <c r="F23" s="34" t="e">
        <f t="shared" ref="F23" si="18">(AVERAGEIF(D23:E23,"&gt;0",D23:E23))*10^3*100/8</f>
        <v>#DIV/0!</v>
      </c>
      <c r="G23" s="7"/>
      <c r="H23" s="5" t="str">
        <f t="array" ref="H23">IFERROR(INDEX($F$2:$F$181,SMALL(IF($G$2:$G$181=6,ROW($A$1:$A$163),""),ROW(A1))),"")</f>
        <v/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70">
        <v>4</v>
      </c>
      <c r="N23" s="9">
        <f>AVERAGE(N4:N21)</f>
        <v>28333333.333333332</v>
      </c>
      <c r="O23" s="9">
        <f t="shared" ref="O23:U23" si="19">AVERAGE(O4:O21)</f>
        <v>32500000</v>
      </c>
      <c r="P23" s="9" t="e">
        <f t="shared" si="19"/>
        <v>#DIV/0!</v>
      </c>
      <c r="Q23" s="9" t="e">
        <f t="shared" si="19"/>
        <v>#DIV/0!</v>
      </c>
      <c r="R23" s="9" t="e">
        <f t="shared" si="19"/>
        <v>#DIV/0!</v>
      </c>
      <c r="S23" s="9" t="e">
        <f t="shared" si="19"/>
        <v>#DIV/0!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81"/>
      <c r="B24" s="84"/>
      <c r="C24" s="11" t="s">
        <v>2</v>
      </c>
      <c r="D24" s="11"/>
      <c r="E24" s="11"/>
      <c r="F24" s="32" t="e">
        <f t="shared" ref="F24" si="20">(AVERAGEIF(D24:E24,"&gt;0",D24:E24))*10^4*100/8</f>
        <v>#DIV/0!</v>
      </c>
      <c r="G24" s="7"/>
      <c r="H24" s="5" t="str">
        <f t="array" ref="H24">IFERROR(INDEX($F$2:$F$181,SMALL(IF($G$2:$G$181=6,ROW($A$1:$A$163),""),ROW(A2))),"")</f>
        <v/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70">
        <v>5</v>
      </c>
      <c r="N24" s="46" t="s">
        <v>43</v>
      </c>
      <c r="O24" s="46" t="s">
        <v>44</v>
      </c>
      <c r="P24" s="46" t="s">
        <v>45</v>
      </c>
      <c r="Q24" s="46" t="s">
        <v>46</v>
      </c>
      <c r="R24" s="47" t="s">
        <v>47</v>
      </c>
      <c r="S24" s="47" t="s">
        <v>48</v>
      </c>
      <c r="T24" s="45" t="s">
        <v>50</v>
      </c>
      <c r="U24" s="45" t="s">
        <v>49</v>
      </c>
    </row>
    <row r="25" spans="1:21" ht="14.55" thickBot="1" x14ac:dyDescent="0.35">
      <c r="A25" s="81"/>
      <c r="B25" s="85"/>
      <c r="C25" s="12" t="s">
        <v>3</v>
      </c>
      <c r="D25" s="12"/>
      <c r="E25" s="12"/>
      <c r="F25" s="33" t="e">
        <f t="shared" ref="F25" si="21">(AVERAGEIF(D25:E25,"&gt;0",D25:E25))*10^5*100/8</f>
        <v>#DIV/0!</v>
      </c>
      <c r="G25" s="7"/>
      <c r="H25" s="5" t="str">
        <f t="array" ref="H25">IFERROR(INDEX($F$2:$F$181,SMALL(IF($G$2:$G$181=6,ROW($A$1:$A$163),""),ROW(A3))),"")</f>
        <v/>
      </c>
      <c r="I25" s="5" t="e">
        <f>AVERAGE(H23:H25)</f>
        <v>#DIV/0!</v>
      </c>
      <c r="J25" s="39" t="e">
        <f>STDEV(H23:H25)</f>
        <v>#DIV/0!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70">
        <v>6</v>
      </c>
      <c r="N25" s="14">
        <f t="shared" ref="N25:P25" si="22">STDEV(N4:N21)</f>
        <v>2953634.7664078805</v>
      </c>
      <c r="O25" s="14">
        <f t="shared" si="22"/>
        <v>3125000</v>
      </c>
      <c r="P25" s="14" t="e">
        <f t="shared" si="22"/>
        <v>#DIV/0!</v>
      </c>
      <c r="Q25" s="14" t="e">
        <f>STDEV(Q4:Q21)</f>
        <v>#DIV/0!</v>
      </c>
      <c r="R25" s="14" t="e">
        <f t="shared" ref="R25:U25" si="23">STDEV(R4:R21)</f>
        <v>#DIV/0!</v>
      </c>
      <c r="S25" s="14" t="e">
        <f t="shared" si="23"/>
        <v>#DIV/0!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81"/>
      <c r="B26" s="86">
        <v>3</v>
      </c>
      <c r="C26" s="8" t="s">
        <v>4</v>
      </c>
      <c r="D26" s="59"/>
      <c r="E26" s="59"/>
      <c r="F26" s="34" t="e">
        <f t="shared" ref="F26" si="24">(AVERAGEIF(D26:E26,"&gt;0",D26:E26))*10^3*100/8</f>
        <v>#DIV/0!</v>
      </c>
      <c r="G26" s="7"/>
      <c r="H26" s="5" t="s">
        <v>17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70">
        <v>7</v>
      </c>
      <c r="N26" s="14"/>
      <c r="O26" s="9"/>
      <c r="P26" s="9"/>
      <c r="Q26" s="9"/>
      <c r="R26" s="10"/>
      <c r="S26" s="10"/>
    </row>
    <row r="27" spans="1:21" x14ac:dyDescent="0.3">
      <c r="A27" s="81"/>
      <c r="B27" s="84"/>
      <c r="C27" s="11" t="s">
        <v>2</v>
      </c>
      <c r="D27" s="11"/>
      <c r="E27" s="11"/>
      <c r="F27" s="32" t="e">
        <f t="shared" ref="F27" si="25">(AVERAGEIF(D27:E27,"&gt;0",D27:E27))*10^4*100/8</f>
        <v>#DIV/0!</v>
      </c>
      <c r="G27" s="7"/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4.55" thickBot="1" x14ac:dyDescent="0.35">
      <c r="A28" s="82"/>
      <c r="B28" s="87"/>
      <c r="C28" s="35" t="s">
        <v>3</v>
      </c>
      <c r="D28" s="35"/>
      <c r="E28" s="35"/>
      <c r="F28" s="36" t="e">
        <f t="shared" ref="F28" si="26">(AVERAGEIF(D28:E28,"&gt;0",D28:E28))*10^5*100/8</f>
        <v>#DIV/0!</v>
      </c>
      <c r="G28" s="7"/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N23/O23</f>
        <v>0.87179487179487181</v>
      </c>
      <c r="P28" s="9" t="e">
        <f>$O$23/P23</f>
        <v>#DIV/0!</v>
      </c>
      <c r="Q28" s="9" t="e">
        <f>$O$23/Q23</f>
        <v>#DIV/0!</v>
      </c>
      <c r="R28" s="9" t="e">
        <f>$O$23/R23</f>
        <v>#DIV/0!</v>
      </c>
      <c r="S28" s="9" t="e">
        <f t="shared" ref="S28:U28" si="27">R23/S23</f>
        <v>#DIV/0!</v>
      </c>
      <c r="T28" s="9"/>
      <c r="U28" s="9" t="e">
        <f t="shared" si="27"/>
        <v>#DIV/0!</v>
      </c>
    </row>
    <row r="29" spans="1:21" ht="14.55" thickTop="1" x14ac:dyDescent="0.3">
      <c r="A29" s="80" t="s">
        <v>69</v>
      </c>
      <c r="B29" s="83">
        <v>1</v>
      </c>
      <c r="C29" s="30" t="s">
        <v>53</v>
      </c>
      <c r="D29" s="58"/>
      <c r="E29" s="58"/>
      <c r="F29" s="31" t="e">
        <f>(AVERAGEIF(D29:E29,"&gt;0",D29:E29))*10^2*100/8</f>
        <v>#DIV/0!</v>
      </c>
      <c r="G29" s="7"/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/>
      <c r="R29" s="10"/>
      <c r="S29" s="10"/>
      <c r="T29" s="14"/>
      <c r="U29" s="14"/>
    </row>
    <row r="30" spans="1:21" x14ac:dyDescent="0.3">
      <c r="A30" s="81"/>
      <c r="B30" s="84"/>
      <c r="C30" s="11" t="s">
        <v>4</v>
      </c>
      <c r="D30" s="11"/>
      <c r="E30" s="11"/>
      <c r="F30" s="32" t="e">
        <f>(AVERAGEIF(D30:E30,"&gt;0",D30:E30))*10^3*100/8</f>
        <v>#DIV/0!</v>
      </c>
      <c r="G30" s="7"/>
      <c r="H30" s="5" t="s">
        <v>18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4.55" thickBot="1" x14ac:dyDescent="0.35">
      <c r="A31" s="81"/>
      <c r="B31" s="85"/>
      <c r="C31" s="12" t="s">
        <v>2</v>
      </c>
      <c r="D31" s="12"/>
      <c r="E31" s="12"/>
      <c r="F31" s="33" t="e">
        <f>(AVERAGEIF(D31:E31,"&gt;0",D31:E31))*10^4*100/8</f>
        <v>#DIV/0!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ht="14.55" thickTop="1" x14ac:dyDescent="0.3">
      <c r="A32" s="81"/>
      <c r="B32" s="86">
        <v>2</v>
      </c>
      <c r="C32" s="30" t="s">
        <v>53</v>
      </c>
      <c r="D32" s="59"/>
      <c r="E32" s="59"/>
      <c r="F32" s="31" t="e">
        <f t="shared" ref="F32" si="28">(AVERAGEIF(D32:E32,"&gt;0",D32:E32))*10^2*100/8</f>
        <v>#DIV/0!</v>
      </c>
      <c r="G32" s="7"/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81"/>
      <c r="B33" s="84"/>
      <c r="C33" s="11" t="s">
        <v>4</v>
      </c>
      <c r="D33" s="11"/>
      <c r="E33" s="11"/>
      <c r="F33" s="32" t="e">
        <f t="shared" ref="F33" si="29">(AVERAGEIF(D33:E33,"&gt;0",D33:E33))*10^3*100/8</f>
        <v>#DIV/0!</v>
      </c>
      <c r="G33" s="7"/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4.55" thickBot="1" x14ac:dyDescent="0.35">
      <c r="A34" s="81"/>
      <c r="B34" s="85"/>
      <c r="C34" s="12" t="s">
        <v>2</v>
      </c>
      <c r="D34" s="12"/>
      <c r="E34" s="12"/>
      <c r="F34" s="33" t="e">
        <f t="shared" ref="F34" si="30">(AVERAGEIF(D34:E34,"&gt;0",D34:E34))*10^4*100/8</f>
        <v>#DIV/0!</v>
      </c>
      <c r="G34" s="7"/>
      <c r="H34" s="5" t="s">
        <v>19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ht="14.55" thickTop="1" x14ac:dyDescent="0.3">
      <c r="A35" s="81"/>
      <c r="B35" s="86">
        <v>3</v>
      </c>
      <c r="C35" s="30" t="s">
        <v>53</v>
      </c>
      <c r="D35" s="59"/>
      <c r="E35" s="59"/>
      <c r="F35" s="31" t="e">
        <f t="shared" ref="F35" si="31">(AVERAGEIF(D35:E35,"&gt;0",D35:E35))*10^2*100/8</f>
        <v>#DIV/0!</v>
      </c>
      <c r="G35" s="7"/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81"/>
      <c r="B36" s="84"/>
      <c r="C36" s="11" t="s">
        <v>4</v>
      </c>
      <c r="D36" s="11"/>
      <c r="E36" s="11"/>
      <c r="F36" s="32" t="e">
        <f t="shared" ref="F36" si="32">(AVERAGEIF(D36:E36,"&gt;0",D36:E36))*10^3*100/8</f>
        <v>#DIV/0!</v>
      </c>
      <c r="G36" s="7"/>
      <c r="H36" s="5" t="str">
        <f t="array" ref="H36">IFERROR(INDEX($F$2:$F$181,SMALL(IF($G$2:$G$181=9,ROW($A$1:$A$163),""),ROW(A2))),"")</f>
        <v/>
      </c>
      <c r="J36" s="40"/>
      <c r="K36" s="13"/>
      <c r="L36" s="13"/>
      <c r="M36" s="65"/>
      <c r="N36" s="14"/>
      <c r="O36" s="9"/>
      <c r="P36" s="9"/>
      <c r="Q36" s="9"/>
      <c r="R36" s="10"/>
      <c r="S36" s="10"/>
    </row>
    <row r="37" spans="1:19" ht="14.55" thickBot="1" x14ac:dyDescent="0.35">
      <c r="A37" s="82"/>
      <c r="B37" s="87"/>
      <c r="C37" s="12" t="s">
        <v>2</v>
      </c>
      <c r="D37" s="35"/>
      <c r="E37" s="35"/>
      <c r="F37" s="33" t="e">
        <f t="shared" ref="F37" si="33">(AVERAGEIF(D37:E37,"&gt;0",D37:E37))*10^4*100/8</f>
        <v>#DIV/0!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5"/>
      <c r="N37" s="14"/>
      <c r="O37" s="9"/>
      <c r="P37" s="9"/>
      <c r="Q37" s="9"/>
      <c r="R37" s="10"/>
      <c r="S37" s="10"/>
    </row>
    <row r="38" spans="1:19" ht="15.05" thickTop="1" thickBot="1" x14ac:dyDescent="0.35">
      <c r="A38" s="88" t="s">
        <v>68</v>
      </c>
      <c r="B38" s="89">
        <v>1</v>
      </c>
      <c r="C38" s="30" t="s">
        <v>53</v>
      </c>
      <c r="D38" s="75"/>
      <c r="E38" s="75"/>
      <c r="F38" s="34" t="e">
        <f>(AVERAGEIF(D38:E38,"&gt;0",D38:E38))*10^2*100/8</f>
        <v>#DIV/0!</v>
      </c>
      <c r="G38" s="7"/>
      <c r="H38" s="5" t="s">
        <v>20</v>
      </c>
      <c r="J38" s="40"/>
      <c r="K38" s="13"/>
      <c r="L38" s="13"/>
      <c r="M38" s="65"/>
      <c r="N38" s="14"/>
      <c r="O38" s="9"/>
      <c r="P38" s="14"/>
      <c r="Q38" s="14"/>
      <c r="R38" s="10"/>
      <c r="S38" s="10"/>
    </row>
    <row r="39" spans="1:19" ht="14.55" thickBot="1" x14ac:dyDescent="0.35">
      <c r="A39" s="81"/>
      <c r="B39" s="90"/>
      <c r="C39" s="11" t="s">
        <v>4</v>
      </c>
      <c r="D39" s="76"/>
      <c r="E39" s="76"/>
      <c r="F39" s="34" t="e">
        <f>(AVERAGEIF(D39:E39,"&gt;0",D39:E39))*10^3*100/8</f>
        <v>#DIV/0!</v>
      </c>
      <c r="G39" s="7"/>
      <c r="H39" s="5" t="str">
        <f t="array" ref="H39">IFERROR(INDEX($F$2:$F$181,SMALL(IF($G$2:$G$181=10,ROW($A$1:$A$163),""),ROW(A1))),"")</f>
        <v/>
      </c>
      <c r="J39" s="40"/>
      <c r="K39" s="13"/>
      <c r="L39" s="13"/>
      <c r="M39" s="65"/>
      <c r="N39" s="14"/>
      <c r="O39" s="9"/>
      <c r="P39" s="14"/>
      <c r="Q39" s="14"/>
      <c r="R39" s="10"/>
      <c r="S39" s="10"/>
    </row>
    <row r="40" spans="1:19" ht="14.55" thickBot="1" x14ac:dyDescent="0.35">
      <c r="A40" s="81"/>
      <c r="B40" s="91"/>
      <c r="C40" s="12" t="s">
        <v>2</v>
      </c>
      <c r="D40" s="77"/>
      <c r="E40" s="77"/>
      <c r="F40" s="34" t="e">
        <f>(AVERAGEIF(D40:E40,"&gt;0",D40:E40))*10^4*100/8</f>
        <v>#DIV/0!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5"/>
      <c r="N40" s="14"/>
      <c r="O40" s="9"/>
      <c r="P40" s="14"/>
      <c r="Q40" s="14"/>
      <c r="R40" s="10"/>
      <c r="S40" s="10"/>
    </row>
    <row r="41" spans="1:19" ht="15.05" thickTop="1" thickBot="1" x14ac:dyDescent="0.35">
      <c r="A41" s="81"/>
      <c r="B41" s="92">
        <v>2</v>
      </c>
      <c r="C41" s="30" t="s">
        <v>53</v>
      </c>
      <c r="D41" s="78"/>
      <c r="E41" s="78"/>
      <c r="F41" s="34" t="e">
        <f t="shared" ref="F41" si="34">(AVERAGEIF(D41:E41,"&gt;0",D41:E41))*10^2*100/8</f>
        <v>#DIV/0!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5"/>
      <c r="N41" s="14"/>
      <c r="O41" s="9"/>
      <c r="P41" s="14"/>
      <c r="Q41" s="14"/>
      <c r="R41" s="10"/>
      <c r="S41" s="10"/>
    </row>
    <row r="42" spans="1:19" ht="14.55" thickBot="1" x14ac:dyDescent="0.35">
      <c r="A42" s="81"/>
      <c r="B42" s="90"/>
      <c r="C42" s="11" t="s">
        <v>4</v>
      </c>
      <c r="D42" s="76"/>
      <c r="E42" s="76"/>
      <c r="F42" s="34" t="e">
        <f t="shared" ref="F42" si="35">(AVERAGEIF(D42:E42,"&gt;0",D42:E42))*10^3*100/8</f>
        <v>#DIV/0!</v>
      </c>
      <c r="G42" s="7"/>
      <c r="H42" s="5" t="s">
        <v>21</v>
      </c>
      <c r="J42" s="40"/>
      <c r="K42" s="13"/>
      <c r="L42" s="13" t="s">
        <v>94</v>
      </c>
      <c r="M42" s="65"/>
      <c r="N42" s="14"/>
      <c r="O42" s="9"/>
      <c r="P42" s="14"/>
      <c r="Q42" s="14"/>
      <c r="R42" s="10"/>
      <c r="S42" s="10"/>
    </row>
    <row r="43" spans="1:19" ht="14.55" thickBot="1" x14ac:dyDescent="0.35">
      <c r="A43" s="81"/>
      <c r="B43" s="91"/>
      <c r="C43" s="12" t="s">
        <v>2</v>
      </c>
      <c r="D43" s="77"/>
      <c r="E43" s="77"/>
      <c r="F43" s="34" t="e">
        <f t="shared" ref="F43" si="36">(AVERAGEIF(D43:E43,"&gt;0",D43:E43))*10^4*100/8</f>
        <v>#DIV/0!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 t="s">
        <v>93</v>
      </c>
      <c r="M43" s="65"/>
      <c r="N43" s="14"/>
      <c r="O43" s="9"/>
      <c r="P43" s="14"/>
      <c r="Q43" s="14"/>
      <c r="R43" s="10"/>
      <c r="S43" s="10"/>
    </row>
    <row r="44" spans="1:19" ht="15.05" thickTop="1" thickBot="1" x14ac:dyDescent="0.35">
      <c r="A44" s="81"/>
      <c r="B44" s="92">
        <v>3</v>
      </c>
      <c r="C44" s="30" t="s">
        <v>53</v>
      </c>
      <c r="D44" s="78"/>
      <c r="E44" s="78"/>
      <c r="F44" s="34" t="e">
        <f t="shared" ref="F44" si="37">(AVERAGEIF(D44:E44,"&gt;0",D44:E44))*10^2*100/8</f>
        <v>#DIV/0!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5"/>
      <c r="N44" s="14"/>
      <c r="O44" s="9"/>
      <c r="P44" s="14"/>
      <c r="Q44" s="14"/>
      <c r="R44" s="10"/>
      <c r="S44" s="10"/>
    </row>
    <row r="45" spans="1:19" ht="14.55" thickBot="1" x14ac:dyDescent="0.35">
      <c r="A45" s="81"/>
      <c r="B45" s="90"/>
      <c r="C45" s="11" t="s">
        <v>4</v>
      </c>
      <c r="D45" s="76"/>
      <c r="E45" s="76"/>
      <c r="F45" s="34" t="e">
        <f t="shared" ref="F45" si="38">(AVERAGEIF(D45:E45,"&gt;0",D45:E45))*10^3*100/8</f>
        <v>#DIV/0!</v>
      </c>
      <c r="G45" s="7"/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5"/>
      <c r="N45" s="14"/>
      <c r="O45" s="9"/>
      <c r="P45" s="14"/>
      <c r="Q45" s="14"/>
      <c r="R45" s="10"/>
      <c r="S45" s="10"/>
    </row>
    <row r="46" spans="1:19" ht="14.55" thickBot="1" x14ac:dyDescent="0.35">
      <c r="A46" s="82"/>
      <c r="B46" s="93"/>
      <c r="C46" s="12" t="s">
        <v>2</v>
      </c>
      <c r="D46" s="79"/>
      <c r="E46" s="79"/>
      <c r="F46" s="34" t="e">
        <f t="shared" ref="F46" si="39">(AVERAGEIF(D46:E46,"&gt;0",D46:E46))*10^4*100/8</f>
        <v>#DIV/0!</v>
      </c>
      <c r="G46" s="7"/>
      <c r="H46" s="5" t="s">
        <v>22</v>
      </c>
      <c r="J46" s="40"/>
      <c r="K46" s="13"/>
      <c r="L46" s="13"/>
      <c r="M46" s="65"/>
      <c r="N46" s="14"/>
      <c r="O46" s="9"/>
      <c r="P46" s="14"/>
      <c r="Q46" s="14"/>
      <c r="R46" s="10"/>
      <c r="S46" s="10"/>
    </row>
    <row r="47" spans="1:19" ht="14.55" thickTop="1" x14ac:dyDescent="0.3">
      <c r="A47" s="88"/>
      <c r="B47" s="89"/>
      <c r="C47" s="30"/>
      <c r="D47" s="75"/>
      <c r="E47" s="75"/>
      <c r="F47" s="34"/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5"/>
      <c r="N47" s="14"/>
      <c r="O47" s="9"/>
      <c r="P47" s="14"/>
      <c r="Q47" s="14"/>
      <c r="R47" s="10"/>
      <c r="S47" s="10"/>
    </row>
    <row r="48" spans="1:19" x14ac:dyDescent="0.3">
      <c r="A48" s="81"/>
      <c r="B48" s="90"/>
      <c r="C48" s="11"/>
      <c r="D48" s="11"/>
      <c r="E48" s="11"/>
      <c r="F48" s="32"/>
      <c r="G48" s="7"/>
      <c r="H48" s="5" t="str">
        <f t="array" ref="H48">IFERROR(INDEX($F$2:$F$181,SMALL(IF($G$2:$G$181=12,ROW($A$1:$A$163),""),ROW(A2))),"")</f>
        <v/>
      </c>
      <c r="J48" s="40"/>
      <c r="K48" s="13"/>
      <c r="L48" s="13"/>
      <c r="M48" s="65"/>
      <c r="N48" s="14"/>
      <c r="O48" s="9"/>
      <c r="P48" s="14"/>
      <c r="Q48" s="14"/>
      <c r="R48" s="10"/>
      <c r="S48" s="10"/>
    </row>
    <row r="49" spans="1:21" ht="14.55" thickBot="1" x14ac:dyDescent="0.35">
      <c r="A49" s="81"/>
      <c r="B49" s="91"/>
      <c r="C49" s="12"/>
      <c r="D49" s="12"/>
      <c r="E49" s="12"/>
      <c r="F49" s="36"/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5"/>
      <c r="N49" s="14"/>
      <c r="O49" s="9"/>
      <c r="P49" s="14"/>
      <c r="Q49" s="14"/>
      <c r="R49" s="10"/>
      <c r="S49" s="10"/>
    </row>
    <row r="50" spans="1:21" ht="14.55" thickTop="1" x14ac:dyDescent="0.3">
      <c r="A50" s="81"/>
      <c r="B50" s="92"/>
      <c r="C50" s="30"/>
      <c r="D50" s="8"/>
      <c r="E50" s="8"/>
      <c r="F50" s="34"/>
      <c r="G50" s="7"/>
      <c r="H50" s="5" t="s">
        <v>23</v>
      </c>
      <c r="J50" s="40"/>
      <c r="K50" s="13"/>
      <c r="L50" s="13"/>
      <c r="M50" s="65"/>
      <c r="N50" s="14"/>
      <c r="O50" s="9"/>
      <c r="P50" s="14"/>
      <c r="Q50" s="14"/>
      <c r="R50" s="10"/>
      <c r="S50" s="10"/>
    </row>
    <row r="51" spans="1:21" x14ac:dyDescent="0.3">
      <c r="A51" s="81"/>
      <c r="B51" s="90"/>
      <c r="C51" s="11"/>
      <c r="D51" s="11"/>
      <c r="E51" s="11"/>
      <c r="F51" s="32"/>
      <c r="G51" s="7"/>
      <c r="H51" s="5" t="str">
        <f t="array" ref="H51">IFERROR(INDEX($F$2:$F$181,SMALL(IF($G$2:$G$181=13,ROW($A$1:$A$163),""),ROW(A1))),"")</f>
        <v/>
      </c>
      <c r="J51" s="40"/>
      <c r="K51" s="13"/>
      <c r="L51" s="13"/>
      <c r="M51" s="65"/>
      <c r="N51" s="14"/>
      <c r="O51" s="9"/>
      <c r="P51" s="14"/>
      <c r="Q51" s="14"/>
      <c r="R51" s="10"/>
      <c r="S51" s="10"/>
    </row>
    <row r="52" spans="1:21" ht="14.55" thickBot="1" x14ac:dyDescent="0.35">
      <c r="A52" s="81"/>
      <c r="B52" s="91"/>
      <c r="C52" s="12"/>
      <c r="D52" s="12"/>
      <c r="E52" s="12"/>
      <c r="F52" s="36"/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5"/>
      <c r="N52" s="14"/>
      <c r="O52" s="9"/>
      <c r="P52" s="14"/>
      <c r="Q52" s="14"/>
      <c r="R52" s="10"/>
      <c r="S52" s="10"/>
    </row>
    <row r="53" spans="1:21" ht="14.55" thickTop="1" x14ac:dyDescent="0.3">
      <c r="A53" s="81"/>
      <c r="B53" s="92"/>
      <c r="C53" s="30"/>
      <c r="D53" s="8"/>
      <c r="E53" s="8"/>
      <c r="F53" s="34"/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5"/>
      <c r="N53" s="14"/>
      <c r="O53" s="9"/>
      <c r="P53" s="14"/>
      <c r="Q53" s="14"/>
      <c r="R53" s="10"/>
      <c r="S53" s="10"/>
    </row>
    <row r="54" spans="1:21" x14ac:dyDescent="0.3">
      <c r="A54" s="81"/>
      <c r="B54" s="90"/>
      <c r="C54" s="11"/>
      <c r="D54" s="11"/>
      <c r="E54" s="11"/>
      <c r="F54" s="32"/>
      <c r="G54" s="7"/>
      <c r="H54" s="5" t="s">
        <v>24</v>
      </c>
      <c r="J54" s="40"/>
      <c r="K54" s="13"/>
      <c r="L54" s="13"/>
      <c r="M54" s="65"/>
      <c r="N54" s="14"/>
      <c r="O54" s="9"/>
      <c r="P54" s="14"/>
      <c r="Q54" s="14"/>
      <c r="R54" s="10"/>
      <c r="S54" s="10"/>
    </row>
    <row r="55" spans="1:21" ht="14.55" thickBot="1" x14ac:dyDescent="0.35">
      <c r="A55" s="82"/>
      <c r="B55" s="93"/>
      <c r="C55" s="12"/>
      <c r="D55" s="35"/>
      <c r="E55" s="35"/>
      <c r="F55" s="36"/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5"/>
      <c r="N55" s="14"/>
      <c r="O55" s="9"/>
      <c r="P55" s="14"/>
      <c r="Q55" s="14"/>
      <c r="R55" s="10"/>
      <c r="S55" s="10"/>
    </row>
    <row r="56" spans="1:21" ht="14.55" thickTop="1" x14ac:dyDescent="0.3">
      <c r="A56" s="88"/>
      <c r="B56" s="89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5"/>
      <c r="N56" s="14"/>
      <c r="O56" s="9"/>
      <c r="P56" s="14"/>
      <c r="Q56" s="14"/>
      <c r="R56" s="10"/>
      <c r="S56" s="10"/>
    </row>
    <row r="57" spans="1:21" x14ac:dyDescent="0.3">
      <c r="A57" s="81"/>
      <c r="B57" s="90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5"/>
      <c r="N57" s="14"/>
      <c r="O57" s="9"/>
      <c r="P57" s="14"/>
      <c r="Q57" s="14"/>
      <c r="R57" s="10"/>
      <c r="S57" s="10"/>
    </row>
    <row r="58" spans="1:21" ht="14.55" thickBot="1" x14ac:dyDescent="0.35">
      <c r="A58" s="81"/>
      <c r="B58" s="91"/>
      <c r="C58" s="12"/>
      <c r="D58" s="12"/>
      <c r="E58" s="12"/>
      <c r="F58" s="36"/>
      <c r="G58" s="7"/>
      <c r="H58" s="5" t="s">
        <v>25</v>
      </c>
      <c r="J58" s="40"/>
      <c r="K58" s="13"/>
      <c r="L58" s="13"/>
      <c r="M58" s="65"/>
      <c r="N58" s="14"/>
      <c r="O58" s="9"/>
      <c r="P58" s="14"/>
      <c r="Q58" s="14"/>
      <c r="R58" s="10"/>
      <c r="S58" s="10"/>
    </row>
    <row r="59" spans="1:21" ht="14.55" thickTop="1" x14ac:dyDescent="0.3">
      <c r="A59" s="81"/>
      <c r="B59" s="92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5"/>
      <c r="N59" s="14"/>
      <c r="O59" s="9"/>
      <c r="P59" s="14"/>
      <c r="Q59" s="14"/>
      <c r="R59" s="10"/>
      <c r="S59" s="10"/>
    </row>
    <row r="60" spans="1:21" ht="14.55" thickBot="1" x14ac:dyDescent="0.35">
      <c r="A60" s="81"/>
      <c r="B60" s="90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5"/>
      <c r="N60" s="42"/>
      <c r="O60" s="9"/>
      <c r="P60" s="42"/>
      <c r="Q60" s="42"/>
      <c r="R60" s="43"/>
      <c r="S60" s="43"/>
      <c r="T60" s="44"/>
      <c r="U60" s="44"/>
    </row>
    <row r="61" spans="1:21" ht="14.55" thickBot="1" x14ac:dyDescent="0.35">
      <c r="A61" s="81"/>
      <c r="B61" s="9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5"/>
      <c r="N61" s="14"/>
      <c r="O61" s="9"/>
      <c r="P61" s="14"/>
      <c r="Q61" s="14"/>
      <c r="R61" s="10"/>
      <c r="S61" s="10"/>
    </row>
    <row r="62" spans="1:21" ht="14.55" thickTop="1" x14ac:dyDescent="0.3">
      <c r="A62" s="81"/>
      <c r="B62" s="92"/>
      <c r="C62" s="30"/>
      <c r="D62" s="8"/>
      <c r="E62" s="8"/>
      <c r="F62" s="34"/>
      <c r="G62" s="7"/>
      <c r="H62" s="5" t="s">
        <v>26</v>
      </c>
      <c r="J62" s="40"/>
      <c r="K62" s="13"/>
      <c r="L62" s="13"/>
      <c r="M62" s="65"/>
      <c r="N62" s="14"/>
      <c r="O62" s="9"/>
      <c r="P62" s="14"/>
      <c r="Q62" s="14"/>
      <c r="R62" s="10"/>
      <c r="S62" s="10"/>
    </row>
    <row r="63" spans="1:21" x14ac:dyDescent="0.3">
      <c r="A63" s="81"/>
      <c r="B63" s="90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5"/>
      <c r="N63" s="14"/>
      <c r="O63" s="9"/>
      <c r="P63" s="14"/>
      <c r="Q63" s="14"/>
      <c r="R63" s="10"/>
      <c r="S63" s="10"/>
    </row>
    <row r="64" spans="1:21" ht="14.55" thickBot="1" x14ac:dyDescent="0.35">
      <c r="A64" s="82"/>
      <c r="B64" s="93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5"/>
      <c r="N64" s="14"/>
      <c r="O64" s="9"/>
      <c r="P64" s="14"/>
      <c r="Q64" s="14"/>
      <c r="R64" s="10"/>
      <c r="S64" s="10"/>
    </row>
    <row r="65" spans="1:19" ht="14.55" thickTop="1" x14ac:dyDescent="0.3">
      <c r="A65" s="88"/>
      <c r="B65" s="89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5"/>
      <c r="N65" s="14"/>
      <c r="O65" s="9"/>
      <c r="P65" s="14"/>
      <c r="Q65" s="14"/>
      <c r="R65" s="10"/>
      <c r="S65" s="10"/>
    </row>
    <row r="66" spans="1:19" x14ac:dyDescent="0.3">
      <c r="A66" s="81"/>
      <c r="B66" s="90"/>
      <c r="C66" s="11"/>
      <c r="D66" s="11"/>
      <c r="E66" s="11"/>
      <c r="F66" s="32"/>
      <c r="G66" s="7"/>
      <c r="H66" s="5" t="s">
        <v>27</v>
      </c>
      <c r="J66" s="40"/>
      <c r="K66" s="13"/>
      <c r="L66" s="13"/>
      <c r="M66" s="65"/>
      <c r="N66" s="14"/>
      <c r="O66" s="9"/>
      <c r="P66" s="14"/>
      <c r="Q66" s="14"/>
      <c r="R66" s="10"/>
      <c r="S66" s="10"/>
    </row>
    <row r="67" spans="1:19" ht="14.55" thickBot="1" x14ac:dyDescent="0.35">
      <c r="A67" s="81"/>
      <c r="B67" s="9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5"/>
      <c r="N67" s="14"/>
      <c r="O67" s="9"/>
      <c r="P67" s="14"/>
      <c r="Q67" s="14"/>
      <c r="R67" s="10"/>
      <c r="S67" s="10"/>
    </row>
    <row r="68" spans="1:19" ht="14.55" thickTop="1" x14ac:dyDescent="0.3">
      <c r="A68" s="81"/>
      <c r="B68" s="92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5"/>
      <c r="N68" s="14"/>
      <c r="O68" s="9"/>
      <c r="P68" s="14"/>
      <c r="Q68" s="14"/>
      <c r="R68" s="10"/>
      <c r="S68" s="10"/>
    </row>
    <row r="69" spans="1:19" x14ac:dyDescent="0.3">
      <c r="A69" s="81"/>
      <c r="B69" s="90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5"/>
      <c r="N69" s="14"/>
      <c r="O69" s="9"/>
      <c r="P69" s="14"/>
      <c r="Q69" s="14"/>
      <c r="R69" s="10"/>
      <c r="S69" s="10"/>
    </row>
    <row r="70" spans="1:19" ht="14.55" thickBot="1" x14ac:dyDescent="0.35">
      <c r="A70" s="81"/>
      <c r="B70" s="91"/>
      <c r="C70" s="12"/>
      <c r="D70" s="12"/>
      <c r="E70" s="12"/>
      <c r="F70" s="36"/>
      <c r="G70" s="7"/>
      <c r="H70" s="5" t="s">
        <v>28</v>
      </c>
      <c r="J70" s="40"/>
      <c r="K70" s="13"/>
      <c r="L70" s="13"/>
      <c r="M70" s="65"/>
      <c r="N70" s="14"/>
      <c r="O70" s="9"/>
      <c r="P70" s="14"/>
      <c r="Q70" s="14"/>
      <c r="R70" s="10"/>
      <c r="S70" s="10"/>
    </row>
    <row r="71" spans="1:19" ht="14.55" thickTop="1" x14ac:dyDescent="0.3">
      <c r="A71" s="81"/>
      <c r="B71" s="92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5"/>
      <c r="N71" s="14"/>
      <c r="O71" s="9"/>
      <c r="P71" s="14"/>
      <c r="Q71" s="14"/>
      <c r="R71" s="10"/>
      <c r="S71" s="10"/>
    </row>
    <row r="72" spans="1:19" x14ac:dyDescent="0.3">
      <c r="A72" s="81"/>
      <c r="B72" s="90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5"/>
      <c r="N72" s="14"/>
      <c r="O72" s="9"/>
      <c r="P72" s="14"/>
      <c r="Q72" s="14"/>
      <c r="R72" s="10"/>
      <c r="S72" s="10"/>
    </row>
    <row r="73" spans="1:19" ht="14.55" thickBot="1" x14ac:dyDescent="0.35">
      <c r="A73" s="82"/>
      <c r="B73" s="93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5"/>
      <c r="N73" s="14"/>
      <c r="O73" s="9"/>
      <c r="P73" s="14"/>
      <c r="Q73" s="14"/>
      <c r="R73" s="10"/>
      <c r="S73" s="10"/>
    </row>
    <row r="74" spans="1:19" ht="14.55" thickTop="1" x14ac:dyDescent="0.3">
      <c r="A74" s="88"/>
      <c r="B74" s="89"/>
      <c r="C74" s="30"/>
      <c r="D74" s="30"/>
      <c r="E74" s="30"/>
      <c r="F74" s="34"/>
      <c r="G74" s="7"/>
      <c r="H74" s="5" t="s">
        <v>29</v>
      </c>
      <c r="J74" s="40"/>
      <c r="K74" s="13"/>
      <c r="L74" s="13"/>
      <c r="M74" s="65"/>
      <c r="N74" s="14"/>
      <c r="O74" s="9"/>
      <c r="P74" s="14"/>
      <c r="Q74" s="14"/>
      <c r="R74" s="10"/>
      <c r="S74" s="10"/>
    </row>
    <row r="75" spans="1:19" x14ac:dyDescent="0.3">
      <c r="A75" s="81"/>
      <c r="B75" s="90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5"/>
      <c r="N75" s="14"/>
      <c r="O75" s="9"/>
      <c r="P75" s="14"/>
      <c r="Q75" s="14"/>
      <c r="R75" s="10"/>
      <c r="S75" s="10"/>
    </row>
    <row r="76" spans="1:19" ht="14.55" thickBot="1" x14ac:dyDescent="0.35">
      <c r="A76" s="81"/>
      <c r="B76" s="91"/>
      <c r="C76" s="12"/>
      <c r="D76" s="12"/>
      <c r="E76" s="12"/>
      <c r="F76" s="36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5"/>
      <c r="N76" s="14"/>
      <c r="O76" s="9"/>
      <c r="P76" s="14"/>
      <c r="Q76" s="14"/>
      <c r="R76" s="10"/>
      <c r="S76" s="10"/>
    </row>
    <row r="77" spans="1:19" ht="14.55" thickTop="1" x14ac:dyDescent="0.3">
      <c r="A77" s="81"/>
      <c r="B77" s="92"/>
      <c r="C77" s="30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5"/>
      <c r="N77" s="14"/>
      <c r="O77" s="9"/>
      <c r="P77" s="14"/>
      <c r="Q77" s="14"/>
      <c r="R77" s="10"/>
      <c r="S77" s="10"/>
    </row>
    <row r="78" spans="1:19" x14ac:dyDescent="0.3">
      <c r="A78" s="81"/>
      <c r="B78" s="90"/>
      <c r="C78" s="11"/>
      <c r="D78" s="11"/>
      <c r="E78" s="11"/>
      <c r="F78" s="32"/>
      <c r="G78" s="7"/>
      <c r="H78" s="5" t="s">
        <v>30</v>
      </c>
      <c r="J78" s="40"/>
      <c r="K78" s="13"/>
      <c r="L78" s="13"/>
      <c r="M78" s="65"/>
      <c r="N78" s="14"/>
      <c r="O78" s="9"/>
      <c r="P78" s="14"/>
      <c r="Q78" s="14"/>
      <c r="R78" s="10"/>
      <c r="S78" s="10"/>
    </row>
    <row r="79" spans="1:19" ht="14.55" thickBot="1" x14ac:dyDescent="0.35">
      <c r="A79" s="81"/>
      <c r="B79" s="91"/>
      <c r="C79" s="12"/>
      <c r="D79" s="12"/>
      <c r="E79" s="12"/>
      <c r="F79" s="36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5"/>
      <c r="N79" s="14"/>
      <c r="O79" s="9"/>
      <c r="P79" s="14"/>
      <c r="Q79" s="14"/>
      <c r="R79" s="10"/>
      <c r="S79" s="10"/>
    </row>
    <row r="80" spans="1:19" ht="14.55" thickTop="1" x14ac:dyDescent="0.3">
      <c r="A80" s="81"/>
      <c r="B80" s="92"/>
      <c r="C80" s="30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5"/>
      <c r="N80" s="14"/>
      <c r="O80" s="9"/>
      <c r="P80" s="14"/>
      <c r="Q80" s="14"/>
      <c r="R80" s="10"/>
      <c r="S80" s="10"/>
    </row>
    <row r="81" spans="1:22" x14ac:dyDescent="0.3">
      <c r="A81" s="81"/>
      <c r="B81" s="90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5"/>
      <c r="N81" s="14"/>
      <c r="O81" s="9"/>
      <c r="P81" s="14"/>
      <c r="Q81" s="14"/>
      <c r="R81" s="10"/>
      <c r="S81" s="10"/>
    </row>
    <row r="82" spans="1:22" ht="14.55" thickBot="1" x14ac:dyDescent="0.35">
      <c r="A82" s="82"/>
      <c r="B82" s="93"/>
      <c r="C82" s="12"/>
      <c r="D82" s="35"/>
      <c r="E82" s="35"/>
      <c r="F82" s="36"/>
      <c r="G82" s="7"/>
      <c r="J82" s="40"/>
      <c r="K82" s="13"/>
      <c r="L82" s="13"/>
      <c r="M82" s="65"/>
      <c r="N82" s="14"/>
      <c r="O82" s="9"/>
      <c r="P82" s="14"/>
      <c r="Q82" s="14"/>
      <c r="R82" s="10"/>
      <c r="S82" s="10"/>
    </row>
    <row r="83" spans="1:22" ht="14.5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5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5"/>
      <c r="N84" s="14"/>
      <c r="O84" s="9"/>
      <c r="P84" s="14"/>
      <c r="Q84" s="14"/>
      <c r="R84" s="10"/>
      <c r="S84" s="10"/>
    </row>
    <row r="85" spans="1:22" ht="14.5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5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5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5"/>
      <c r="N87" s="14"/>
      <c r="O87" s="9"/>
      <c r="P87" s="14"/>
      <c r="Q87" s="14"/>
      <c r="R87" s="10"/>
      <c r="S87" s="10"/>
    </row>
    <row r="88" spans="1:22" ht="14.5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5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5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5"/>
      <c r="N90" s="14"/>
      <c r="O90" s="9"/>
      <c r="P90" s="14"/>
      <c r="Q90" s="14"/>
      <c r="R90" s="10"/>
      <c r="S90" s="10"/>
    </row>
    <row r="91" spans="1:22" ht="14.5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5"/>
      <c r="N91" s="14"/>
      <c r="O91" s="9"/>
      <c r="P91" s="14"/>
      <c r="Q91" s="14"/>
      <c r="R91" s="10"/>
      <c r="S91" s="10"/>
    </row>
    <row r="92" spans="1:22" ht="14.5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5"/>
      <c r="N92" s="14"/>
      <c r="O92" s="9"/>
      <c r="P92" s="14"/>
      <c r="Q92" s="14"/>
      <c r="R92" s="10"/>
      <c r="S92" s="10"/>
    </row>
    <row r="93" spans="1:22" ht="14.5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5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4.5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5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5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5"/>
      <c r="N96" s="14"/>
      <c r="O96" s="9"/>
      <c r="P96" s="14"/>
      <c r="Q96" s="14"/>
      <c r="R96" s="10"/>
      <c r="S96" s="10"/>
    </row>
    <row r="97" spans="1:19" ht="14.5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5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5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5"/>
      <c r="N99" s="14"/>
      <c r="O99" s="9"/>
      <c r="P99" s="14"/>
      <c r="Q99" s="14"/>
      <c r="R99" s="10"/>
      <c r="S99" s="10"/>
    </row>
    <row r="100" spans="1:19" ht="14.5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5"/>
      <c r="N100" s="14"/>
      <c r="O100" s="9"/>
      <c r="P100" s="14"/>
      <c r="Q100" s="14"/>
      <c r="R100" s="10"/>
      <c r="S100" s="10"/>
    </row>
    <row r="101" spans="1:19" ht="14.5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5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5"/>
      <c r="N102" s="14"/>
      <c r="O102" s="9"/>
      <c r="P102" s="14"/>
      <c r="Q102" s="14"/>
      <c r="R102" s="10"/>
      <c r="S102" s="10"/>
    </row>
    <row r="103" spans="1:19" ht="14.5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5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5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5"/>
      <c r="N105" s="14"/>
      <c r="O105" s="9"/>
      <c r="P105" s="14"/>
      <c r="Q105" s="14"/>
      <c r="R105" s="10"/>
      <c r="S105" s="10"/>
    </row>
    <row r="106" spans="1:19" ht="14.5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5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5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5"/>
      <c r="N108" s="14"/>
      <c r="O108" s="9"/>
      <c r="P108" s="14"/>
      <c r="Q108" s="14"/>
      <c r="R108" s="10"/>
      <c r="S108" s="10"/>
    </row>
    <row r="109" spans="1:19" ht="14.5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5"/>
      <c r="N109" s="14"/>
      <c r="O109" s="9"/>
      <c r="P109" s="14"/>
      <c r="Q109" s="14"/>
      <c r="R109" s="10"/>
      <c r="S109" s="10"/>
    </row>
    <row r="110" spans="1:19" ht="14.5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5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5"/>
      <c r="N111" s="14"/>
      <c r="O111" s="9"/>
      <c r="P111" s="14"/>
      <c r="Q111" s="14"/>
      <c r="R111" s="10"/>
      <c r="S111" s="10"/>
    </row>
    <row r="112" spans="1:19" ht="14.5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5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5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5"/>
      <c r="N114" s="14"/>
      <c r="O114" s="9"/>
      <c r="P114" s="14"/>
      <c r="Q114" s="14"/>
      <c r="R114" s="10"/>
      <c r="S114" s="10"/>
    </row>
    <row r="115" spans="1:19" ht="14.5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5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5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5"/>
      <c r="N117" s="14"/>
      <c r="O117" s="9"/>
      <c r="P117" s="14"/>
      <c r="Q117" s="14"/>
      <c r="R117" s="10"/>
      <c r="S117" s="10"/>
    </row>
    <row r="118" spans="1:19" ht="14.5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5"/>
      <c r="N118" s="14"/>
      <c r="O118" s="9"/>
      <c r="P118" s="14"/>
      <c r="Q118" s="14"/>
      <c r="R118" s="10"/>
      <c r="S118" s="10"/>
    </row>
    <row r="119" spans="1:19" ht="14.5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5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5"/>
      <c r="N120" s="14"/>
      <c r="O120" s="9"/>
      <c r="P120" s="14"/>
      <c r="Q120" s="14"/>
      <c r="R120" s="10"/>
      <c r="S120" s="10"/>
    </row>
    <row r="121" spans="1:19" ht="14.5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5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5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5"/>
      <c r="N123" s="14"/>
      <c r="O123" s="9"/>
      <c r="P123" s="14"/>
      <c r="Q123" s="14"/>
      <c r="R123" s="10"/>
      <c r="S123" s="10"/>
    </row>
    <row r="124" spans="1:19" ht="14.5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5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5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5"/>
      <c r="N126" s="14"/>
      <c r="O126" s="9"/>
      <c r="P126" s="14"/>
      <c r="Q126" s="14"/>
      <c r="R126" s="10"/>
      <c r="S126" s="10"/>
    </row>
    <row r="127" spans="1:19" ht="14.5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5"/>
      <c r="N127" s="14"/>
      <c r="O127" s="9"/>
      <c r="P127" s="14"/>
      <c r="Q127" s="14"/>
      <c r="R127" s="10"/>
      <c r="S127" s="10"/>
    </row>
    <row r="128" spans="1:19" ht="14.5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5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5"/>
      <c r="N129" s="14"/>
      <c r="O129" s="9"/>
      <c r="P129" s="14"/>
      <c r="Q129" s="14"/>
      <c r="R129" s="10"/>
      <c r="S129" s="10"/>
    </row>
    <row r="130" spans="1:19" ht="14.5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5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5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5"/>
      <c r="N132" s="14"/>
      <c r="O132" s="9"/>
      <c r="P132" s="14"/>
      <c r="Q132" s="14"/>
      <c r="R132" s="10"/>
      <c r="S132" s="10"/>
    </row>
    <row r="133" spans="1:19" ht="14.5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5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5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5"/>
      <c r="N135" s="14"/>
      <c r="O135" s="9"/>
      <c r="P135" s="14"/>
      <c r="Q135" s="14"/>
      <c r="R135" s="10"/>
      <c r="S135" s="10"/>
    </row>
    <row r="136" spans="1:19" ht="14.5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5"/>
      <c r="N136" s="14"/>
      <c r="O136" s="9"/>
      <c r="P136" s="14"/>
      <c r="Q136" s="14"/>
      <c r="R136" s="10"/>
      <c r="S136" s="10"/>
    </row>
    <row r="137" spans="1:19" ht="14.5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5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5"/>
      <c r="N138" s="14"/>
      <c r="O138" s="9"/>
      <c r="P138" s="14"/>
      <c r="Q138" s="14"/>
      <c r="R138" s="10"/>
      <c r="S138" s="10"/>
    </row>
    <row r="139" spans="1:19" ht="14.5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5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5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5"/>
      <c r="N141" s="14"/>
      <c r="O141" s="9"/>
      <c r="P141" s="14"/>
      <c r="Q141" s="14"/>
      <c r="R141" s="10"/>
      <c r="S141" s="10"/>
    </row>
    <row r="142" spans="1:19" ht="14.5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5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5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5"/>
      <c r="N144" s="14"/>
      <c r="O144" s="9"/>
      <c r="P144" s="14"/>
      <c r="Q144" s="14"/>
      <c r="R144" s="10"/>
      <c r="S144" s="10"/>
    </row>
    <row r="145" spans="1:19" ht="14.5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5"/>
      <c r="N145" s="14"/>
      <c r="O145" s="9"/>
      <c r="P145" s="14"/>
      <c r="Q145" s="14"/>
      <c r="R145" s="10"/>
      <c r="S145" s="10"/>
    </row>
    <row r="146" spans="1:19" ht="14.5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5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5"/>
      <c r="N147" s="14"/>
      <c r="O147" s="9"/>
      <c r="P147" s="14"/>
      <c r="Q147" s="14"/>
      <c r="R147" s="10"/>
      <c r="S147" s="10"/>
    </row>
    <row r="148" spans="1:19" ht="14.5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5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5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5"/>
      <c r="N150" s="14"/>
      <c r="O150" s="9"/>
      <c r="P150" s="14"/>
      <c r="Q150" s="14"/>
      <c r="R150" s="10"/>
      <c r="S150" s="10"/>
    </row>
    <row r="151" spans="1:19" ht="14.5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5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5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5"/>
      <c r="N153" s="14"/>
      <c r="O153" s="9"/>
      <c r="P153" s="14"/>
      <c r="Q153" s="14"/>
      <c r="R153" s="10"/>
      <c r="S153" s="10"/>
    </row>
    <row r="154" spans="1:19" ht="14.5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5"/>
      <c r="N154" s="14"/>
      <c r="O154" s="9"/>
      <c r="P154" s="14"/>
      <c r="Q154" s="14"/>
      <c r="R154" s="10"/>
      <c r="S154" s="10"/>
    </row>
    <row r="155" spans="1:19" ht="14.5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5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5"/>
      <c r="N156" s="14"/>
      <c r="O156" s="9"/>
      <c r="P156" s="14"/>
      <c r="Q156" s="14"/>
      <c r="R156" s="10"/>
      <c r="S156" s="10"/>
    </row>
    <row r="157" spans="1:19" ht="14.5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5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5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5"/>
      <c r="N159" s="14"/>
      <c r="O159" s="9"/>
      <c r="P159" s="14"/>
      <c r="Q159" s="14"/>
      <c r="R159" s="10"/>
      <c r="S159" s="10"/>
    </row>
    <row r="160" spans="1:19" ht="14.5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5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5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5"/>
      <c r="N162" s="14"/>
      <c r="O162" s="9"/>
      <c r="P162" s="14"/>
      <c r="Q162" s="14"/>
      <c r="R162" s="10"/>
      <c r="S162" s="10"/>
    </row>
    <row r="163" spans="1:19" ht="14.5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5"/>
      <c r="N163" s="14"/>
      <c r="O163" s="9"/>
      <c r="P163" s="14"/>
      <c r="Q163" s="14"/>
      <c r="R163" s="10"/>
      <c r="S163" s="10"/>
    </row>
    <row r="164" spans="1:19" ht="14.5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5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5"/>
      <c r="N165" s="14"/>
      <c r="O165" s="9"/>
      <c r="P165" s="21"/>
      <c r="Q165" s="21"/>
      <c r="R165" s="10"/>
      <c r="S165" s="10"/>
    </row>
    <row r="166" spans="1:19" ht="14.5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5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5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5"/>
      <c r="N168" s="14"/>
      <c r="O168" s="9"/>
      <c r="P168" s="21"/>
      <c r="Q168" s="21"/>
      <c r="R168" s="10"/>
      <c r="S168" s="10"/>
    </row>
    <row r="169" spans="1:19" ht="14.5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5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5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5"/>
      <c r="N171" s="14"/>
      <c r="O171" s="9"/>
      <c r="P171" s="21"/>
      <c r="Q171" s="21"/>
      <c r="R171" s="10"/>
      <c r="S171" s="10"/>
    </row>
    <row r="172" spans="1:19" ht="14.5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5"/>
      <c r="N172" s="14"/>
      <c r="O172" s="9"/>
      <c r="P172" s="21"/>
      <c r="Q172" s="21"/>
      <c r="R172" s="10"/>
      <c r="S172" s="10"/>
    </row>
    <row r="173" spans="1:19" ht="14.5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6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6"/>
      <c r="O174" s="9"/>
      <c r="P174" s="21"/>
      <c r="Q174" s="21"/>
      <c r="R174" s="10"/>
      <c r="S174" s="10"/>
    </row>
    <row r="175" spans="1:19" ht="14.5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6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6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6"/>
      <c r="O177" s="9"/>
      <c r="P177" s="21"/>
      <c r="Q177" s="21"/>
    </row>
    <row r="178" spans="1:17" ht="14.5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6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6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6"/>
      <c r="O180" s="9"/>
      <c r="P180" s="21"/>
      <c r="Q180" s="21"/>
    </row>
    <row r="181" spans="1:17" ht="14.5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6"/>
      <c r="O181" s="9"/>
      <c r="P181" s="21"/>
      <c r="Q181" s="21"/>
    </row>
    <row r="182" spans="1:17" ht="14.55" thickTop="1" x14ac:dyDescent="0.3">
      <c r="G182" s="28"/>
      <c r="O182" s="9"/>
    </row>
  </sheetData>
  <mergeCells count="36">
    <mergeCell ref="A74:A82"/>
    <mergeCell ref="B74:B76"/>
    <mergeCell ref="B77:B79"/>
    <mergeCell ref="B80:B82"/>
    <mergeCell ref="A56:A64"/>
    <mergeCell ref="B56:B58"/>
    <mergeCell ref="B59:B61"/>
    <mergeCell ref="B62:B64"/>
    <mergeCell ref="A65:A73"/>
    <mergeCell ref="B65:B67"/>
    <mergeCell ref="B68:B70"/>
    <mergeCell ref="B71:B73"/>
    <mergeCell ref="A38:A46"/>
    <mergeCell ref="B38:B40"/>
    <mergeCell ref="B41:B43"/>
    <mergeCell ref="B44:B46"/>
    <mergeCell ref="A47:A55"/>
    <mergeCell ref="B47:B49"/>
    <mergeCell ref="B50:B52"/>
    <mergeCell ref="B53:B55"/>
    <mergeCell ref="A20:A28"/>
    <mergeCell ref="B20:B22"/>
    <mergeCell ref="B23:B25"/>
    <mergeCell ref="B26:B28"/>
    <mergeCell ref="A29:A37"/>
    <mergeCell ref="B29:B31"/>
    <mergeCell ref="B32:B34"/>
    <mergeCell ref="B35:B37"/>
    <mergeCell ref="A2:A10"/>
    <mergeCell ref="B2:B4"/>
    <mergeCell ref="B5:B7"/>
    <mergeCell ref="B8:B10"/>
    <mergeCell ref="A11:A19"/>
    <mergeCell ref="B11:B13"/>
    <mergeCell ref="B14:B16"/>
    <mergeCell ref="B17:B1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9885-BA26-4C35-BE76-410CB518E489}">
  <dimension ref="A1:V182"/>
  <sheetViews>
    <sheetView topLeftCell="D19" zoomScale="70" zoomScaleNormal="70" workbookViewId="0">
      <selection activeCell="P28" sqref="P28"/>
    </sheetView>
  </sheetViews>
  <sheetFormatPr defaultColWidth="9.19921875" defaultRowHeight="14" x14ac:dyDescent="0.3"/>
  <cols>
    <col min="1" max="1" width="10.69921875" style="23" customWidth="1"/>
    <col min="2" max="2" width="10.69921875" style="24" customWidth="1"/>
    <col min="3" max="3" width="12.69921875" style="25" bestFit="1" customWidth="1"/>
    <col min="4" max="4" width="20.296875" style="25" customWidth="1"/>
    <col min="5" max="5" width="21" style="25" customWidth="1"/>
    <col min="6" max="6" width="11.5" style="5" customWidth="1"/>
    <col min="7" max="7" width="11.5" style="29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7" customWidth="1"/>
    <col min="14" max="15" width="12.69921875" style="21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7" customWidth="1"/>
    <col min="23" max="16384" width="9.19921875" style="7"/>
  </cols>
  <sheetData>
    <row r="1" spans="1:22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7" t="s">
        <v>10</v>
      </c>
      <c r="H1" s="26" t="s">
        <v>31</v>
      </c>
      <c r="I1" s="26" t="s">
        <v>32</v>
      </c>
      <c r="J1" s="26" t="s">
        <v>9</v>
      </c>
      <c r="K1" s="26" t="s">
        <v>33</v>
      </c>
      <c r="L1" s="26" t="s">
        <v>34</v>
      </c>
      <c r="M1" s="6"/>
      <c r="N1" s="48" t="s">
        <v>54</v>
      </c>
      <c r="O1" s="48" t="s">
        <v>55</v>
      </c>
      <c r="P1" s="48" t="s">
        <v>56</v>
      </c>
      <c r="Q1" s="48" t="s">
        <v>57</v>
      </c>
      <c r="R1" s="48" t="s">
        <v>58</v>
      </c>
      <c r="S1" s="48" t="s">
        <v>59</v>
      </c>
      <c r="T1" s="45" t="s">
        <v>60</v>
      </c>
      <c r="U1" s="45" t="s">
        <v>61</v>
      </c>
      <c r="V1" s="6"/>
    </row>
    <row r="2" spans="1:22" ht="15.75" customHeight="1" thickTop="1" x14ac:dyDescent="0.3">
      <c r="A2" s="80" t="s">
        <v>65</v>
      </c>
      <c r="B2" s="83">
        <v>1</v>
      </c>
      <c r="C2" s="30" t="s">
        <v>4</v>
      </c>
      <c r="D2" s="58" t="s">
        <v>62</v>
      </c>
      <c r="E2" s="58"/>
      <c r="F2" s="67" t="e">
        <f>(AVERAGEIF(D2:E2,"&gt;0",D2:E2))*10^3*100/7</f>
        <v>#DIV/0!</v>
      </c>
      <c r="G2" s="7"/>
      <c r="H2" s="5" t="s">
        <v>11</v>
      </c>
      <c r="J2" s="38"/>
      <c r="K2" s="41">
        <f t="array" ref="K2">IFERROR(INDEX($I$2:$I$81,SMALL(IF(ISNUMBER($I$2:$I$81),ROW($A$1:$A$80),""),ROW(A1))),"")</f>
        <v>23523809.523809522</v>
      </c>
      <c r="L2" s="41">
        <f t="array" ref="L2">IFERROR(INDEX($J$2:$J$81,SMALL(IF(ISNUMBER($J$2:$J$81),ROW($A$1:$A$80),""),ROW(A1))),"")</f>
        <v>827873.26908160548</v>
      </c>
      <c r="M2" s="63" t="s">
        <v>51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81"/>
      <c r="B3" s="84"/>
      <c r="C3" s="11" t="s">
        <v>2</v>
      </c>
      <c r="D3" s="11">
        <v>171</v>
      </c>
      <c r="E3" s="11">
        <v>166</v>
      </c>
      <c r="F3" s="68">
        <f>(AVERAGEIF(D3:E3,"&gt;0",D3:E3))*10^4*100/7</f>
        <v>24071428.571428571</v>
      </c>
      <c r="G3" s="7">
        <v>1</v>
      </c>
      <c r="H3" s="5">
        <f t="array" ref="H3">IFERROR(INDEX($F$2:$F$181,SMALL(IF($G$2:$G$181=1,ROW($A$1:$A$163),""),ROW(A1))),"")</f>
        <v>24071428.571428571</v>
      </c>
      <c r="J3" s="39"/>
      <c r="K3" s="41">
        <f t="array" ref="K3">IFERROR(INDEX($I$2:$I$81,SMALL(IF(ISNUMBER($I$2:$I$81),ROW($A$1:$A$80),""),ROW(A2))),"")</f>
        <v>5791666.666666667</v>
      </c>
      <c r="L3" s="41">
        <f t="array" ref="L3">IFERROR(INDEX($J$2:$J$81,SMALL(IF(ISNUMBER($J$2:$J$81),ROW($A$1:$A$80),""),ROW(A2))),"")</f>
        <v>2850666.9541237778</v>
      </c>
      <c r="M3" s="63" t="s">
        <v>52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4.55" thickBot="1" x14ac:dyDescent="0.35">
      <c r="A4" s="81"/>
      <c r="B4" s="85"/>
      <c r="C4" s="12" t="s">
        <v>3</v>
      </c>
      <c r="D4" s="12">
        <v>12</v>
      </c>
      <c r="E4" s="12">
        <v>15</v>
      </c>
      <c r="F4" s="69">
        <f>(AVERAGEIF(D4:E4,"&gt;0",D4:E4))*10^5*100/7</f>
        <v>19285714.285714287</v>
      </c>
      <c r="G4" s="7"/>
      <c r="H4" s="5">
        <f t="array" ref="H4">IFERROR(INDEX($F$2:$F$181,SMALL(IF($G$2:$G$181=1,ROW($A$1:$A$163),""),ROW(A2))),"")</f>
        <v>22571428.571428571</v>
      </c>
      <c r="J4" s="39"/>
      <c r="K4" s="41">
        <f t="array" ref="K4">IFERROR(INDEX($I$2:$I$81,SMALL(IF(ISNUMBER($I$2:$I$81),ROW($A$1:$A$80),""),ROW(A3))),"")</f>
        <v>4537500</v>
      </c>
      <c r="L4" s="41">
        <f t="array" ref="L4">IFERROR(INDEX($J$2:$J$81,SMALL(IF(ISNUMBER($J$2:$J$81),ROW($A$1:$A$80),""),ROW(A3))),"")</f>
        <v>833572.88223646046</v>
      </c>
      <c r="M4" s="64"/>
      <c r="N4" s="9">
        <f t="array" ref="N4">IFERROR(INDEX($F$2:$F$181,SMALL(_xlfn.IFS($G$2:$G$181&lt;$N$2,"",$G$2:$G$181&gt;$N$3,"",ISNUMBER($G$2:$G$181),ROW($A$1:$A$180)),ROW(A1))),"")</f>
        <v>24071428.571428571</v>
      </c>
      <c r="O4" s="9">
        <f t="array" ref="O4">IFERROR(INDEX($F$2:$F$181,SMALL(_xlfn.IFS($G$2:$G$181&lt;$O$2,"",$G$2:$G$181&gt;$O$3,"",ISNUMBER($G$2:$G$181),ROW($A$1:$A$180)),ROW(A1))),"")</f>
        <v>3062500</v>
      </c>
      <c r="P4" s="9">
        <f t="array" ref="P4">IFERROR(INDEX($F$2:$F$181,SMALL(_xlfn.IFS($G$2:$G$181&lt;$P$2,"",$G$2:$G$181&gt;$P$3,"",ISNUMBER($G$2:$G$181),ROW($A$1:$A$180)),ROW(A1))),"")</f>
        <v>4050000</v>
      </c>
      <c r="Q4" s="9">
        <f t="array" ref="Q4">IFERROR(INDEX($F$2:$F$181,SMALL(_xlfn.IFS($G$2:$G$181&lt;$Q$2,"",$G$2:$G$181&gt;$Q$3,"",ISNUMBER($G$2:$G$181),ROW($A$1:$A$180)),ROW(A1))),"")</f>
        <v>3387500</v>
      </c>
      <c r="R4" s="9">
        <f t="array" ref="R4">IFERROR(INDEX($F$2:$F$181,SMALL(_xlfn.IFS($G$2:$G$181&lt;$R$2,"",$G$2:$G$181&gt;$R$3,"",ISNUMBER($G$2:$G$181),ROW($A$1:$A$180)),ROW(A1))),"")</f>
        <v>1256250</v>
      </c>
      <c r="S4" s="10" t="str">
        <f t="array" ref="S4">IFERROR(INDEX($F$2:$F$181,SMALL(_xlfn.IFS($G$2:$G$181&lt;$S$2,"",$G$2:$G$181&gt;$S$3,"",ISNUMBER($G$2:$G$181),ROW($A$1:$A$180)),ROW(A1))),"")</f>
        <v/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ht="14.55" thickTop="1" x14ac:dyDescent="0.3">
      <c r="A5" s="81"/>
      <c r="B5" s="86">
        <v>2</v>
      </c>
      <c r="C5" s="8" t="s">
        <v>4</v>
      </c>
      <c r="D5" s="59" t="s">
        <v>64</v>
      </c>
      <c r="E5" s="59"/>
      <c r="F5" s="67" t="e">
        <f t="shared" ref="F5" si="0">(AVERAGEIF(D5:E5,"&gt;0",D5:E5))*10^3*100/7</f>
        <v>#DIV/0!</v>
      </c>
      <c r="G5" s="7"/>
      <c r="H5" s="5">
        <f t="array" ref="H5">IFERROR(INDEX($F$2:$F$181,SMALL(IF($G$2:$G$181=1,ROW($A$1:$A$163),""),ROW(A3))),"")</f>
        <v>23928571.428571429</v>
      </c>
      <c r="I5" s="5">
        <f>AVERAGE(H3:H5)</f>
        <v>23523809.523809522</v>
      </c>
      <c r="J5" s="39">
        <f>STDEV(H3:H5)</f>
        <v>827873.26908160548</v>
      </c>
      <c r="K5" s="41">
        <f t="array" ref="K5">IFERROR(INDEX($I$2:$I$81,SMALL(IF(ISNUMBER($I$2:$I$81),ROW($A$1:$A$80),""),ROW(A4))),"")</f>
        <v>2439583.3333333335</v>
      </c>
      <c r="L5" s="41">
        <f t="array" ref="L5">IFERROR(INDEX($J$2:$J$81,SMALL(IF(ISNUMBER($J$2:$J$81),ROW($A$1:$A$80),""),ROW(A4))),"")</f>
        <v>821068.59995577345</v>
      </c>
      <c r="M5" s="64"/>
      <c r="N5" s="9">
        <f t="array" ref="N5">IFERROR(INDEX($F$2:$F$181,SMALL(_xlfn.IFS($G$2:$G$181&lt;$N$2,"",$G$2:$G$181&gt;$N$3,"",ISNUMBER($G$2:$G$181),ROW($A$1:$A$180)),ROW(A2))),"")</f>
        <v>22571428.571428571</v>
      </c>
      <c r="O5" s="9">
        <f t="array" ref="O5">IFERROR(INDEX($F$2:$F$181,SMALL(_xlfn.IFS($G$2:$G$181&lt;$O$2,"",$G$2:$G$181&gt;$O$3,"",ISNUMBER($G$2:$G$181),ROW($A$1:$A$180)),ROW(A2))),"")</f>
        <v>8750000</v>
      </c>
      <c r="P5" s="9">
        <f t="array" ref="P5">IFERROR(INDEX($F$2:$F$181,SMALL(_xlfn.IFS($G$2:$G$181&lt;$P$2,"",$G$2:$G$181&gt;$P$3,"",ISNUMBER($G$2:$G$181),ROW($A$1:$A$180)),ROW(A2))),"")</f>
        <v>4062500</v>
      </c>
      <c r="Q5" s="9">
        <f t="array" ref="Q5">IFERROR(INDEX($F$2:$F$181,SMALL(_xlfn.IFS($G$2:$G$181&lt;$Q$2,"",$G$2:$G$181&gt;$Q$3,"",ISNUMBER($G$2:$G$181),ROW($A$1:$A$180)),ROW(A2))),"")</f>
        <v>1981250</v>
      </c>
      <c r="R5" s="9">
        <f t="array" ref="R5">IFERROR(INDEX($F$2:$F$181,SMALL(_xlfn.IFS($G$2:$G$181&lt;$R$2,"",$G$2:$G$181&gt;$R$3,"",ISNUMBER($G$2:$G$181),ROW($A$1:$A$180)),ROW(A2))),"")</f>
        <v>693750</v>
      </c>
      <c r="S5" s="10" t="str">
        <f t="array" ref="S5">IFERROR(INDEX($F$2:$F$181,SMALL(_xlfn.IFS($G$2:$G$181&lt;$S$2,"",$G$2:$G$181&gt;$S$3,"",ISNUMBER($G$2:$G$181),ROW($A$1:$A$180)),ROW(A2))),"")</f>
        <v/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81"/>
      <c r="B6" s="84"/>
      <c r="C6" s="11" t="s">
        <v>2</v>
      </c>
      <c r="D6" s="11">
        <v>152</v>
      </c>
      <c r="E6" s="11">
        <v>164</v>
      </c>
      <c r="F6" s="68">
        <f t="shared" ref="F6" si="1">(AVERAGEIF(D6:E6,"&gt;0",D6:E6))*10^4*100/7</f>
        <v>22571428.571428571</v>
      </c>
      <c r="G6" s="7">
        <v>1</v>
      </c>
      <c r="H6" s="5" t="s">
        <v>12</v>
      </c>
      <c r="J6" s="39"/>
      <c r="K6" s="41">
        <f t="array" ref="K6">IFERROR(INDEX($I$2:$I$81,SMALL(IF(ISNUMBER($I$2:$I$81),ROW($A$1:$A$80),""),ROW(A5))),"")</f>
        <v>845833.33333333337</v>
      </c>
      <c r="L6" s="41">
        <f t="array" ref="L6">IFERROR(INDEX($J$2:$J$81,SMALL(IF(ISNUMBER($J$2:$J$81),ROW($A$1:$A$80),""),ROW(A5))),"")</f>
        <v>359379.52895696962</v>
      </c>
      <c r="M6" s="64"/>
      <c r="N6" s="9">
        <f t="array" ref="N6">IFERROR(INDEX($F$2:$F$181,SMALL(_xlfn.IFS($G$2:$G$181&lt;$N$2,"",$G$2:$G$181&gt;$N$3,"",ISNUMBER($G$2:$G$181),ROW($A$1:$A$180)),ROW(A3))),"")</f>
        <v>23928571.428571429</v>
      </c>
      <c r="O6" s="9">
        <f t="array" ref="O6">IFERROR(INDEX($F$2:$F$181,SMALL(_xlfn.IFS($G$2:$G$181&lt;$O$2,"",$G$2:$G$181&gt;$O$3,"",ISNUMBER($G$2:$G$181),ROW($A$1:$A$180)),ROW(A3))),"")</f>
        <v>5562500</v>
      </c>
      <c r="P6" s="9">
        <f t="array" ref="P6">IFERROR(INDEX($F$2:$F$181,SMALL(_xlfn.IFS($G$2:$G$181&lt;$P$2,"",$G$2:$G$181&gt;$P$3,"",ISNUMBER($G$2:$G$181),ROW($A$1:$A$180)),ROW(A3))),"")</f>
        <v>5500000</v>
      </c>
      <c r="Q6" s="9">
        <f t="array" ref="Q6">IFERROR(INDEX($F$2:$F$181,SMALL(_xlfn.IFS($G$2:$G$181&lt;$Q$2,"",$G$2:$G$181&gt;$Q$3,"",ISNUMBER($G$2:$G$181),ROW($A$1:$A$180)),ROW(A3))),"")</f>
        <v>1950000</v>
      </c>
      <c r="R6" s="9">
        <f t="array" ref="R6">IFERROR(INDEX($F$2:$F$181,SMALL(_xlfn.IFS($G$2:$G$181&lt;$R$2,"",$G$2:$G$181&gt;$R$3,"",ISNUMBER($G$2:$G$181),ROW($A$1:$A$180)),ROW(A3))),"")</f>
        <v>587500</v>
      </c>
      <c r="S6" s="10" t="str">
        <f t="array" ref="S6">IFERROR(INDEX($F$2:$F$181,SMALL(_xlfn.IFS($G$2:$G$181&lt;$S$2,"",$G$2:$G$181&gt;$S$3,"",ISNUMBER($G$2:$G$181),ROW($A$1:$A$180)),ROW(A3))),"")</f>
        <v/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4.55" thickBot="1" x14ac:dyDescent="0.35">
      <c r="A7" s="81"/>
      <c r="B7" s="85"/>
      <c r="C7" s="12" t="s">
        <v>3</v>
      </c>
      <c r="D7" s="12">
        <v>13</v>
      </c>
      <c r="E7" s="12">
        <v>12</v>
      </c>
      <c r="F7" s="69">
        <f t="shared" ref="F7" si="2">(AVERAGEIF(D7:E7,"&gt;0",D7:E7))*10^5*100/7</f>
        <v>17857142.857142858</v>
      </c>
      <c r="G7" s="7"/>
      <c r="H7" s="5">
        <f t="array" ref="H7">IFERROR(INDEX($F$2:$F$181,SMALL(IF($G$2:$G$181=2,ROW($A$1:$A$163),""),ROW(A1))),"")</f>
        <v>3062500</v>
      </c>
      <c r="J7" s="39"/>
      <c r="K7" s="41" t="str">
        <f t="array" ref="K7">IFERROR(INDEX($I$2:$I$81,SMALL(IF(ISNUMBER($I$2:$I$81),ROW($A$1:$A$80),""),ROW(A6))),"")</f>
        <v/>
      </c>
      <c r="L7" s="41" t="str">
        <f t="array" ref="L7">IFERROR(INDEX($J$2:$J$81,SMALL(IF(ISNUMBER($J$2:$J$81),ROW($A$1:$A$80),""),ROW(A6))),"")</f>
        <v/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ht="14.55" thickTop="1" x14ac:dyDescent="0.3">
      <c r="A8" s="81"/>
      <c r="B8" s="86">
        <v>3</v>
      </c>
      <c r="C8" s="8" t="s">
        <v>4</v>
      </c>
      <c r="D8" s="59" t="s">
        <v>64</v>
      </c>
      <c r="E8" s="59"/>
      <c r="F8" s="67" t="e">
        <f t="shared" ref="F8" si="3">(AVERAGEIF(D8:E8,"&gt;0",D8:E8))*10^3*100/7</f>
        <v>#DIV/0!</v>
      </c>
      <c r="G8" s="7"/>
      <c r="H8" s="5">
        <f t="array" ref="H8">IFERROR(INDEX($F$2:$F$181,SMALL(IF($G$2:$G$181=2,ROW($A$1:$A$163),""),ROW(A2))),"")</f>
        <v>8750000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81"/>
      <c r="B9" s="84"/>
      <c r="C9" s="11" t="s">
        <v>2</v>
      </c>
      <c r="D9" s="11">
        <v>174</v>
      </c>
      <c r="E9" s="11">
        <v>161</v>
      </c>
      <c r="F9" s="68">
        <f t="shared" ref="F9" si="4">(AVERAGEIF(D9:E9,"&gt;0",D9:E9))*10^4*100/7</f>
        <v>23928571.428571429</v>
      </c>
      <c r="G9" s="7">
        <v>1</v>
      </c>
      <c r="H9" s="5">
        <f t="array" ref="H9">IFERROR(INDEX($F$2:$F$181,SMALL(IF($G$2:$G$181=2,ROW($A$1:$A$163),""),ROW(A3))),"")</f>
        <v>5562500</v>
      </c>
      <c r="I9" s="5">
        <f>AVERAGE(H7:H9)</f>
        <v>5791666.666666667</v>
      </c>
      <c r="J9" s="39">
        <f>STDEV(H7:H9)</f>
        <v>2850666.9541237778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4.55" thickBot="1" x14ac:dyDescent="0.35">
      <c r="A10" s="82"/>
      <c r="B10" s="87"/>
      <c r="C10" s="35" t="s">
        <v>3</v>
      </c>
      <c r="D10" s="35">
        <v>11</v>
      </c>
      <c r="E10" s="35">
        <v>25</v>
      </c>
      <c r="F10" s="69">
        <f t="shared" ref="F10" si="5">(AVERAGEIF(D10:E10,"&gt;0",D10:E10))*10^5*100/7</f>
        <v>25714285.714285713</v>
      </c>
      <c r="G10" s="7"/>
      <c r="H10" s="5" t="s">
        <v>13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5" customHeight="1" thickTop="1" x14ac:dyDescent="0.3">
      <c r="A11" s="80" t="s">
        <v>66</v>
      </c>
      <c r="B11" s="83">
        <v>1</v>
      </c>
      <c r="C11" s="30" t="s">
        <v>4</v>
      </c>
      <c r="D11" s="30">
        <v>222</v>
      </c>
      <c r="E11" s="30">
        <v>228</v>
      </c>
      <c r="F11" s="31">
        <f t="shared" ref="F11" si="6">(AVERAGEIF(D11:E11,"&gt;0",D11:E11))*10^3*100/8</f>
        <v>2812500</v>
      </c>
      <c r="G11" s="7"/>
      <c r="H11" s="5">
        <f t="array" ref="H11">IFERROR(INDEX($F$2:$F$181,SMALL(IF($G$2:$G$181=3,ROW($A$1:$A$163),""),ROW(A1))),"")</f>
        <v>4050000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81"/>
      <c r="B12" s="84"/>
      <c r="C12" s="11" t="s">
        <v>2</v>
      </c>
      <c r="D12" s="11">
        <v>20</v>
      </c>
      <c r="E12" s="11">
        <v>29</v>
      </c>
      <c r="F12" s="32">
        <f t="shared" ref="F12" si="7">(AVERAGEIF(D12:E12,"&gt;0",D12:E12))*10^4*100/8</f>
        <v>3062500</v>
      </c>
      <c r="G12" s="7">
        <v>2</v>
      </c>
      <c r="H12" s="5">
        <f t="array" ref="H12">IFERROR(INDEX($F$2:$F$181,SMALL(IF($G$2:$G$181=3,ROW($A$1:$A$163),""),ROW(A2))),"")</f>
        <v>4062500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4.55" thickBot="1" x14ac:dyDescent="0.35">
      <c r="A13" s="81"/>
      <c r="B13" s="85"/>
      <c r="C13" s="12" t="s">
        <v>3</v>
      </c>
      <c r="D13" s="12" t="s">
        <v>63</v>
      </c>
      <c r="E13" s="12"/>
      <c r="F13" s="33" t="e">
        <f t="shared" ref="F13" si="8">(AVERAGEIF(D13:E13,"&gt;0",D13:E13))*10^5*100/8</f>
        <v>#DIV/0!</v>
      </c>
      <c r="G13" s="7"/>
      <c r="H13" s="5">
        <f t="array" ref="H13">IFERROR(INDEX($F$2:$F$181,SMALL(IF($G$2:$G$181=3,ROW($A$1:$A$163),""),ROW(A3))),"")</f>
        <v>5500000</v>
      </c>
      <c r="I13" s="5">
        <f>AVERAGE(H11:H13)</f>
        <v>4537500</v>
      </c>
      <c r="J13" s="39">
        <f>STDEV(H11:H13)</f>
        <v>833572.88223646046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81"/>
      <c r="B14" s="86">
        <v>2</v>
      </c>
      <c r="C14" s="8" t="s">
        <v>4</v>
      </c>
      <c r="D14" s="8" t="s">
        <v>64</v>
      </c>
      <c r="E14" s="8"/>
      <c r="F14" s="34" t="e">
        <f t="shared" ref="F14" si="9">(AVERAGEIF(D14:E14,"&gt;0",D14:E14))*10^3*100/8</f>
        <v>#DIV/0!</v>
      </c>
      <c r="G14" s="7"/>
      <c r="H14" s="5" t="s">
        <v>14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81"/>
      <c r="B15" s="84"/>
      <c r="C15" s="11" t="s">
        <v>2</v>
      </c>
      <c r="D15" s="11">
        <v>84</v>
      </c>
      <c r="E15" s="11">
        <v>60</v>
      </c>
      <c r="F15" s="32">
        <f t="shared" ref="F15" si="10">(AVERAGEIF(D15:E15,"&gt;0",D15:E15))*10^4*100/8</f>
        <v>9000000</v>
      </c>
      <c r="G15" s="7"/>
      <c r="H15" s="5">
        <f t="array" ref="H15">IFERROR(INDEX($F$2:$F$181,SMALL(IF($G$2:$G$181=4,ROW($A$1:$A$163),""),ROW(A1))),"")</f>
        <v>3387500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4.55" thickBot="1" x14ac:dyDescent="0.35">
      <c r="A16" s="81"/>
      <c r="B16" s="85"/>
      <c r="C16" s="12" t="s">
        <v>3</v>
      </c>
      <c r="D16" s="12">
        <v>7</v>
      </c>
      <c r="E16" s="12"/>
      <c r="F16" s="33">
        <f t="shared" ref="F16" si="11">(AVERAGEIF(D16:E16,"&gt;0",D16:E16))*10^5*100/8</f>
        <v>8750000</v>
      </c>
      <c r="G16" s="7">
        <v>2</v>
      </c>
      <c r="H16" s="5">
        <f t="array" ref="H16">IFERROR(INDEX($F$2:$F$181,SMALL(IF($G$2:$G$181=4,ROW($A$1:$A$163),""),ROW(A2))),"")</f>
        <v>1981250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81"/>
      <c r="B17" s="86">
        <v>3</v>
      </c>
      <c r="C17" s="8" t="s">
        <v>4</v>
      </c>
      <c r="D17" s="8" t="s">
        <v>64</v>
      </c>
      <c r="E17" s="8"/>
      <c r="F17" s="34" t="e">
        <f t="shared" ref="F17" si="12">(AVERAGEIF(D17:E17,"&gt;0",D17:E17))*10^3*100/8</f>
        <v>#DIV/0!</v>
      </c>
      <c r="G17" s="7"/>
      <c r="H17" s="5">
        <f t="array" ref="H17">IFERROR(INDEX($F$2:$F$181,SMALL(IF($G$2:$G$181=4,ROW($A$1:$A$163),""),ROW(A3))),"")</f>
        <v>1950000</v>
      </c>
      <c r="I17" s="5">
        <f>AVERAGE(H15:H17)</f>
        <v>2439583.3333333335</v>
      </c>
      <c r="J17" s="39">
        <f>STDEV(H15:H17)</f>
        <v>821068.59995577345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81"/>
      <c r="B18" s="84"/>
      <c r="C18" s="11" t="s">
        <v>2</v>
      </c>
      <c r="D18" s="11">
        <v>46</v>
      </c>
      <c r="E18" s="11">
        <v>43</v>
      </c>
      <c r="F18" s="32">
        <f t="shared" ref="F18" si="13">(AVERAGEIF(D18:E18,"&gt;0",D18:E18))*10^4*100/8</f>
        <v>5562500</v>
      </c>
      <c r="G18" s="7">
        <v>2</v>
      </c>
      <c r="H18" s="5" t="s">
        <v>15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4.55" thickBot="1" x14ac:dyDescent="0.35">
      <c r="A19" s="82"/>
      <c r="B19" s="87"/>
      <c r="C19" s="35" t="s">
        <v>3</v>
      </c>
      <c r="D19" s="35">
        <v>6</v>
      </c>
      <c r="E19" s="35">
        <v>4</v>
      </c>
      <c r="F19" s="36">
        <f t="shared" ref="F19" si="14">(AVERAGEIF(D19:E19,"&gt;0",D19:E19))*10^5*100/8</f>
        <v>6250000</v>
      </c>
      <c r="G19" s="7"/>
      <c r="H19" s="5">
        <f t="array" ref="H19">IFERROR(INDEX($F$2:$F$181,SMALL(IF($G$2:$G$181=5,ROW($A$1:$A$163),""),ROW(A1))),"")</f>
        <v>1256250</v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4.55" thickTop="1" x14ac:dyDescent="0.3">
      <c r="A20" s="80" t="s">
        <v>67</v>
      </c>
      <c r="B20" s="83">
        <v>1</v>
      </c>
      <c r="C20" s="30" t="s">
        <v>4</v>
      </c>
      <c r="D20" s="58">
        <v>324</v>
      </c>
      <c r="E20" s="58"/>
      <c r="F20" s="31">
        <f t="shared" ref="F20" si="15">(AVERAGEIF(D20:E20,"&gt;0",D20:E20))*10^3*100/8</f>
        <v>4050000</v>
      </c>
      <c r="G20" s="7">
        <v>3</v>
      </c>
      <c r="H20" s="5">
        <f t="array" ref="H20">IFERROR(INDEX($F$2:$F$181,SMALL(IF($G$2:$G$181=5,ROW($A$1:$A$163),""),ROW(A2))),"")</f>
        <v>693750</v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81"/>
      <c r="B21" s="84"/>
      <c r="C21" s="11" t="s">
        <v>2</v>
      </c>
      <c r="D21" s="11">
        <v>26</v>
      </c>
      <c r="E21" s="11"/>
      <c r="F21" s="32">
        <f t="shared" ref="F21" si="16">(AVERAGEIF(D21:E21,"&gt;0",D21:E21))*10^4*100/8</f>
        <v>3250000</v>
      </c>
      <c r="G21" s="7"/>
      <c r="H21" s="5">
        <f t="array" ref="H21">IFERROR(INDEX($F$2:$F$181,SMALL(IF($G$2:$G$181=5,ROW($A$1:$A$163),""),ROW(A3))),"")</f>
        <v>587500</v>
      </c>
      <c r="I21" s="5">
        <f>AVERAGE(H19:H21)</f>
        <v>845833.33333333337</v>
      </c>
      <c r="J21" s="39">
        <f>STDEV(H19:H21)</f>
        <v>359379.52895696962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4.55" thickBot="1" x14ac:dyDescent="0.35">
      <c r="A22" s="81"/>
      <c r="B22" s="85"/>
      <c r="C22" s="12" t="s">
        <v>3</v>
      </c>
      <c r="D22" s="12" t="s">
        <v>63</v>
      </c>
      <c r="E22" s="12"/>
      <c r="F22" s="33" t="e">
        <f t="shared" ref="F22" si="17">(AVERAGEIF(D22:E22,"&gt;0",D22:E22))*10^5*100/8</f>
        <v>#DIV/0!</v>
      </c>
      <c r="G22" s="7"/>
      <c r="H22" s="5" t="s">
        <v>16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70">
        <v>3</v>
      </c>
      <c r="N22" s="46" t="s">
        <v>35</v>
      </c>
      <c r="O22" s="46" t="s">
        <v>36</v>
      </c>
      <c r="P22" s="46" t="s">
        <v>37</v>
      </c>
      <c r="Q22" s="46" t="s">
        <v>38</v>
      </c>
      <c r="R22" s="47" t="s">
        <v>39</v>
      </c>
      <c r="S22" s="47" t="s">
        <v>40</v>
      </c>
      <c r="T22" s="45" t="s">
        <v>41</v>
      </c>
      <c r="U22" s="45" t="s">
        <v>42</v>
      </c>
    </row>
    <row r="23" spans="1:21" x14ac:dyDescent="0.3">
      <c r="A23" s="81"/>
      <c r="B23" s="86">
        <v>2</v>
      </c>
      <c r="C23" s="8" t="s">
        <v>4</v>
      </c>
      <c r="D23" s="59" t="s">
        <v>64</v>
      </c>
      <c r="E23" s="59"/>
      <c r="F23" s="34" t="e">
        <f t="shared" ref="F23" si="18">(AVERAGEIF(D23:E23,"&gt;0",D23:E23))*10^3*100/8</f>
        <v>#DIV/0!</v>
      </c>
      <c r="G23" s="7"/>
      <c r="H23" s="5" t="str">
        <f t="array" ref="H23">IFERROR(INDEX($F$2:$F$181,SMALL(IF($G$2:$G$181=6,ROW($A$1:$A$163),""),ROW(A1))),"")</f>
        <v/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70">
        <v>4</v>
      </c>
      <c r="N23" s="9">
        <f>AVERAGE(N4:N21)</f>
        <v>23523809.523809522</v>
      </c>
      <c r="O23" s="9">
        <f t="shared" ref="O23:U23" si="19">AVERAGE(O4:O21)</f>
        <v>5791666.666666667</v>
      </c>
      <c r="P23" s="9">
        <f t="shared" si="19"/>
        <v>4537500</v>
      </c>
      <c r="Q23" s="9">
        <f t="shared" si="19"/>
        <v>2439583.3333333335</v>
      </c>
      <c r="R23" s="9">
        <f t="shared" si="19"/>
        <v>845833.33333333337</v>
      </c>
      <c r="S23" s="9" t="e">
        <f t="shared" si="19"/>
        <v>#DIV/0!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81"/>
      <c r="B24" s="84"/>
      <c r="C24" s="11" t="s">
        <v>2</v>
      </c>
      <c r="D24" s="11">
        <v>21</v>
      </c>
      <c r="E24" s="11">
        <v>44</v>
      </c>
      <c r="F24" s="32">
        <f t="shared" ref="F24" si="20">(AVERAGEIF(D24:E24,"&gt;0",D24:E24))*10^4*100/8</f>
        <v>4062500</v>
      </c>
      <c r="G24" s="7">
        <v>3</v>
      </c>
      <c r="H24" s="5" t="str">
        <f t="array" ref="H24">IFERROR(INDEX($F$2:$F$181,SMALL(IF($G$2:$G$181=6,ROW($A$1:$A$163),""),ROW(A2))),"")</f>
        <v/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70">
        <v>5</v>
      </c>
      <c r="N24" s="46" t="s">
        <v>43</v>
      </c>
      <c r="O24" s="46" t="s">
        <v>44</v>
      </c>
      <c r="P24" s="46" t="s">
        <v>45</v>
      </c>
      <c r="Q24" s="46" t="s">
        <v>46</v>
      </c>
      <c r="R24" s="47" t="s">
        <v>47</v>
      </c>
      <c r="S24" s="47" t="s">
        <v>48</v>
      </c>
      <c r="T24" s="45" t="s">
        <v>50</v>
      </c>
      <c r="U24" s="45" t="s">
        <v>49</v>
      </c>
    </row>
    <row r="25" spans="1:21" ht="14.55" thickBot="1" x14ac:dyDescent="0.35">
      <c r="A25" s="81"/>
      <c r="B25" s="85"/>
      <c r="C25" s="12" t="s">
        <v>3</v>
      </c>
      <c r="D25" s="12" t="s">
        <v>63</v>
      </c>
      <c r="E25" s="12"/>
      <c r="F25" s="33" t="e">
        <f t="shared" ref="F25" si="21">(AVERAGEIF(D25:E25,"&gt;0",D25:E25))*10^5*100/8</f>
        <v>#DIV/0!</v>
      </c>
      <c r="G25" s="7"/>
      <c r="H25" s="5" t="str">
        <f t="array" ref="H25">IFERROR(INDEX($F$2:$F$181,SMALL(IF($G$2:$G$181=6,ROW($A$1:$A$163),""),ROW(A3))),"")</f>
        <v/>
      </c>
      <c r="I25" s="5" t="e">
        <f>AVERAGE(H23:H25)</f>
        <v>#DIV/0!</v>
      </c>
      <c r="J25" s="39" t="e">
        <f>STDEV(H23:H25)</f>
        <v>#DIV/0!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70">
        <v>6</v>
      </c>
      <c r="N25" s="14">
        <f t="shared" ref="N25:P25" si="22">STDEV(N4:N21)</f>
        <v>827873.26908160548</v>
      </c>
      <c r="O25" s="14">
        <f t="shared" si="22"/>
        <v>2850666.9541237778</v>
      </c>
      <c r="P25" s="14">
        <f t="shared" si="22"/>
        <v>833572.88223646046</v>
      </c>
      <c r="Q25" s="14">
        <f>STDEV(Q4:Q21)</f>
        <v>821068.59995577345</v>
      </c>
      <c r="R25" s="14">
        <f t="shared" ref="R25:U25" si="23">STDEV(R4:R21)</f>
        <v>359379.52895696962</v>
      </c>
      <c r="S25" s="14" t="e">
        <f t="shared" si="23"/>
        <v>#DIV/0!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81"/>
      <c r="B26" s="86">
        <v>3</v>
      </c>
      <c r="C26" s="8" t="s">
        <v>4</v>
      </c>
      <c r="D26" s="59" t="s">
        <v>64</v>
      </c>
      <c r="E26" s="59"/>
      <c r="F26" s="34" t="e">
        <f t="shared" ref="F26" si="24">(AVERAGEIF(D26:E26,"&gt;0",D26:E26))*10^3*100/8</f>
        <v>#DIV/0!</v>
      </c>
      <c r="G26" s="7"/>
      <c r="H26" s="5" t="s">
        <v>17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70">
        <v>7</v>
      </c>
      <c r="N26" s="14"/>
      <c r="O26" s="9"/>
      <c r="P26" s="9"/>
      <c r="Q26" s="9"/>
      <c r="R26" s="10"/>
      <c r="S26" s="10"/>
    </row>
    <row r="27" spans="1:21" x14ac:dyDescent="0.3">
      <c r="A27" s="81"/>
      <c r="B27" s="84"/>
      <c r="C27" s="11" t="s">
        <v>2</v>
      </c>
      <c r="D27" s="11">
        <v>38</v>
      </c>
      <c r="E27" s="11">
        <v>50</v>
      </c>
      <c r="F27" s="32">
        <f t="shared" ref="F27" si="25">(AVERAGEIF(D27:E27,"&gt;0",D27:E27))*10^4*100/8</f>
        <v>5500000</v>
      </c>
      <c r="G27" s="7">
        <v>3</v>
      </c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4.55" thickBot="1" x14ac:dyDescent="0.35">
      <c r="A28" s="82"/>
      <c r="B28" s="87"/>
      <c r="C28" s="35" t="s">
        <v>3</v>
      </c>
      <c r="D28" s="35" t="s">
        <v>63</v>
      </c>
      <c r="E28" s="35"/>
      <c r="F28" s="36" t="e">
        <f t="shared" ref="F28" si="26">(AVERAGEIF(D28:E28,"&gt;0",D28:E28))*10^5*100/8</f>
        <v>#DIV/0!</v>
      </c>
      <c r="G28" s="7"/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$N$23/O23</f>
        <v>4.0616649537512846</v>
      </c>
      <c r="P28" s="9">
        <f t="shared" ref="P28:R28" si="27">$N$23/P23</f>
        <v>5.1843106388560933</v>
      </c>
      <c r="Q28" s="9">
        <f t="shared" si="27"/>
        <v>9.6425521532267897</v>
      </c>
      <c r="R28" s="9">
        <f t="shared" si="27"/>
        <v>27.811400422237856</v>
      </c>
      <c r="S28" s="9" t="e">
        <f t="shared" ref="S28:U28" si="28">R23/S23</f>
        <v>#DIV/0!</v>
      </c>
      <c r="T28" s="9"/>
      <c r="U28" s="9" t="e">
        <f t="shared" si="28"/>
        <v>#DIV/0!</v>
      </c>
    </row>
    <row r="29" spans="1:21" ht="14.55" thickTop="1" x14ac:dyDescent="0.3">
      <c r="A29" s="80" t="s">
        <v>69</v>
      </c>
      <c r="B29" s="83">
        <v>1</v>
      </c>
      <c r="C29" s="30" t="s">
        <v>4</v>
      </c>
      <c r="D29" s="58">
        <v>271</v>
      </c>
      <c r="E29" s="58"/>
      <c r="F29" s="31">
        <f t="shared" ref="F29" si="29">(AVERAGEIF(D29:E29,"&gt;0",D29:E29))*10^3*100/8</f>
        <v>3387500</v>
      </c>
      <c r="G29" s="7">
        <v>4</v>
      </c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/>
      <c r="R29" s="10"/>
      <c r="S29" s="10"/>
      <c r="T29" s="14"/>
      <c r="U29" s="14"/>
    </row>
    <row r="30" spans="1:21" x14ac:dyDescent="0.3">
      <c r="A30" s="81"/>
      <c r="B30" s="84"/>
      <c r="C30" s="11" t="s">
        <v>2</v>
      </c>
      <c r="D30" s="11">
        <v>32</v>
      </c>
      <c r="E30" s="11">
        <v>30</v>
      </c>
      <c r="F30" s="32">
        <f t="shared" ref="F30" si="30">(AVERAGEIF(D30:E30,"&gt;0",D30:E30))*10^4*100/8</f>
        <v>3875000</v>
      </c>
      <c r="G30" s="7"/>
      <c r="H30" s="5" t="s">
        <v>18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4.55" thickBot="1" x14ac:dyDescent="0.35">
      <c r="A31" s="81"/>
      <c r="B31" s="85"/>
      <c r="C31" s="12" t="s">
        <v>3</v>
      </c>
      <c r="D31" s="12">
        <v>3</v>
      </c>
      <c r="E31" s="12">
        <v>3</v>
      </c>
      <c r="F31" s="33">
        <f t="shared" ref="F31" si="31">(AVERAGEIF(D31:E31,"&gt;0",D31:E31))*10^5*100/8</f>
        <v>3750000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x14ac:dyDescent="0.3">
      <c r="A32" s="81"/>
      <c r="B32" s="86">
        <v>2</v>
      </c>
      <c r="C32" s="8" t="s">
        <v>4</v>
      </c>
      <c r="D32" s="59">
        <v>161</v>
      </c>
      <c r="E32" s="59">
        <v>156</v>
      </c>
      <c r="F32" s="34">
        <f t="shared" ref="F32" si="32">(AVERAGEIF(D32:E32,"&gt;0",D32:E32))*10^3*100/8</f>
        <v>1981250</v>
      </c>
      <c r="G32" s="7">
        <v>4</v>
      </c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81"/>
      <c r="B33" s="84"/>
      <c r="C33" s="11" t="s">
        <v>2</v>
      </c>
      <c r="D33" s="11">
        <v>13</v>
      </c>
      <c r="E33" s="11">
        <v>16</v>
      </c>
      <c r="F33" s="32">
        <f t="shared" ref="F33" si="33">(AVERAGEIF(D33:E33,"&gt;0",D33:E33))*10^4*100/8</f>
        <v>1812500</v>
      </c>
      <c r="G33" s="7"/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4.55" thickBot="1" x14ac:dyDescent="0.35">
      <c r="A34" s="81"/>
      <c r="B34" s="85"/>
      <c r="C34" s="12" t="s">
        <v>3</v>
      </c>
      <c r="D34" s="12">
        <v>2</v>
      </c>
      <c r="E34" s="12">
        <v>1</v>
      </c>
      <c r="F34" s="33">
        <f t="shared" ref="F34" si="34">(AVERAGEIF(D34:E34,"&gt;0",D34:E34))*10^5*100/8</f>
        <v>1875000</v>
      </c>
      <c r="G34" s="7"/>
      <c r="H34" s="5" t="s">
        <v>19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x14ac:dyDescent="0.3">
      <c r="A35" s="81"/>
      <c r="B35" s="86">
        <v>3</v>
      </c>
      <c r="C35" s="8" t="s">
        <v>4</v>
      </c>
      <c r="D35" s="59">
        <v>132</v>
      </c>
      <c r="E35" s="59">
        <v>180</v>
      </c>
      <c r="F35" s="34">
        <f t="shared" ref="F35" si="35">(AVERAGEIF(D35:E35,"&gt;0",D35:E35))*10^3*100/8</f>
        <v>1950000</v>
      </c>
      <c r="G35" s="7">
        <v>4</v>
      </c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81"/>
      <c r="B36" s="84"/>
      <c r="C36" s="11" t="s">
        <v>2</v>
      </c>
      <c r="D36" s="11">
        <v>31</v>
      </c>
      <c r="E36" s="11">
        <v>18</v>
      </c>
      <c r="F36" s="32">
        <f t="shared" ref="F36" si="36">(AVERAGEIF(D36:E36,"&gt;0",D36:E36))*10^4*100/8</f>
        <v>3062500</v>
      </c>
      <c r="G36" s="7"/>
      <c r="H36" s="5" t="str">
        <f t="array" ref="H36">IFERROR(INDEX($F$2:$F$181,SMALL(IF($G$2:$G$181=9,ROW($A$1:$A$163),""),ROW(A2))),"")</f>
        <v/>
      </c>
      <c r="J36" s="40"/>
      <c r="K36" s="13"/>
      <c r="L36" s="13"/>
      <c r="M36" s="65"/>
      <c r="N36" s="14"/>
      <c r="O36" s="9"/>
      <c r="P36" s="9"/>
      <c r="Q36" s="9"/>
      <c r="R36" s="10"/>
      <c r="S36" s="10"/>
    </row>
    <row r="37" spans="1:19" ht="14.55" thickBot="1" x14ac:dyDescent="0.35">
      <c r="A37" s="82"/>
      <c r="B37" s="87"/>
      <c r="C37" s="35" t="s">
        <v>3</v>
      </c>
      <c r="D37" s="35">
        <v>2</v>
      </c>
      <c r="E37" s="35">
        <v>2</v>
      </c>
      <c r="F37" s="36">
        <f t="shared" ref="F37" si="37">(AVERAGEIF(D37:E37,"&gt;0",D37:E37))*10^5*100/8</f>
        <v>2500000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5"/>
      <c r="N37" s="14"/>
      <c r="O37" s="9"/>
      <c r="P37" s="9"/>
      <c r="Q37" s="9"/>
      <c r="R37" s="10"/>
      <c r="S37" s="10"/>
    </row>
    <row r="38" spans="1:19" ht="14.55" thickTop="1" x14ac:dyDescent="0.3">
      <c r="A38" s="88" t="s">
        <v>68</v>
      </c>
      <c r="B38" s="89">
        <v>1</v>
      </c>
      <c r="C38" s="30" t="s">
        <v>53</v>
      </c>
      <c r="D38" s="30" t="s">
        <v>64</v>
      </c>
      <c r="E38" s="30"/>
      <c r="F38" s="34" t="e">
        <f>(AVERAGEIF(D38:E38,"&gt;0",D38:E38))*10^2*100/8</f>
        <v>#DIV/0!</v>
      </c>
      <c r="G38" s="7"/>
      <c r="H38" s="5" t="s">
        <v>20</v>
      </c>
      <c r="J38" s="40"/>
      <c r="K38" s="13"/>
      <c r="L38" s="13"/>
      <c r="M38" s="65"/>
      <c r="N38" s="14"/>
      <c r="O38" s="9"/>
      <c r="P38" s="14"/>
      <c r="Q38" s="14"/>
      <c r="R38" s="10"/>
      <c r="S38" s="10"/>
    </row>
    <row r="39" spans="1:19" x14ac:dyDescent="0.3">
      <c r="A39" s="81"/>
      <c r="B39" s="90"/>
      <c r="C39" s="11" t="s">
        <v>4</v>
      </c>
      <c r="D39" s="71">
        <v>106</v>
      </c>
      <c r="E39" s="71">
        <v>95</v>
      </c>
      <c r="F39" s="32">
        <f>(AVERAGEIF(D39:E39,"&gt;0",D39:E39))*10^3*100/8</f>
        <v>1256250</v>
      </c>
      <c r="G39" s="7">
        <v>5</v>
      </c>
      <c r="H39" s="5" t="str">
        <f t="array" ref="H39">IFERROR(INDEX($F$2:$F$181,SMALL(IF($G$2:$G$181=10,ROW($A$1:$A$163),""),ROW(A1))),"")</f>
        <v/>
      </c>
      <c r="J39" s="40"/>
      <c r="K39" s="13"/>
      <c r="L39" s="13"/>
      <c r="M39" s="65"/>
      <c r="N39" s="14"/>
      <c r="O39" s="9"/>
      <c r="P39" s="14"/>
      <c r="Q39" s="14"/>
      <c r="R39" s="10"/>
      <c r="S39" s="10"/>
    </row>
    <row r="40" spans="1:19" ht="14.55" thickBot="1" x14ac:dyDescent="0.35">
      <c r="A40" s="81"/>
      <c r="B40" s="91"/>
      <c r="C40" s="12" t="s">
        <v>2</v>
      </c>
      <c r="D40" s="12"/>
      <c r="E40" s="12"/>
      <c r="F40" s="36" t="e">
        <f>(AVERAGEIF(D40:E40,"&gt;0",D40:E40))*10^4*100/8</f>
        <v>#DIV/0!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5"/>
      <c r="N40" s="14"/>
      <c r="O40" s="9"/>
      <c r="P40" s="14"/>
      <c r="Q40" s="14"/>
      <c r="R40" s="10"/>
      <c r="S40" s="10"/>
    </row>
    <row r="41" spans="1:19" ht="14.55" thickTop="1" x14ac:dyDescent="0.3">
      <c r="A41" s="81"/>
      <c r="B41" s="92">
        <v>2</v>
      </c>
      <c r="C41" s="30" t="s">
        <v>53</v>
      </c>
      <c r="D41" s="8" t="s">
        <v>64</v>
      </c>
      <c r="E41" s="8"/>
      <c r="F41" s="34" t="e">
        <f t="shared" ref="F41" si="38">(AVERAGEIF(D41:E41,"&gt;0",D41:E41))*10^2*100/8</f>
        <v>#DIV/0!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5"/>
      <c r="N41" s="14"/>
      <c r="O41" s="9"/>
      <c r="P41" s="14"/>
      <c r="Q41" s="14"/>
      <c r="R41" s="10"/>
      <c r="S41" s="10"/>
    </row>
    <row r="42" spans="1:19" x14ac:dyDescent="0.3">
      <c r="A42" s="81"/>
      <c r="B42" s="90"/>
      <c r="C42" s="11" t="s">
        <v>4</v>
      </c>
      <c r="D42" s="71">
        <v>56</v>
      </c>
      <c r="E42" s="71">
        <v>55</v>
      </c>
      <c r="F42" s="32">
        <f t="shared" ref="F42" si="39">(AVERAGEIF(D42:E42,"&gt;0",D42:E42))*10^3*100/8</f>
        <v>693750</v>
      </c>
      <c r="G42" s="7">
        <v>5</v>
      </c>
      <c r="H42" s="5" t="s">
        <v>21</v>
      </c>
      <c r="J42" s="40"/>
      <c r="K42" s="13"/>
      <c r="L42" s="13"/>
      <c r="M42" s="65"/>
      <c r="N42" s="14"/>
      <c r="O42" s="9"/>
      <c r="P42" s="14"/>
      <c r="Q42" s="14"/>
      <c r="R42" s="10"/>
      <c r="S42" s="10"/>
    </row>
    <row r="43" spans="1:19" ht="14.55" thickBot="1" x14ac:dyDescent="0.35">
      <c r="A43" s="81"/>
      <c r="B43" s="91"/>
      <c r="C43" s="12" t="s">
        <v>2</v>
      </c>
      <c r="D43" s="12"/>
      <c r="E43" s="12"/>
      <c r="F43" s="36" t="e">
        <f t="shared" ref="F43" si="40">(AVERAGEIF(D43:E43,"&gt;0",D43:E43))*10^4*100/8</f>
        <v>#DIV/0!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/>
      <c r="M43" s="65"/>
      <c r="N43" s="14"/>
      <c r="O43" s="9"/>
      <c r="P43" s="14"/>
      <c r="Q43" s="14"/>
      <c r="R43" s="10"/>
      <c r="S43" s="10"/>
    </row>
    <row r="44" spans="1:19" ht="14.55" thickTop="1" x14ac:dyDescent="0.3">
      <c r="A44" s="81"/>
      <c r="B44" s="92">
        <v>3</v>
      </c>
      <c r="C44" s="30" t="s">
        <v>53</v>
      </c>
      <c r="D44" s="8"/>
      <c r="E44" s="8"/>
      <c r="F44" s="34" t="e">
        <f t="shared" ref="F44" si="41">(AVERAGEIF(D44:E44,"&gt;0",D44:E44))*10^2*100/8</f>
        <v>#DIV/0!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5"/>
      <c r="N44" s="14"/>
      <c r="O44" s="9"/>
      <c r="P44" s="14"/>
      <c r="Q44" s="14"/>
      <c r="R44" s="10"/>
      <c r="S44" s="10"/>
    </row>
    <row r="45" spans="1:19" x14ac:dyDescent="0.3">
      <c r="A45" s="81"/>
      <c r="B45" s="90"/>
      <c r="C45" s="11" t="s">
        <v>4</v>
      </c>
      <c r="D45" s="71">
        <v>40</v>
      </c>
      <c r="E45" s="71">
        <v>54</v>
      </c>
      <c r="F45" s="32">
        <f t="shared" ref="F45" si="42">(AVERAGEIF(D45:E45,"&gt;0",D45:E45))*10^3*100/8</f>
        <v>587500</v>
      </c>
      <c r="G45" s="7">
        <v>5</v>
      </c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5"/>
      <c r="N45" s="14"/>
      <c r="O45" s="9"/>
      <c r="P45" s="14"/>
      <c r="Q45" s="14"/>
      <c r="R45" s="10"/>
      <c r="S45" s="10"/>
    </row>
    <row r="46" spans="1:19" ht="14.55" thickBot="1" x14ac:dyDescent="0.35">
      <c r="A46" s="82"/>
      <c r="B46" s="93"/>
      <c r="C46" s="12" t="s">
        <v>2</v>
      </c>
      <c r="D46" s="35"/>
      <c r="E46" s="35"/>
      <c r="F46" s="36" t="e">
        <f t="shared" ref="F46" si="43">(AVERAGEIF(D46:E46,"&gt;0",D46:E46))*10^4*100/8</f>
        <v>#DIV/0!</v>
      </c>
      <c r="G46" s="7"/>
      <c r="H46" s="5" t="s">
        <v>22</v>
      </c>
      <c r="J46" s="40"/>
      <c r="K46" s="13"/>
      <c r="L46" s="13"/>
      <c r="M46" s="65"/>
      <c r="N46" s="14"/>
      <c r="O46" s="9"/>
      <c r="P46" s="14"/>
      <c r="Q46" s="14"/>
      <c r="R46" s="10"/>
      <c r="S46" s="10"/>
    </row>
    <row r="47" spans="1:19" ht="14.55" thickTop="1" x14ac:dyDescent="0.3">
      <c r="A47" s="88"/>
      <c r="B47" s="89"/>
      <c r="C47" s="30"/>
      <c r="D47" s="30"/>
      <c r="E47" s="30"/>
      <c r="F47" s="34"/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5"/>
      <c r="N47" s="14"/>
      <c r="O47" s="9"/>
      <c r="P47" s="14"/>
      <c r="Q47" s="14"/>
      <c r="R47" s="10"/>
      <c r="S47" s="10"/>
    </row>
    <row r="48" spans="1:19" x14ac:dyDescent="0.3">
      <c r="A48" s="81"/>
      <c r="B48" s="90"/>
      <c r="C48" s="11"/>
      <c r="D48" s="11"/>
      <c r="E48" s="11"/>
      <c r="F48" s="32"/>
      <c r="G48" s="7"/>
      <c r="H48" s="5" t="str">
        <f t="array" ref="H48">IFERROR(INDEX($F$2:$F$181,SMALL(IF($G$2:$G$181=12,ROW($A$1:$A$163),""),ROW(A2))),"")</f>
        <v/>
      </c>
      <c r="J48" s="40"/>
      <c r="K48" s="13"/>
      <c r="L48" s="13"/>
      <c r="M48" s="65"/>
      <c r="N48" s="14"/>
      <c r="O48" s="9"/>
      <c r="P48" s="14"/>
      <c r="Q48" s="14"/>
      <c r="R48" s="10"/>
      <c r="S48" s="10"/>
    </row>
    <row r="49" spans="1:21" ht="14.55" thickBot="1" x14ac:dyDescent="0.35">
      <c r="A49" s="81"/>
      <c r="B49" s="91"/>
      <c r="C49" s="12"/>
      <c r="D49" s="12"/>
      <c r="E49" s="12"/>
      <c r="F49" s="36"/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5"/>
      <c r="N49" s="14"/>
      <c r="O49" s="9"/>
      <c r="P49" s="14"/>
      <c r="Q49" s="14"/>
      <c r="R49" s="10"/>
      <c r="S49" s="10"/>
    </row>
    <row r="50" spans="1:21" ht="14.55" thickTop="1" x14ac:dyDescent="0.3">
      <c r="A50" s="81"/>
      <c r="B50" s="92"/>
      <c r="C50" s="30"/>
      <c r="D50" s="8"/>
      <c r="E50" s="8"/>
      <c r="F50" s="34"/>
      <c r="G50" s="7"/>
      <c r="H50" s="5" t="s">
        <v>23</v>
      </c>
      <c r="J50" s="40"/>
      <c r="K50" s="13"/>
      <c r="L50" s="13"/>
      <c r="M50" s="65"/>
      <c r="N50" s="14"/>
      <c r="O50" s="9"/>
      <c r="P50" s="14"/>
      <c r="Q50" s="14"/>
      <c r="R50" s="10"/>
      <c r="S50" s="10"/>
    </row>
    <row r="51" spans="1:21" x14ac:dyDescent="0.3">
      <c r="A51" s="81"/>
      <c r="B51" s="90"/>
      <c r="C51" s="11"/>
      <c r="D51" s="11"/>
      <c r="E51" s="11"/>
      <c r="F51" s="32"/>
      <c r="G51" s="7"/>
      <c r="H51" s="5" t="str">
        <f t="array" ref="H51">IFERROR(INDEX($F$2:$F$181,SMALL(IF($G$2:$G$181=13,ROW($A$1:$A$163),""),ROW(A1))),"")</f>
        <v/>
      </c>
      <c r="J51" s="40"/>
      <c r="K51" s="13"/>
      <c r="L51" s="13"/>
      <c r="M51" s="65"/>
      <c r="N51" s="14"/>
      <c r="O51" s="9"/>
      <c r="P51" s="14"/>
      <c r="Q51" s="14"/>
      <c r="R51" s="10"/>
      <c r="S51" s="10"/>
    </row>
    <row r="52" spans="1:21" ht="14.55" thickBot="1" x14ac:dyDescent="0.35">
      <c r="A52" s="81"/>
      <c r="B52" s="91"/>
      <c r="C52" s="12"/>
      <c r="D52" s="12"/>
      <c r="E52" s="12"/>
      <c r="F52" s="36"/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5"/>
      <c r="N52" s="14"/>
      <c r="O52" s="9"/>
      <c r="P52" s="14"/>
      <c r="Q52" s="14"/>
      <c r="R52" s="10"/>
      <c r="S52" s="10"/>
    </row>
    <row r="53" spans="1:21" ht="14.55" thickTop="1" x14ac:dyDescent="0.3">
      <c r="A53" s="81"/>
      <c r="B53" s="92"/>
      <c r="C53" s="30"/>
      <c r="D53" s="8"/>
      <c r="E53" s="8"/>
      <c r="F53" s="34"/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5"/>
      <c r="N53" s="14"/>
      <c r="O53" s="9"/>
      <c r="P53" s="14"/>
      <c r="Q53" s="14"/>
      <c r="R53" s="10"/>
      <c r="S53" s="10"/>
    </row>
    <row r="54" spans="1:21" x14ac:dyDescent="0.3">
      <c r="A54" s="81"/>
      <c r="B54" s="90"/>
      <c r="C54" s="11"/>
      <c r="D54" s="11"/>
      <c r="E54" s="11"/>
      <c r="F54" s="32"/>
      <c r="G54" s="7"/>
      <c r="H54" s="5" t="s">
        <v>24</v>
      </c>
      <c r="J54" s="40"/>
      <c r="K54" s="13"/>
      <c r="L54" s="13"/>
      <c r="M54" s="65"/>
      <c r="N54" s="14"/>
      <c r="O54" s="9"/>
      <c r="P54" s="14"/>
      <c r="Q54" s="14"/>
      <c r="R54" s="10"/>
      <c r="S54" s="10"/>
    </row>
    <row r="55" spans="1:21" ht="14.55" thickBot="1" x14ac:dyDescent="0.35">
      <c r="A55" s="82"/>
      <c r="B55" s="93"/>
      <c r="C55" s="12"/>
      <c r="D55" s="35"/>
      <c r="E55" s="35"/>
      <c r="F55" s="36"/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5"/>
      <c r="N55" s="14"/>
      <c r="O55" s="9"/>
      <c r="P55" s="14"/>
      <c r="Q55" s="14"/>
      <c r="R55" s="10"/>
      <c r="S55" s="10"/>
    </row>
    <row r="56" spans="1:21" ht="14.55" thickTop="1" x14ac:dyDescent="0.3">
      <c r="A56" s="88"/>
      <c r="B56" s="89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5"/>
      <c r="N56" s="14"/>
      <c r="O56" s="9"/>
      <c r="P56" s="14"/>
      <c r="Q56" s="14"/>
      <c r="R56" s="10"/>
      <c r="S56" s="10"/>
    </row>
    <row r="57" spans="1:21" x14ac:dyDescent="0.3">
      <c r="A57" s="81"/>
      <c r="B57" s="90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5"/>
      <c r="N57" s="14"/>
      <c r="O57" s="9"/>
      <c r="P57" s="14"/>
      <c r="Q57" s="14"/>
      <c r="R57" s="10"/>
      <c r="S57" s="10"/>
    </row>
    <row r="58" spans="1:21" ht="14.55" thickBot="1" x14ac:dyDescent="0.35">
      <c r="A58" s="81"/>
      <c r="B58" s="91"/>
      <c r="C58" s="12"/>
      <c r="D58" s="12"/>
      <c r="E58" s="12"/>
      <c r="F58" s="36"/>
      <c r="G58" s="7"/>
      <c r="H58" s="5" t="s">
        <v>25</v>
      </c>
      <c r="J58" s="40"/>
      <c r="K58" s="13"/>
      <c r="L58" s="13"/>
      <c r="M58" s="65"/>
      <c r="N58" s="14"/>
      <c r="O58" s="9"/>
      <c r="P58" s="14"/>
      <c r="Q58" s="14"/>
      <c r="R58" s="10"/>
      <c r="S58" s="10"/>
    </row>
    <row r="59" spans="1:21" ht="14.55" thickTop="1" x14ac:dyDescent="0.3">
      <c r="A59" s="81"/>
      <c r="B59" s="92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5"/>
      <c r="N59" s="14"/>
      <c r="O59" s="9"/>
      <c r="P59" s="14"/>
      <c r="Q59" s="14"/>
      <c r="R59" s="10"/>
      <c r="S59" s="10"/>
    </row>
    <row r="60" spans="1:21" ht="14.55" thickBot="1" x14ac:dyDescent="0.35">
      <c r="A60" s="81"/>
      <c r="B60" s="90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5"/>
      <c r="N60" s="42"/>
      <c r="O60" s="9"/>
      <c r="P60" s="42"/>
      <c r="Q60" s="42"/>
      <c r="R60" s="43"/>
      <c r="S60" s="43"/>
      <c r="T60" s="44"/>
      <c r="U60" s="44"/>
    </row>
    <row r="61" spans="1:21" ht="14.55" thickBot="1" x14ac:dyDescent="0.35">
      <c r="A61" s="81"/>
      <c r="B61" s="9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5"/>
      <c r="N61" s="14"/>
      <c r="O61" s="9"/>
      <c r="P61" s="14"/>
      <c r="Q61" s="14"/>
      <c r="R61" s="10"/>
      <c r="S61" s="10"/>
    </row>
    <row r="62" spans="1:21" ht="14.55" thickTop="1" x14ac:dyDescent="0.3">
      <c r="A62" s="81"/>
      <c r="B62" s="92"/>
      <c r="C62" s="30"/>
      <c r="D62" s="8"/>
      <c r="E62" s="8"/>
      <c r="F62" s="34"/>
      <c r="G62" s="7"/>
      <c r="H62" s="5" t="s">
        <v>26</v>
      </c>
      <c r="J62" s="40"/>
      <c r="K62" s="13"/>
      <c r="L62" s="13"/>
      <c r="M62" s="65"/>
      <c r="N62" s="14"/>
      <c r="O62" s="9"/>
      <c r="P62" s="14"/>
      <c r="Q62" s="14"/>
      <c r="R62" s="10"/>
      <c r="S62" s="10"/>
    </row>
    <row r="63" spans="1:21" x14ac:dyDescent="0.3">
      <c r="A63" s="81"/>
      <c r="B63" s="90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5"/>
      <c r="N63" s="14"/>
      <c r="O63" s="9"/>
      <c r="P63" s="14"/>
      <c r="Q63" s="14"/>
      <c r="R63" s="10"/>
      <c r="S63" s="10"/>
    </row>
    <row r="64" spans="1:21" ht="14.55" thickBot="1" x14ac:dyDescent="0.35">
      <c r="A64" s="82"/>
      <c r="B64" s="93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5"/>
      <c r="N64" s="14"/>
      <c r="O64" s="9"/>
      <c r="P64" s="14"/>
      <c r="Q64" s="14"/>
      <c r="R64" s="10"/>
      <c r="S64" s="10"/>
    </row>
    <row r="65" spans="1:19" ht="14.55" thickTop="1" x14ac:dyDescent="0.3">
      <c r="A65" s="88"/>
      <c r="B65" s="89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5"/>
      <c r="N65" s="14"/>
      <c r="O65" s="9"/>
      <c r="P65" s="14"/>
      <c r="Q65" s="14"/>
      <c r="R65" s="10"/>
      <c r="S65" s="10"/>
    </row>
    <row r="66" spans="1:19" x14ac:dyDescent="0.3">
      <c r="A66" s="81"/>
      <c r="B66" s="90"/>
      <c r="C66" s="11"/>
      <c r="D66" s="11"/>
      <c r="E66" s="11"/>
      <c r="F66" s="32"/>
      <c r="G66" s="7"/>
      <c r="H66" s="5" t="s">
        <v>27</v>
      </c>
      <c r="J66" s="40"/>
      <c r="K66" s="13"/>
      <c r="L66" s="13"/>
      <c r="M66" s="65"/>
      <c r="N66" s="14"/>
      <c r="O66" s="9"/>
      <c r="P66" s="14"/>
      <c r="Q66" s="14"/>
      <c r="R66" s="10"/>
      <c r="S66" s="10"/>
    </row>
    <row r="67" spans="1:19" ht="14.55" thickBot="1" x14ac:dyDescent="0.35">
      <c r="A67" s="81"/>
      <c r="B67" s="9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5"/>
      <c r="N67" s="14"/>
      <c r="O67" s="9"/>
      <c r="P67" s="14"/>
      <c r="Q67" s="14"/>
      <c r="R67" s="10"/>
      <c r="S67" s="10"/>
    </row>
    <row r="68" spans="1:19" ht="14.55" thickTop="1" x14ac:dyDescent="0.3">
      <c r="A68" s="81"/>
      <c r="B68" s="92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5"/>
      <c r="N68" s="14"/>
      <c r="O68" s="9"/>
      <c r="P68" s="14"/>
      <c r="Q68" s="14"/>
      <c r="R68" s="10"/>
      <c r="S68" s="10"/>
    </row>
    <row r="69" spans="1:19" x14ac:dyDescent="0.3">
      <c r="A69" s="81"/>
      <c r="B69" s="90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5"/>
      <c r="N69" s="14"/>
      <c r="O69" s="9"/>
      <c r="P69" s="14"/>
      <c r="Q69" s="14"/>
      <c r="R69" s="10"/>
      <c r="S69" s="10"/>
    </row>
    <row r="70" spans="1:19" ht="14.55" thickBot="1" x14ac:dyDescent="0.35">
      <c r="A70" s="81"/>
      <c r="B70" s="91"/>
      <c r="C70" s="12"/>
      <c r="D70" s="12"/>
      <c r="E70" s="12"/>
      <c r="F70" s="36"/>
      <c r="G70" s="7"/>
      <c r="H70" s="5" t="s">
        <v>28</v>
      </c>
      <c r="J70" s="40"/>
      <c r="K70" s="13"/>
      <c r="L70" s="13"/>
      <c r="M70" s="65"/>
      <c r="N70" s="14"/>
      <c r="O70" s="9"/>
      <c r="P70" s="14"/>
      <c r="Q70" s="14"/>
      <c r="R70" s="10"/>
      <c r="S70" s="10"/>
    </row>
    <row r="71" spans="1:19" ht="14.55" thickTop="1" x14ac:dyDescent="0.3">
      <c r="A71" s="81"/>
      <c r="B71" s="92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5"/>
      <c r="N71" s="14"/>
      <c r="O71" s="9"/>
      <c r="P71" s="14"/>
      <c r="Q71" s="14"/>
      <c r="R71" s="10"/>
      <c r="S71" s="10"/>
    </row>
    <row r="72" spans="1:19" x14ac:dyDescent="0.3">
      <c r="A72" s="81"/>
      <c r="B72" s="90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5"/>
      <c r="N72" s="14"/>
      <c r="O72" s="9"/>
      <c r="P72" s="14"/>
      <c r="Q72" s="14"/>
      <c r="R72" s="10"/>
      <c r="S72" s="10"/>
    </row>
    <row r="73" spans="1:19" ht="14.55" thickBot="1" x14ac:dyDescent="0.35">
      <c r="A73" s="82"/>
      <c r="B73" s="93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5"/>
      <c r="N73" s="14"/>
      <c r="O73" s="9"/>
      <c r="P73" s="14"/>
      <c r="Q73" s="14"/>
      <c r="R73" s="10"/>
      <c r="S73" s="10"/>
    </row>
    <row r="74" spans="1:19" ht="14.55" thickTop="1" x14ac:dyDescent="0.3">
      <c r="A74" s="88"/>
      <c r="B74" s="89"/>
      <c r="C74" s="30"/>
      <c r="D74" s="30"/>
      <c r="E74" s="30"/>
      <c r="F74" s="34"/>
      <c r="G74" s="7"/>
      <c r="H74" s="5" t="s">
        <v>29</v>
      </c>
      <c r="J74" s="40"/>
      <c r="K74" s="13"/>
      <c r="L74" s="13"/>
      <c r="M74" s="65"/>
      <c r="N74" s="14"/>
      <c r="O74" s="9"/>
      <c r="P74" s="14"/>
      <c r="Q74" s="14"/>
      <c r="R74" s="10"/>
      <c r="S74" s="10"/>
    </row>
    <row r="75" spans="1:19" x14ac:dyDescent="0.3">
      <c r="A75" s="81"/>
      <c r="B75" s="90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5"/>
      <c r="N75" s="14"/>
      <c r="O75" s="9"/>
      <c r="P75" s="14"/>
      <c r="Q75" s="14"/>
      <c r="R75" s="10"/>
      <c r="S75" s="10"/>
    </row>
    <row r="76" spans="1:19" ht="14.55" thickBot="1" x14ac:dyDescent="0.35">
      <c r="A76" s="81"/>
      <c r="B76" s="91"/>
      <c r="C76" s="12"/>
      <c r="D76" s="12"/>
      <c r="E76" s="12"/>
      <c r="F76" s="36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5"/>
      <c r="N76" s="14"/>
      <c r="O76" s="9"/>
      <c r="P76" s="14"/>
      <c r="Q76" s="14"/>
      <c r="R76" s="10"/>
      <c r="S76" s="10"/>
    </row>
    <row r="77" spans="1:19" ht="14.55" thickTop="1" x14ac:dyDescent="0.3">
      <c r="A77" s="81"/>
      <c r="B77" s="92"/>
      <c r="C77" s="30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5"/>
      <c r="N77" s="14"/>
      <c r="O77" s="9"/>
      <c r="P77" s="14"/>
      <c r="Q77" s="14"/>
      <c r="R77" s="10"/>
      <c r="S77" s="10"/>
    </row>
    <row r="78" spans="1:19" x14ac:dyDescent="0.3">
      <c r="A78" s="81"/>
      <c r="B78" s="90"/>
      <c r="C78" s="11"/>
      <c r="D78" s="11"/>
      <c r="E78" s="11"/>
      <c r="F78" s="32"/>
      <c r="G78" s="7"/>
      <c r="H78" s="5" t="s">
        <v>30</v>
      </c>
      <c r="J78" s="40"/>
      <c r="K78" s="13"/>
      <c r="L78" s="13"/>
      <c r="M78" s="65"/>
      <c r="N78" s="14"/>
      <c r="O78" s="9"/>
      <c r="P78" s="14"/>
      <c r="Q78" s="14"/>
      <c r="R78" s="10"/>
      <c r="S78" s="10"/>
    </row>
    <row r="79" spans="1:19" ht="14.55" thickBot="1" x14ac:dyDescent="0.35">
      <c r="A79" s="81"/>
      <c r="B79" s="91"/>
      <c r="C79" s="12"/>
      <c r="D79" s="12"/>
      <c r="E79" s="12"/>
      <c r="F79" s="36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5"/>
      <c r="N79" s="14"/>
      <c r="O79" s="9"/>
      <c r="P79" s="14"/>
      <c r="Q79" s="14"/>
      <c r="R79" s="10"/>
      <c r="S79" s="10"/>
    </row>
    <row r="80" spans="1:19" ht="14.55" thickTop="1" x14ac:dyDescent="0.3">
      <c r="A80" s="81"/>
      <c r="B80" s="92"/>
      <c r="C80" s="30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5"/>
      <c r="N80" s="14"/>
      <c r="O80" s="9"/>
      <c r="P80" s="14"/>
      <c r="Q80" s="14"/>
      <c r="R80" s="10"/>
      <c r="S80" s="10"/>
    </row>
    <row r="81" spans="1:22" x14ac:dyDescent="0.3">
      <c r="A81" s="81"/>
      <c r="B81" s="90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5"/>
      <c r="N81" s="14"/>
      <c r="O81" s="9"/>
      <c r="P81" s="14"/>
      <c r="Q81" s="14"/>
      <c r="R81" s="10"/>
      <c r="S81" s="10"/>
    </row>
    <row r="82" spans="1:22" ht="14.55" thickBot="1" x14ac:dyDescent="0.35">
      <c r="A82" s="82"/>
      <c r="B82" s="93"/>
      <c r="C82" s="12"/>
      <c r="D82" s="35"/>
      <c r="E82" s="35"/>
      <c r="F82" s="36"/>
      <c r="G82" s="7"/>
      <c r="J82" s="40"/>
      <c r="K82" s="13"/>
      <c r="L82" s="13"/>
      <c r="M82" s="65"/>
      <c r="N82" s="14"/>
      <c r="O82" s="9"/>
      <c r="P82" s="14"/>
      <c r="Q82" s="14"/>
      <c r="R82" s="10"/>
      <c r="S82" s="10"/>
    </row>
    <row r="83" spans="1:22" ht="14.5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5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5"/>
      <c r="N84" s="14"/>
      <c r="O84" s="9"/>
      <c r="P84" s="14"/>
      <c r="Q84" s="14"/>
      <c r="R84" s="10"/>
      <c r="S84" s="10"/>
    </row>
    <row r="85" spans="1:22" ht="14.5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5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5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5"/>
      <c r="N87" s="14"/>
      <c r="O87" s="9"/>
      <c r="P87" s="14"/>
      <c r="Q87" s="14"/>
      <c r="R87" s="10"/>
      <c r="S87" s="10"/>
    </row>
    <row r="88" spans="1:22" ht="14.5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5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5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5"/>
      <c r="N90" s="14"/>
      <c r="O90" s="9"/>
      <c r="P90" s="14"/>
      <c r="Q90" s="14"/>
      <c r="R90" s="10"/>
      <c r="S90" s="10"/>
    </row>
    <row r="91" spans="1:22" ht="14.5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5"/>
      <c r="N91" s="14"/>
      <c r="O91" s="9"/>
      <c r="P91" s="14"/>
      <c r="Q91" s="14"/>
      <c r="R91" s="10"/>
      <c r="S91" s="10"/>
    </row>
    <row r="92" spans="1:22" ht="14.5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5"/>
      <c r="N92" s="14"/>
      <c r="O92" s="9"/>
      <c r="P92" s="14"/>
      <c r="Q92" s="14"/>
      <c r="R92" s="10"/>
      <c r="S92" s="10"/>
    </row>
    <row r="93" spans="1:22" ht="14.5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5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4.5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5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5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5"/>
      <c r="N96" s="14"/>
      <c r="O96" s="9"/>
      <c r="P96" s="14"/>
      <c r="Q96" s="14"/>
      <c r="R96" s="10"/>
      <c r="S96" s="10"/>
    </row>
    <row r="97" spans="1:19" ht="14.5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5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5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5"/>
      <c r="N99" s="14"/>
      <c r="O99" s="9"/>
      <c r="P99" s="14"/>
      <c r="Q99" s="14"/>
      <c r="R99" s="10"/>
      <c r="S99" s="10"/>
    </row>
    <row r="100" spans="1:19" ht="14.5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5"/>
      <c r="N100" s="14"/>
      <c r="O100" s="9"/>
      <c r="P100" s="14"/>
      <c r="Q100" s="14"/>
      <c r="R100" s="10"/>
      <c r="S100" s="10"/>
    </row>
    <row r="101" spans="1:19" ht="14.5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5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5"/>
      <c r="N102" s="14"/>
      <c r="O102" s="9"/>
      <c r="P102" s="14"/>
      <c r="Q102" s="14"/>
      <c r="R102" s="10"/>
      <c r="S102" s="10"/>
    </row>
    <row r="103" spans="1:19" ht="14.5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5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5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5"/>
      <c r="N105" s="14"/>
      <c r="O105" s="9"/>
      <c r="P105" s="14"/>
      <c r="Q105" s="14"/>
      <c r="R105" s="10"/>
      <c r="S105" s="10"/>
    </row>
    <row r="106" spans="1:19" ht="14.5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5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5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5"/>
      <c r="N108" s="14"/>
      <c r="O108" s="9"/>
      <c r="P108" s="14"/>
      <c r="Q108" s="14"/>
      <c r="R108" s="10"/>
      <c r="S108" s="10"/>
    </row>
    <row r="109" spans="1:19" ht="14.5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5"/>
      <c r="N109" s="14"/>
      <c r="O109" s="9"/>
      <c r="P109" s="14"/>
      <c r="Q109" s="14"/>
      <c r="R109" s="10"/>
      <c r="S109" s="10"/>
    </row>
    <row r="110" spans="1:19" ht="14.5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5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5"/>
      <c r="N111" s="14"/>
      <c r="O111" s="9"/>
      <c r="P111" s="14"/>
      <c r="Q111" s="14"/>
      <c r="R111" s="10"/>
      <c r="S111" s="10"/>
    </row>
    <row r="112" spans="1:19" ht="14.5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5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5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5"/>
      <c r="N114" s="14"/>
      <c r="O114" s="9"/>
      <c r="P114" s="14"/>
      <c r="Q114" s="14"/>
      <c r="R114" s="10"/>
      <c r="S114" s="10"/>
    </row>
    <row r="115" spans="1:19" ht="14.5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5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5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5"/>
      <c r="N117" s="14"/>
      <c r="O117" s="9"/>
      <c r="P117" s="14"/>
      <c r="Q117" s="14"/>
      <c r="R117" s="10"/>
      <c r="S117" s="10"/>
    </row>
    <row r="118" spans="1:19" ht="14.5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5"/>
      <c r="N118" s="14"/>
      <c r="O118" s="9"/>
      <c r="P118" s="14"/>
      <c r="Q118" s="14"/>
      <c r="R118" s="10"/>
      <c r="S118" s="10"/>
    </row>
    <row r="119" spans="1:19" ht="14.5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5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5"/>
      <c r="N120" s="14"/>
      <c r="O120" s="9"/>
      <c r="P120" s="14"/>
      <c r="Q120" s="14"/>
      <c r="R120" s="10"/>
      <c r="S120" s="10"/>
    </row>
    <row r="121" spans="1:19" ht="14.5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5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5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5"/>
      <c r="N123" s="14"/>
      <c r="O123" s="9"/>
      <c r="P123" s="14"/>
      <c r="Q123" s="14"/>
      <c r="R123" s="10"/>
      <c r="S123" s="10"/>
    </row>
    <row r="124" spans="1:19" ht="14.5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5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5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5"/>
      <c r="N126" s="14"/>
      <c r="O126" s="9"/>
      <c r="P126" s="14"/>
      <c r="Q126" s="14"/>
      <c r="R126" s="10"/>
      <c r="S126" s="10"/>
    </row>
    <row r="127" spans="1:19" ht="14.5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5"/>
      <c r="N127" s="14"/>
      <c r="O127" s="9"/>
      <c r="P127" s="14"/>
      <c r="Q127" s="14"/>
      <c r="R127" s="10"/>
      <c r="S127" s="10"/>
    </row>
    <row r="128" spans="1:19" ht="14.5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5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5"/>
      <c r="N129" s="14"/>
      <c r="O129" s="9"/>
      <c r="P129" s="14"/>
      <c r="Q129" s="14"/>
      <c r="R129" s="10"/>
      <c r="S129" s="10"/>
    </row>
    <row r="130" spans="1:19" ht="14.5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5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5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5"/>
      <c r="N132" s="14"/>
      <c r="O132" s="9"/>
      <c r="P132" s="14"/>
      <c r="Q132" s="14"/>
      <c r="R132" s="10"/>
      <c r="S132" s="10"/>
    </row>
    <row r="133" spans="1:19" ht="14.5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5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5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5"/>
      <c r="N135" s="14"/>
      <c r="O135" s="9"/>
      <c r="P135" s="14"/>
      <c r="Q135" s="14"/>
      <c r="R135" s="10"/>
      <c r="S135" s="10"/>
    </row>
    <row r="136" spans="1:19" ht="14.5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5"/>
      <c r="N136" s="14"/>
      <c r="O136" s="9"/>
      <c r="P136" s="14"/>
      <c r="Q136" s="14"/>
      <c r="R136" s="10"/>
      <c r="S136" s="10"/>
    </row>
    <row r="137" spans="1:19" ht="14.5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5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5"/>
      <c r="N138" s="14"/>
      <c r="O138" s="9"/>
      <c r="P138" s="14"/>
      <c r="Q138" s="14"/>
      <c r="R138" s="10"/>
      <c r="S138" s="10"/>
    </row>
    <row r="139" spans="1:19" ht="14.5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5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5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5"/>
      <c r="N141" s="14"/>
      <c r="O141" s="9"/>
      <c r="P141" s="14"/>
      <c r="Q141" s="14"/>
      <c r="R141" s="10"/>
      <c r="S141" s="10"/>
    </row>
    <row r="142" spans="1:19" ht="14.5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5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5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5"/>
      <c r="N144" s="14"/>
      <c r="O144" s="9"/>
      <c r="P144" s="14"/>
      <c r="Q144" s="14"/>
      <c r="R144" s="10"/>
      <c r="S144" s="10"/>
    </row>
    <row r="145" spans="1:19" ht="14.5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5"/>
      <c r="N145" s="14"/>
      <c r="O145" s="9"/>
      <c r="P145" s="14"/>
      <c r="Q145" s="14"/>
      <c r="R145" s="10"/>
      <c r="S145" s="10"/>
    </row>
    <row r="146" spans="1:19" ht="14.5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5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5"/>
      <c r="N147" s="14"/>
      <c r="O147" s="9"/>
      <c r="P147" s="14"/>
      <c r="Q147" s="14"/>
      <c r="R147" s="10"/>
      <c r="S147" s="10"/>
    </row>
    <row r="148" spans="1:19" ht="14.5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5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5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5"/>
      <c r="N150" s="14"/>
      <c r="O150" s="9"/>
      <c r="P150" s="14"/>
      <c r="Q150" s="14"/>
      <c r="R150" s="10"/>
      <c r="S150" s="10"/>
    </row>
    <row r="151" spans="1:19" ht="14.5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5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5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5"/>
      <c r="N153" s="14"/>
      <c r="O153" s="9"/>
      <c r="P153" s="14"/>
      <c r="Q153" s="14"/>
      <c r="R153" s="10"/>
      <c r="S153" s="10"/>
    </row>
    <row r="154" spans="1:19" ht="14.5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5"/>
      <c r="N154" s="14"/>
      <c r="O154" s="9"/>
      <c r="P154" s="14"/>
      <c r="Q154" s="14"/>
      <c r="R154" s="10"/>
      <c r="S154" s="10"/>
    </row>
    <row r="155" spans="1:19" ht="14.5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5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5"/>
      <c r="N156" s="14"/>
      <c r="O156" s="9"/>
      <c r="P156" s="14"/>
      <c r="Q156" s="14"/>
      <c r="R156" s="10"/>
      <c r="S156" s="10"/>
    </row>
    <row r="157" spans="1:19" ht="14.5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5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5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5"/>
      <c r="N159" s="14"/>
      <c r="O159" s="9"/>
      <c r="P159" s="14"/>
      <c r="Q159" s="14"/>
      <c r="R159" s="10"/>
      <c r="S159" s="10"/>
    </row>
    <row r="160" spans="1:19" ht="14.5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5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5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5"/>
      <c r="N162" s="14"/>
      <c r="O162" s="9"/>
      <c r="P162" s="14"/>
      <c r="Q162" s="14"/>
      <c r="R162" s="10"/>
      <c r="S162" s="10"/>
    </row>
    <row r="163" spans="1:19" ht="14.5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5"/>
      <c r="N163" s="14"/>
      <c r="O163" s="9"/>
      <c r="P163" s="14"/>
      <c r="Q163" s="14"/>
      <c r="R163" s="10"/>
      <c r="S163" s="10"/>
    </row>
    <row r="164" spans="1:19" ht="14.5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5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5"/>
      <c r="N165" s="14"/>
      <c r="O165" s="9"/>
      <c r="P165" s="21"/>
      <c r="Q165" s="21"/>
      <c r="R165" s="10"/>
      <c r="S165" s="10"/>
    </row>
    <row r="166" spans="1:19" ht="14.5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5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5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5"/>
      <c r="N168" s="14"/>
      <c r="O168" s="9"/>
      <c r="P168" s="21"/>
      <c r="Q168" s="21"/>
      <c r="R168" s="10"/>
      <c r="S168" s="10"/>
    </row>
    <row r="169" spans="1:19" ht="14.5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5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5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5"/>
      <c r="N171" s="14"/>
      <c r="O171" s="9"/>
      <c r="P171" s="21"/>
      <c r="Q171" s="21"/>
      <c r="R171" s="10"/>
      <c r="S171" s="10"/>
    </row>
    <row r="172" spans="1:19" ht="14.5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5"/>
      <c r="N172" s="14"/>
      <c r="O172" s="9"/>
      <c r="P172" s="21"/>
      <c r="Q172" s="21"/>
      <c r="R172" s="10"/>
      <c r="S172" s="10"/>
    </row>
    <row r="173" spans="1:19" ht="14.5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6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6"/>
      <c r="O174" s="9"/>
      <c r="P174" s="21"/>
      <c r="Q174" s="21"/>
      <c r="R174" s="10"/>
      <c r="S174" s="10"/>
    </row>
    <row r="175" spans="1:19" ht="14.5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6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6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6"/>
      <c r="O177" s="9"/>
      <c r="P177" s="21"/>
      <c r="Q177" s="21"/>
    </row>
    <row r="178" spans="1:17" ht="14.5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6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6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6"/>
      <c r="O180" s="9"/>
      <c r="P180" s="21"/>
      <c r="Q180" s="21"/>
    </row>
    <row r="181" spans="1:17" ht="14.5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6"/>
      <c r="O181" s="9"/>
      <c r="P181" s="21"/>
      <c r="Q181" s="21"/>
    </row>
    <row r="182" spans="1:17" ht="14.55" thickTop="1" x14ac:dyDescent="0.3">
      <c r="G182" s="28"/>
      <c r="O182" s="9"/>
    </row>
  </sheetData>
  <mergeCells count="36">
    <mergeCell ref="A74:A82"/>
    <mergeCell ref="B74:B76"/>
    <mergeCell ref="B77:B79"/>
    <mergeCell ref="B80:B82"/>
    <mergeCell ref="A56:A64"/>
    <mergeCell ref="B56:B58"/>
    <mergeCell ref="B59:B61"/>
    <mergeCell ref="B62:B64"/>
    <mergeCell ref="A65:A73"/>
    <mergeCell ref="B65:B67"/>
    <mergeCell ref="B68:B70"/>
    <mergeCell ref="B71:B73"/>
    <mergeCell ref="A38:A46"/>
    <mergeCell ref="B38:B40"/>
    <mergeCell ref="B41:B43"/>
    <mergeCell ref="B44:B46"/>
    <mergeCell ref="A47:A55"/>
    <mergeCell ref="B47:B49"/>
    <mergeCell ref="B50:B52"/>
    <mergeCell ref="B53:B55"/>
    <mergeCell ref="A20:A28"/>
    <mergeCell ref="B20:B22"/>
    <mergeCell ref="B23:B25"/>
    <mergeCell ref="B26:B28"/>
    <mergeCell ref="A29:A37"/>
    <mergeCell ref="B29:B31"/>
    <mergeCell ref="B32:B34"/>
    <mergeCell ref="B35:B37"/>
    <mergeCell ref="A2:A10"/>
    <mergeCell ref="B2:B4"/>
    <mergeCell ref="B5:B7"/>
    <mergeCell ref="B8:B10"/>
    <mergeCell ref="A11:A19"/>
    <mergeCell ref="B11:B13"/>
    <mergeCell ref="B14:B16"/>
    <mergeCell ref="B17:B1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2AE1-810B-4780-9F2D-76D1D969F93A}">
  <dimension ref="A1:V182"/>
  <sheetViews>
    <sheetView topLeftCell="E28" zoomScale="70" zoomScaleNormal="70" workbookViewId="0">
      <selection activeCell="J46" sqref="J46"/>
    </sheetView>
  </sheetViews>
  <sheetFormatPr defaultColWidth="9.19921875" defaultRowHeight="14" x14ac:dyDescent="0.3"/>
  <cols>
    <col min="1" max="1" width="10.69921875" style="23" customWidth="1"/>
    <col min="2" max="2" width="10.69921875" style="24" customWidth="1"/>
    <col min="3" max="3" width="12.69921875" style="25" bestFit="1" customWidth="1"/>
    <col min="4" max="4" width="20.296875" style="25" customWidth="1"/>
    <col min="5" max="5" width="21" style="25" customWidth="1"/>
    <col min="6" max="6" width="11.5" style="5" customWidth="1"/>
    <col min="7" max="7" width="11.5" style="29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7" customWidth="1"/>
    <col min="14" max="15" width="12.69921875" style="21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7" customWidth="1"/>
    <col min="23" max="16384" width="9.19921875" style="7"/>
  </cols>
  <sheetData>
    <row r="1" spans="1:22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7" t="s">
        <v>10</v>
      </c>
      <c r="H1" s="26" t="s">
        <v>31</v>
      </c>
      <c r="I1" s="26" t="s">
        <v>32</v>
      </c>
      <c r="J1" s="26" t="s">
        <v>9</v>
      </c>
      <c r="K1" s="26" t="s">
        <v>33</v>
      </c>
      <c r="L1" s="26" t="s">
        <v>34</v>
      </c>
      <c r="M1" s="6"/>
      <c r="N1" s="48" t="s">
        <v>54</v>
      </c>
      <c r="O1" s="48" t="s">
        <v>55</v>
      </c>
      <c r="P1" s="48" t="s">
        <v>56</v>
      </c>
      <c r="Q1" s="48" t="s">
        <v>57</v>
      </c>
      <c r="R1" s="48" t="s">
        <v>58</v>
      </c>
      <c r="S1" s="48" t="s">
        <v>59</v>
      </c>
      <c r="T1" s="45" t="s">
        <v>60</v>
      </c>
      <c r="U1" s="45" t="s">
        <v>61</v>
      </c>
      <c r="V1" s="6"/>
    </row>
    <row r="2" spans="1:22" ht="15.75" customHeight="1" thickTop="1" x14ac:dyDescent="0.3">
      <c r="A2" s="80" t="s">
        <v>65</v>
      </c>
      <c r="B2" s="83">
        <v>1</v>
      </c>
      <c r="C2" s="30" t="s">
        <v>4</v>
      </c>
      <c r="D2" s="58"/>
      <c r="E2" s="58"/>
      <c r="F2" s="72" t="e">
        <f>(AVERAGEIF(D2:E2,"&gt;0",D2:E2))*10^3*100/8</f>
        <v>#DIV/0!</v>
      </c>
      <c r="G2" s="7"/>
      <c r="H2" s="5" t="s">
        <v>11</v>
      </c>
      <c r="J2" s="38"/>
      <c r="K2" s="41">
        <f t="array" ref="K2">IFERROR(INDEX($I$2:$I$81,SMALL(IF(ISNUMBER($I$2:$I$81),ROW($A$1:$A$80),""),ROW(A1))),"")</f>
        <v>4416666.666666667</v>
      </c>
      <c r="L2" s="41">
        <f t="array" ref="L2">IFERROR(INDEX($J$2:$J$81,SMALL(IF(ISNUMBER($J$2:$J$81),ROW($A$1:$A$80),""),ROW(A1))),"")</f>
        <v>696905.36181990453</v>
      </c>
      <c r="M2" s="63" t="s">
        <v>51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81"/>
      <c r="B3" s="84"/>
      <c r="C3" s="11" t="s">
        <v>2</v>
      </c>
      <c r="D3" s="11">
        <v>32</v>
      </c>
      <c r="E3" s="11">
        <v>26</v>
      </c>
      <c r="F3" s="73">
        <f>(AVERAGEIF(D3:E3,"&gt;0",D3:E3))*10^4*100/8</f>
        <v>3625000</v>
      </c>
      <c r="G3" s="7">
        <v>1</v>
      </c>
      <c r="H3" s="5">
        <f t="array" ref="H3">IFERROR(INDEX($F$2:$F$181,SMALL(IF($G$2:$G$181=1,ROW($A$1:$A$163),""),ROW(A1))),"")</f>
        <v>3625000</v>
      </c>
      <c r="J3" s="39"/>
      <c r="K3" s="41">
        <f t="array" ref="K3">IFERROR(INDEX($I$2:$I$81,SMALL(IF(ISNUMBER($I$2:$I$81),ROW($A$1:$A$80),""),ROW(A2))),"")</f>
        <v>10833333.333333334</v>
      </c>
      <c r="L3" s="41">
        <f t="array" ref="L3">IFERROR(INDEX($J$2:$J$81,SMALL(IF(ISNUMBER($J$2:$J$81),ROW($A$1:$A$80),""),ROW(A2))),"")</f>
        <v>848558.82726734586</v>
      </c>
      <c r="M3" s="63" t="s">
        <v>52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4.55" thickBot="1" x14ac:dyDescent="0.35">
      <c r="A4" s="81"/>
      <c r="B4" s="85"/>
      <c r="C4" s="12" t="s">
        <v>3</v>
      </c>
      <c r="D4" s="12">
        <v>1</v>
      </c>
      <c r="E4" s="12"/>
      <c r="F4" s="74">
        <f>(AVERAGEIF(D4:E4,"&gt;0",D4:E4))*10^5*100/8</f>
        <v>1250000</v>
      </c>
      <c r="G4" s="7"/>
      <c r="H4" s="5">
        <f t="array" ref="H4">IFERROR(INDEX($F$2:$F$181,SMALL(IF($G$2:$G$181=1,ROW($A$1:$A$163),""),ROW(A2))),"")</f>
        <v>4937500</v>
      </c>
      <c r="J4" s="39"/>
      <c r="K4" s="41">
        <f t="array" ref="K4">IFERROR(INDEX($I$2:$I$81,SMALL(IF(ISNUMBER($I$2:$I$81),ROW($A$1:$A$80),""),ROW(A3))),"")</f>
        <v>2125000</v>
      </c>
      <c r="L4" s="41">
        <f t="array" ref="L4">IFERROR(INDEX($J$2:$J$81,SMALL(IF(ISNUMBER($J$2:$J$81),ROW($A$1:$A$80),""),ROW(A3))),"")</f>
        <v>450693.90943299868</v>
      </c>
      <c r="M4" s="64"/>
      <c r="N4" s="9">
        <f t="array" ref="N4">IFERROR(INDEX($F$2:$F$181,SMALL(_xlfn.IFS($G$2:$G$181&lt;$N$2,"",$G$2:$G$181&gt;$N$3,"",ISNUMBER($G$2:$G$181),ROW($A$1:$A$180)),ROW(A1))),"")</f>
        <v>3625000</v>
      </c>
      <c r="O4" s="9">
        <f t="array" ref="O4">IFERROR(INDEX($F$2:$F$181,SMALL(_xlfn.IFS($G$2:$G$181&lt;$O$2,"",$G$2:$G$181&gt;$O$3,"",ISNUMBER($G$2:$G$181),ROW($A$1:$A$180)),ROW(A1))),"")</f>
        <v>10375000</v>
      </c>
      <c r="P4" s="9">
        <f t="array" ref="P4">IFERROR(INDEX($F$2:$F$181,SMALL(_xlfn.IFS($G$2:$G$181&lt;$P$2,"",$G$2:$G$181&gt;$P$3,"",ISNUMBER($G$2:$G$181),ROW($A$1:$A$180)),ROW(A1))),"")</f>
        <v>1750000</v>
      </c>
      <c r="Q4" s="9">
        <f t="array" ref="Q4">IFERROR(INDEX($F$2:$F$181,SMALL(_xlfn.IFS($G$2:$G$181&lt;$Q$2,"",$G$2:$G$181&gt;$Q$3,"",ISNUMBER($G$2:$G$181),ROW($A$1:$A$180)),ROW(A1))),"")</f>
        <v>1312500</v>
      </c>
      <c r="R4" s="9">
        <f t="array" ref="R4">IFERROR(INDEX($F$2:$F$181,SMALL(_xlfn.IFS($G$2:$G$181&lt;$R$2,"",$G$2:$G$181&gt;$R$3,"",ISNUMBER($G$2:$G$181),ROW($A$1:$A$180)),ROW(A1))),"")</f>
        <v>75625</v>
      </c>
      <c r="S4" s="10" t="str">
        <f t="array" ref="S4">IFERROR(INDEX($F$2:$F$181,SMALL(_xlfn.IFS($G$2:$G$181&lt;$S$2,"",$G$2:$G$181&gt;$S$3,"",ISNUMBER($G$2:$G$181),ROW($A$1:$A$180)),ROW(A1))),"")</f>
        <v/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ht="14.55" thickTop="1" x14ac:dyDescent="0.3">
      <c r="A5" s="81"/>
      <c r="B5" s="86">
        <v>2</v>
      </c>
      <c r="C5" s="8" t="s">
        <v>4</v>
      </c>
      <c r="D5" s="59"/>
      <c r="E5" s="59"/>
      <c r="F5" s="72" t="e">
        <f t="shared" ref="F5" si="0">(AVERAGEIF(D5:E5,"&gt;0",D5:E5))*10^3*100/8</f>
        <v>#DIV/0!</v>
      </c>
      <c r="G5" s="7"/>
      <c r="H5" s="5">
        <f t="array" ref="H5">IFERROR(INDEX($F$2:$F$181,SMALL(IF($G$2:$G$181=1,ROW($A$1:$A$163),""),ROW(A3))),"")</f>
        <v>4687500</v>
      </c>
      <c r="I5" s="5">
        <f>AVERAGE(H3:H5)</f>
        <v>4416666.666666667</v>
      </c>
      <c r="J5" s="39">
        <f>STDEV(H3:H5)</f>
        <v>696905.36181990453</v>
      </c>
      <c r="K5" s="41">
        <f t="array" ref="K5">IFERROR(INDEX($I$2:$I$81,SMALL(IF(ISNUMBER($I$2:$I$81),ROW($A$1:$A$80),""),ROW(A4))),"")</f>
        <v>1168750</v>
      </c>
      <c r="L5" s="41">
        <f t="array" ref="L5">IFERROR(INDEX($J$2:$J$81,SMALL(IF(ISNUMBER($J$2:$J$81),ROW($A$1:$A$80),""),ROW(A4))),"")</f>
        <v>183179.38612191056</v>
      </c>
      <c r="M5" s="64"/>
      <c r="N5" s="9">
        <f t="array" ref="N5">IFERROR(INDEX($F$2:$F$181,SMALL(_xlfn.IFS($G$2:$G$181&lt;$N$2,"",$G$2:$G$181&gt;$N$3,"",ISNUMBER($G$2:$G$181),ROW($A$1:$A$180)),ROW(A2))),"")</f>
        <v>4937500</v>
      </c>
      <c r="O5" s="9">
        <f t="array" ref="O5">IFERROR(INDEX($F$2:$F$181,SMALL(_xlfn.IFS($G$2:$G$181&lt;$O$2,"",$G$2:$G$181&gt;$O$3,"",ISNUMBER($G$2:$G$181),ROW($A$1:$A$180)),ROW(A2))),"")</f>
        <v>10312500</v>
      </c>
      <c r="P5" s="9">
        <f t="array" ref="P5">IFERROR(INDEX($F$2:$F$181,SMALL(_xlfn.IFS($G$2:$G$181&lt;$P$2,"",$G$2:$G$181&gt;$P$3,"",ISNUMBER($G$2:$G$181),ROW($A$1:$A$180)),ROW(A2))),"")</f>
        <v>2000000</v>
      </c>
      <c r="Q5" s="9">
        <f t="array" ref="Q5">IFERROR(INDEX($F$2:$F$181,SMALL(_xlfn.IFS($G$2:$G$181&lt;$Q$2,"",$G$2:$G$181&gt;$Q$3,"",ISNUMBER($G$2:$G$181),ROW($A$1:$A$180)),ROW(A2))),"")</f>
        <v>962500</v>
      </c>
      <c r="R5" s="9">
        <f t="array" ref="R5">IFERROR(INDEX($F$2:$F$181,SMALL(_xlfn.IFS($G$2:$G$181&lt;$R$2,"",$G$2:$G$181&gt;$R$3,"",ISNUMBER($G$2:$G$181),ROW($A$1:$A$180)),ROW(A2))),"")</f>
        <v>110000</v>
      </c>
      <c r="S5" s="10" t="str">
        <f t="array" ref="S5">IFERROR(INDEX($F$2:$F$181,SMALL(_xlfn.IFS($G$2:$G$181&lt;$S$2,"",$G$2:$G$181&gt;$S$3,"",ISNUMBER($G$2:$G$181),ROW($A$1:$A$180)),ROW(A2))),"")</f>
        <v/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81"/>
      <c r="B6" s="84"/>
      <c r="C6" s="11" t="s">
        <v>2</v>
      </c>
      <c r="D6" s="11">
        <v>41</v>
      </c>
      <c r="E6" s="11">
        <v>38</v>
      </c>
      <c r="F6" s="73">
        <f t="shared" ref="F6" si="1">(AVERAGEIF(D6:E6,"&gt;0",D6:E6))*10^4*100/8</f>
        <v>4937500</v>
      </c>
      <c r="G6" s="7">
        <v>1</v>
      </c>
      <c r="H6" s="5" t="s">
        <v>12</v>
      </c>
      <c r="J6" s="39"/>
      <c r="K6" s="41">
        <f t="array" ref="K6">IFERROR(INDEX($I$2:$I$81,SMALL(IF(ISNUMBER($I$2:$I$81),ROW($A$1:$A$80),""),ROW(A5))),"")</f>
        <v>85000</v>
      </c>
      <c r="L6" s="41">
        <f t="array" ref="L6">IFERROR(INDEX($J$2:$J$81,SMALL(IF(ISNUMBER($J$2:$J$81),ROW($A$1:$A$80),""),ROW(A5))),"")</f>
        <v>21875</v>
      </c>
      <c r="M6" s="64"/>
      <c r="N6" s="9">
        <f t="array" ref="N6">IFERROR(INDEX($F$2:$F$181,SMALL(_xlfn.IFS($G$2:$G$181&lt;$N$2,"",$G$2:$G$181&gt;$N$3,"",ISNUMBER($G$2:$G$181),ROW($A$1:$A$180)),ROW(A3))),"")</f>
        <v>4687500</v>
      </c>
      <c r="O6" s="9">
        <f t="array" ref="O6">IFERROR(INDEX($F$2:$F$181,SMALL(_xlfn.IFS($G$2:$G$181&lt;$O$2,"",$G$2:$G$181&gt;$O$3,"",ISNUMBER($G$2:$G$181),ROW($A$1:$A$180)),ROW(A3))),"")</f>
        <v>11812500</v>
      </c>
      <c r="P6" s="9">
        <f t="array" ref="P6">IFERROR(INDEX($F$2:$F$181,SMALL(_xlfn.IFS($G$2:$G$181&lt;$P$2,"",$G$2:$G$181&gt;$P$3,"",ISNUMBER($G$2:$G$181),ROW($A$1:$A$180)),ROW(A3))),"")</f>
        <v>2625000</v>
      </c>
      <c r="Q6" s="9">
        <f t="array" ref="Q6">IFERROR(INDEX($F$2:$F$181,SMALL(_xlfn.IFS($G$2:$G$181&lt;$Q$2,"",$G$2:$G$181&gt;$Q$3,"",ISNUMBER($G$2:$G$181),ROW($A$1:$A$180)),ROW(A3))),"")</f>
        <v>1231250</v>
      </c>
      <c r="R6" s="9">
        <f t="array" ref="R6">IFERROR(INDEX($F$2:$F$181,SMALL(_xlfn.IFS($G$2:$G$181&lt;$R$2,"",$G$2:$G$181&gt;$R$3,"",ISNUMBER($G$2:$G$181),ROW($A$1:$A$180)),ROW(A3))),"")</f>
        <v>69375</v>
      </c>
      <c r="S6" s="10" t="str">
        <f t="array" ref="S6">IFERROR(INDEX($F$2:$F$181,SMALL(_xlfn.IFS($G$2:$G$181&lt;$S$2,"",$G$2:$G$181&gt;$S$3,"",ISNUMBER($G$2:$G$181),ROW($A$1:$A$180)),ROW(A3))),"")</f>
        <v/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4.55" thickBot="1" x14ac:dyDescent="0.35">
      <c r="A7" s="81"/>
      <c r="B7" s="85"/>
      <c r="C7" s="12" t="s">
        <v>3</v>
      </c>
      <c r="D7" s="12">
        <v>2</v>
      </c>
      <c r="E7" s="12">
        <v>3</v>
      </c>
      <c r="F7" s="74">
        <f t="shared" ref="F7" si="2">(AVERAGEIF(D7:E7,"&gt;0",D7:E7))*10^5*100/8</f>
        <v>3125000</v>
      </c>
      <c r="G7" s="7"/>
      <c r="H7" s="5">
        <f t="array" ref="H7">IFERROR(INDEX($F$2:$F$181,SMALL(IF($G$2:$G$181=2,ROW($A$1:$A$163),""),ROW(A1))),"")</f>
        <v>10375000</v>
      </c>
      <c r="J7" s="39"/>
      <c r="K7" s="41" t="str">
        <f t="array" ref="K7">IFERROR(INDEX($I$2:$I$81,SMALL(IF(ISNUMBER($I$2:$I$81),ROW($A$1:$A$80),""),ROW(A6))),"")</f>
        <v/>
      </c>
      <c r="L7" s="41" t="str">
        <f t="array" ref="L7">IFERROR(INDEX($J$2:$J$81,SMALL(IF(ISNUMBER($J$2:$J$81),ROW($A$1:$A$80),""),ROW(A6))),"")</f>
        <v/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ht="14.55" thickTop="1" x14ac:dyDescent="0.3">
      <c r="A8" s="81"/>
      <c r="B8" s="86">
        <v>3</v>
      </c>
      <c r="C8" s="8" t="s">
        <v>4</v>
      </c>
      <c r="D8" s="59"/>
      <c r="E8" s="59"/>
      <c r="F8" s="72" t="e">
        <f t="shared" ref="F8" si="3">(AVERAGEIF(D8:E8,"&gt;0",D8:E8))*10^3*100/8</f>
        <v>#DIV/0!</v>
      </c>
      <c r="G8" s="7"/>
      <c r="H8" s="5">
        <f t="array" ref="H8">IFERROR(INDEX($F$2:$F$181,SMALL(IF($G$2:$G$181=2,ROW($A$1:$A$163),""),ROW(A2))),"")</f>
        <v>10312500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81"/>
      <c r="B9" s="84"/>
      <c r="C9" s="11" t="s">
        <v>2</v>
      </c>
      <c r="D9" s="11">
        <v>38</v>
      </c>
      <c r="E9" s="11">
        <v>37</v>
      </c>
      <c r="F9" s="73">
        <f t="shared" ref="F9" si="4">(AVERAGEIF(D9:E9,"&gt;0",D9:E9))*10^4*100/8</f>
        <v>4687500</v>
      </c>
      <c r="G9" s="7">
        <v>1</v>
      </c>
      <c r="H9" s="5">
        <f t="array" ref="H9">IFERROR(INDEX($F$2:$F$181,SMALL(IF($G$2:$G$181=2,ROW($A$1:$A$163),""),ROW(A3))),"")</f>
        <v>11812500</v>
      </c>
      <c r="I9" s="5">
        <f>AVERAGE(H7:H9)</f>
        <v>10833333.333333334</v>
      </c>
      <c r="J9" s="39">
        <f>STDEV(H7:H9)</f>
        <v>848558.82726734586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4.55" thickBot="1" x14ac:dyDescent="0.35">
      <c r="A10" s="82"/>
      <c r="B10" s="87"/>
      <c r="C10" s="35" t="s">
        <v>3</v>
      </c>
      <c r="D10" s="35">
        <v>4</v>
      </c>
      <c r="E10" s="35">
        <v>3</v>
      </c>
      <c r="F10" s="74">
        <f t="shared" ref="F10" si="5">(AVERAGEIF(D10:E10,"&gt;0",D10:E10))*10^5*100/8</f>
        <v>4375000</v>
      </c>
      <c r="G10" s="7"/>
      <c r="H10" s="5" t="s">
        <v>13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5" customHeight="1" thickTop="1" x14ac:dyDescent="0.3">
      <c r="A11" s="80" t="s">
        <v>66</v>
      </c>
      <c r="B11" s="83">
        <v>1</v>
      </c>
      <c r="C11" s="30" t="s">
        <v>4</v>
      </c>
      <c r="D11" s="30"/>
      <c r="E11" s="30"/>
      <c r="F11" s="31" t="e">
        <f t="shared" ref="F11" si="6">(AVERAGEIF(D11:E11,"&gt;0",D11:E11))*10^3*100/8</f>
        <v>#DIV/0!</v>
      </c>
      <c r="G11" s="7"/>
      <c r="H11" s="5">
        <f t="array" ref="H11">IFERROR(INDEX($F$2:$F$181,SMALL(IF($G$2:$G$181=3,ROW($A$1:$A$163),""),ROW(A1))),"")</f>
        <v>1750000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81"/>
      <c r="B12" s="84"/>
      <c r="C12" s="11" t="s">
        <v>2</v>
      </c>
      <c r="D12" s="11">
        <v>84</v>
      </c>
      <c r="E12" s="11">
        <v>82</v>
      </c>
      <c r="F12" s="32">
        <f t="shared" ref="F12" si="7">(AVERAGEIF(D12:E12,"&gt;0",D12:E12))*10^4*100/8</f>
        <v>10375000</v>
      </c>
      <c r="G12" s="7">
        <v>2</v>
      </c>
      <c r="H12" s="5">
        <f t="array" ref="H12">IFERROR(INDEX($F$2:$F$181,SMALL(IF($G$2:$G$181=3,ROW($A$1:$A$163),""),ROW(A2))),"")</f>
        <v>2000000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4.55" thickBot="1" x14ac:dyDescent="0.35">
      <c r="A13" s="81"/>
      <c r="B13" s="85"/>
      <c r="C13" s="12" t="s">
        <v>3</v>
      </c>
      <c r="D13" s="12">
        <v>9</v>
      </c>
      <c r="E13" s="12">
        <v>0</v>
      </c>
      <c r="F13" s="33">
        <f t="shared" ref="F13" si="8">(AVERAGEIF(D13:E13,"&gt;0",D13:E13))*10^5*100/8</f>
        <v>11250000</v>
      </c>
      <c r="G13" s="7"/>
      <c r="H13" s="5">
        <f t="array" ref="H13">IFERROR(INDEX($F$2:$F$181,SMALL(IF($G$2:$G$181=3,ROW($A$1:$A$163),""),ROW(A3))),"")</f>
        <v>2625000</v>
      </c>
      <c r="I13" s="5">
        <f>AVERAGE(H11:H13)</f>
        <v>2125000</v>
      </c>
      <c r="J13" s="39">
        <f>STDEV(H11:H13)</f>
        <v>450693.90943299868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81"/>
      <c r="B14" s="86">
        <v>2</v>
      </c>
      <c r="C14" s="8" t="s">
        <v>4</v>
      </c>
      <c r="D14" s="8"/>
      <c r="E14" s="8"/>
      <c r="F14" s="34" t="e">
        <f t="shared" ref="F14" si="9">(AVERAGEIF(D14:E14,"&gt;0",D14:E14))*10^3*100/8</f>
        <v>#DIV/0!</v>
      </c>
      <c r="G14" s="7"/>
      <c r="H14" s="5" t="s">
        <v>14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81"/>
      <c r="B15" s="84"/>
      <c r="C15" s="11" t="s">
        <v>2</v>
      </c>
      <c r="D15" s="11">
        <v>87</v>
      </c>
      <c r="E15" s="11">
        <v>78</v>
      </c>
      <c r="F15" s="32">
        <f t="shared" ref="F15" si="10">(AVERAGEIF(D15:E15,"&gt;0",D15:E15))*10^4*100/8</f>
        <v>10312500</v>
      </c>
      <c r="G15" s="7">
        <v>2</v>
      </c>
      <c r="H15" s="5">
        <f t="array" ref="H15">IFERROR(INDEX($F$2:$F$181,SMALL(IF($G$2:$G$181=4,ROW($A$1:$A$163),""),ROW(A1))),"")</f>
        <v>1312500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4.55" thickBot="1" x14ac:dyDescent="0.35">
      <c r="A16" s="81"/>
      <c r="B16" s="85"/>
      <c r="C16" s="12" t="s">
        <v>3</v>
      </c>
      <c r="D16" s="12">
        <v>11</v>
      </c>
      <c r="E16" s="12">
        <v>10</v>
      </c>
      <c r="F16" s="33">
        <f t="shared" ref="F16" si="11">(AVERAGEIF(D16:E16,"&gt;0",D16:E16))*10^5*100/8</f>
        <v>13125000</v>
      </c>
      <c r="G16" s="7"/>
      <c r="H16" s="5">
        <f t="array" ref="H16">IFERROR(INDEX($F$2:$F$181,SMALL(IF($G$2:$G$181=4,ROW($A$1:$A$163),""),ROW(A2))),"")</f>
        <v>962500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81"/>
      <c r="B17" s="86">
        <v>3</v>
      </c>
      <c r="C17" s="8" t="s">
        <v>4</v>
      </c>
      <c r="D17" s="8"/>
      <c r="E17" s="8"/>
      <c r="F17" s="34" t="e">
        <f t="shared" ref="F17" si="12">(AVERAGEIF(D17:E17,"&gt;0",D17:E17))*10^3*100/8</f>
        <v>#DIV/0!</v>
      </c>
      <c r="G17" s="7"/>
      <c r="H17" s="5">
        <f t="array" ref="H17">IFERROR(INDEX($F$2:$F$181,SMALL(IF($G$2:$G$181=4,ROW($A$1:$A$163),""),ROW(A3))),"")</f>
        <v>1231250</v>
      </c>
      <c r="I17" s="5">
        <f>AVERAGE(H15:H17)</f>
        <v>1168750</v>
      </c>
      <c r="J17" s="39">
        <f>STDEV(H15:H17)</f>
        <v>183179.38612191056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81"/>
      <c r="B18" s="84"/>
      <c r="C18" s="11" t="s">
        <v>2</v>
      </c>
      <c r="D18" s="11">
        <v>109</v>
      </c>
      <c r="E18" s="11">
        <v>80</v>
      </c>
      <c r="F18" s="32">
        <f t="shared" ref="F18" si="13">(AVERAGEIF(D18:E18,"&gt;0",D18:E18))*10^4*100/8</f>
        <v>11812500</v>
      </c>
      <c r="G18" s="7">
        <v>2</v>
      </c>
      <c r="H18" s="5" t="s">
        <v>15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4.55" thickBot="1" x14ac:dyDescent="0.35">
      <c r="A19" s="82"/>
      <c r="B19" s="87"/>
      <c r="C19" s="35" t="s">
        <v>3</v>
      </c>
      <c r="D19" s="35">
        <v>8</v>
      </c>
      <c r="E19" s="35">
        <v>8</v>
      </c>
      <c r="F19" s="36">
        <f t="shared" ref="F19" si="14">(AVERAGEIF(D19:E19,"&gt;0",D19:E19))*10^5*100/8</f>
        <v>10000000</v>
      </c>
      <c r="G19" s="7"/>
      <c r="H19" s="5">
        <f t="array" ref="H19">IFERROR(INDEX($F$2:$F$181,SMALL(IF($G$2:$G$181=5,ROW($A$1:$A$163),""),ROW(A1))),"")</f>
        <v>75625</v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4.55" thickTop="1" x14ac:dyDescent="0.3">
      <c r="A20" s="80" t="s">
        <v>67</v>
      </c>
      <c r="B20" s="83">
        <v>1</v>
      </c>
      <c r="C20" s="30" t="s">
        <v>4</v>
      </c>
      <c r="D20" s="58">
        <v>130</v>
      </c>
      <c r="E20" s="58"/>
      <c r="F20" s="31">
        <f t="shared" ref="F20" si="15">(AVERAGEIF(D20:E20,"&gt;0",D20:E20))*10^3*100/8</f>
        <v>1625000</v>
      </c>
      <c r="G20" s="7"/>
      <c r="H20" s="5">
        <f t="array" ref="H20">IFERROR(INDEX($F$2:$F$181,SMALL(IF($G$2:$G$181=5,ROW($A$1:$A$163),""),ROW(A2))),"")</f>
        <v>110000</v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81"/>
      <c r="B21" s="84"/>
      <c r="C21" s="11" t="s">
        <v>2</v>
      </c>
      <c r="D21" s="11">
        <v>14</v>
      </c>
      <c r="E21" s="11">
        <v>14</v>
      </c>
      <c r="F21" s="32">
        <f t="shared" ref="F21" si="16">(AVERAGEIF(D21:E21,"&gt;0",D21:E21))*10^4*100/8</f>
        <v>1750000</v>
      </c>
      <c r="G21" s="7">
        <v>3</v>
      </c>
      <c r="H21" s="5">
        <f t="array" ref="H21">IFERROR(INDEX($F$2:$F$181,SMALL(IF($G$2:$G$181=5,ROW($A$1:$A$163),""),ROW(A3))),"")</f>
        <v>69375</v>
      </c>
      <c r="I21" s="5">
        <f>AVERAGE(H19:H21)</f>
        <v>85000</v>
      </c>
      <c r="J21" s="39">
        <f>STDEV(H19:H21)</f>
        <v>21875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4.55" thickBot="1" x14ac:dyDescent="0.35">
      <c r="A22" s="81"/>
      <c r="B22" s="85"/>
      <c r="C22" s="12" t="s">
        <v>3</v>
      </c>
      <c r="D22" s="12" t="s">
        <v>63</v>
      </c>
      <c r="E22" s="12"/>
      <c r="F22" s="33" t="e">
        <f t="shared" ref="F22" si="17">(AVERAGEIF(D22:E22,"&gt;0",D22:E22))*10^5*100/8</f>
        <v>#DIV/0!</v>
      </c>
      <c r="G22" s="7"/>
      <c r="H22" s="5" t="s">
        <v>16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70">
        <v>3</v>
      </c>
      <c r="N22" s="46" t="s">
        <v>35</v>
      </c>
      <c r="O22" s="46" t="s">
        <v>36</v>
      </c>
      <c r="P22" s="46" t="s">
        <v>37</v>
      </c>
      <c r="Q22" s="46" t="s">
        <v>38</v>
      </c>
      <c r="R22" s="47" t="s">
        <v>39</v>
      </c>
      <c r="S22" s="47" t="s">
        <v>40</v>
      </c>
      <c r="T22" s="45" t="s">
        <v>41</v>
      </c>
      <c r="U22" s="45" t="s">
        <v>42</v>
      </c>
    </row>
    <row r="23" spans="1:21" x14ac:dyDescent="0.3">
      <c r="A23" s="81"/>
      <c r="B23" s="86">
        <v>2</v>
      </c>
      <c r="C23" s="8" t="s">
        <v>4</v>
      </c>
      <c r="D23" s="59" t="s">
        <v>70</v>
      </c>
      <c r="E23" s="59"/>
      <c r="F23" s="34" t="e">
        <f t="shared" ref="F23" si="18">(AVERAGEIF(D23:E23,"&gt;0",D23:E23))*10^3*100/8</f>
        <v>#DIV/0!</v>
      </c>
      <c r="G23" s="7"/>
      <c r="H23" s="5" t="str">
        <f t="array" ref="H23">IFERROR(INDEX($F$2:$F$181,SMALL(IF($G$2:$G$181=6,ROW($A$1:$A$163),""),ROW(A1))),"")</f>
        <v/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70">
        <v>4</v>
      </c>
      <c r="N23" s="9">
        <f>AVERAGE(N4:N21)</f>
        <v>4416666.666666667</v>
      </c>
      <c r="O23" s="9">
        <f t="shared" ref="O23:U23" si="19">AVERAGE(O4:O21)</f>
        <v>10833333.333333334</v>
      </c>
      <c r="P23" s="9">
        <f t="shared" si="19"/>
        <v>2125000</v>
      </c>
      <c r="Q23" s="9">
        <f t="shared" si="19"/>
        <v>1168750</v>
      </c>
      <c r="R23" s="9">
        <f t="shared" si="19"/>
        <v>85000</v>
      </c>
      <c r="S23" s="9" t="e">
        <f t="shared" si="19"/>
        <v>#DIV/0!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81"/>
      <c r="B24" s="84"/>
      <c r="C24" s="11" t="s">
        <v>2</v>
      </c>
      <c r="D24" s="11">
        <v>16</v>
      </c>
      <c r="E24" s="11">
        <v>16</v>
      </c>
      <c r="F24" s="32">
        <f t="shared" ref="F24" si="20">(AVERAGEIF(D24:E24,"&gt;0",D24:E24))*10^4*100/8</f>
        <v>2000000</v>
      </c>
      <c r="G24" s="7">
        <v>3</v>
      </c>
      <c r="H24" s="5" t="str">
        <f t="array" ref="H24">IFERROR(INDEX($F$2:$F$181,SMALL(IF($G$2:$G$181=6,ROW($A$1:$A$163),""),ROW(A2))),"")</f>
        <v/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70">
        <v>5</v>
      </c>
      <c r="N24" s="46" t="s">
        <v>43</v>
      </c>
      <c r="O24" s="46" t="s">
        <v>44</v>
      </c>
      <c r="P24" s="46" t="s">
        <v>45</v>
      </c>
      <c r="Q24" s="46" t="s">
        <v>46</v>
      </c>
      <c r="R24" s="47" t="s">
        <v>47</v>
      </c>
      <c r="S24" s="47" t="s">
        <v>48</v>
      </c>
      <c r="T24" s="45" t="s">
        <v>50</v>
      </c>
      <c r="U24" s="45" t="s">
        <v>49</v>
      </c>
    </row>
    <row r="25" spans="1:21" ht="14.55" thickBot="1" x14ac:dyDescent="0.35">
      <c r="A25" s="81"/>
      <c r="B25" s="85"/>
      <c r="C25" s="12" t="s">
        <v>3</v>
      </c>
      <c r="D25" s="12" t="s">
        <v>63</v>
      </c>
      <c r="E25" s="12"/>
      <c r="F25" s="33" t="e">
        <f t="shared" ref="F25" si="21">(AVERAGEIF(D25:E25,"&gt;0",D25:E25))*10^5*100/8</f>
        <v>#DIV/0!</v>
      </c>
      <c r="G25" s="7"/>
      <c r="H25" s="5" t="str">
        <f t="array" ref="H25">IFERROR(INDEX($F$2:$F$181,SMALL(IF($G$2:$G$181=6,ROW($A$1:$A$163),""),ROW(A3))),"")</f>
        <v/>
      </c>
      <c r="I25" s="5" t="e">
        <f>AVERAGE(H23:H25)</f>
        <v>#DIV/0!</v>
      </c>
      <c r="J25" s="39" t="e">
        <f>STDEV(H23:H25)</f>
        <v>#DIV/0!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70">
        <v>6</v>
      </c>
      <c r="N25" s="14">
        <f t="shared" ref="N25:P25" si="22">STDEV(N4:N21)</f>
        <v>696905.36181990453</v>
      </c>
      <c r="O25" s="14">
        <f t="shared" si="22"/>
        <v>848558.82726734586</v>
      </c>
      <c r="P25" s="14">
        <f t="shared" si="22"/>
        <v>450693.90943299868</v>
      </c>
      <c r="Q25" s="14">
        <f>STDEV(Q4:Q21)</f>
        <v>183179.38612191056</v>
      </c>
      <c r="R25" s="14">
        <f t="shared" ref="R25:U25" si="23">STDEV(R4:R21)</f>
        <v>21875</v>
      </c>
      <c r="S25" s="14" t="e">
        <f t="shared" si="23"/>
        <v>#DIV/0!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81"/>
      <c r="B26" s="86">
        <v>3</v>
      </c>
      <c r="C26" s="8" t="s">
        <v>4</v>
      </c>
      <c r="D26" s="59" t="s">
        <v>71</v>
      </c>
      <c r="E26" s="59"/>
      <c r="F26" s="34" t="e">
        <f t="shared" ref="F26" si="24">(AVERAGEIF(D26:E26,"&gt;0",D26:E26))*10^3*100/8</f>
        <v>#DIV/0!</v>
      </c>
      <c r="G26" s="7"/>
      <c r="H26" s="5" t="s">
        <v>17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70">
        <v>7</v>
      </c>
      <c r="N26" s="14"/>
      <c r="O26" s="9"/>
      <c r="P26" s="9"/>
      <c r="Q26" s="9"/>
      <c r="R26" s="10"/>
      <c r="S26" s="10"/>
    </row>
    <row r="27" spans="1:21" x14ac:dyDescent="0.3">
      <c r="A27" s="81"/>
      <c r="B27" s="84"/>
      <c r="C27" s="11" t="s">
        <v>2</v>
      </c>
      <c r="D27" s="11">
        <v>23</v>
      </c>
      <c r="E27" s="11">
        <v>19</v>
      </c>
      <c r="F27" s="32">
        <f t="shared" ref="F27" si="25">(AVERAGEIF(D27:E27,"&gt;0",D27:E27))*10^4*100/8</f>
        <v>2625000</v>
      </c>
      <c r="G27" s="7">
        <v>3</v>
      </c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4.55" thickBot="1" x14ac:dyDescent="0.35">
      <c r="A28" s="82"/>
      <c r="B28" s="87"/>
      <c r="C28" s="35" t="s">
        <v>3</v>
      </c>
      <c r="D28" s="35" t="s">
        <v>63</v>
      </c>
      <c r="E28" s="35"/>
      <c r="F28" s="36" t="e">
        <f t="shared" ref="F28" si="26">(AVERAGEIF(D28:E28,"&gt;0",D28:E28))*10^5*100/8</f>
        <v>#DIV/0!</v>
      </c>
      <c r="G28" s="7"/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O23/N23</f>
        <v>2.4528301886792452</v>
      </c>
      <c r="P28" s="9">
        <f>$O$23/P23</f>
        <v>5.098039215686275</v>
      </c>
      <c r="Q28" s="9">
        <f>$O$23/Q23</f>
        <v>9.2691622103386813</v>
      </c>
      <c r="R28" s="9">
        <f>$O$23/R23</f>
        <v>127.45098039215686</v>
      </c>
      <c r="S28" s="9" t="e">
        <f t="shared" ref="S28:U28" si="27">R23/S23</f>
        <v>#DIV/0!</v>
      </c>
      <c r="T28" s="9"/>
      <c r="U28" s="9" t="e">
        <f t="shared" si="27"/>
        <v>#DIV/0!</v>
      </c>
    </row>
    <row r="29" spans="1:21" ht="14.55" thickTop="1" x14ac:dyDescent="0.3">
      <c r="A29" s="80" t="s">
        <v>69</v>
      </c>
      <c r="B29" s="83">
        <v>1</v>
      </c>
      <c r="C29" s="30" t="s">
        <v>4</v>
      </c>
      <c r="D29" s="58">
        <v>137</v>
      </c>
      <c r="E29" s="58">
        <v>140</v>
      </c>
      <c r="F29" s="31">
        <f t="shared" ref="F29" si="28">(AVERAGEIF(D29:E29,"&gt;0",D29:E29))*10^3*100/8</f>
        <v>1731250</v>
      </c>
      <c r="G29" s="7"/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/>
      <c r="R29" s="10"/>
      <c r="S29" s="10"/>
      <c r="T29" s="14"/>
      <c r="U29" s="14"/>
    </row>
    <row r="30" spans="1:21" x14ac:dyDescent="0.3">
      <c r="A30" s="81"/>
      <c r="B30" s="84"/>
      <c r="C30" s="11" t="s">
        <v>2</v>
      </c>
      <c r="D30" s="11">
        <v>11</v>
      </c>
      <c r="E30" s="11">
        <v>10</v>
      </c>
      <c r="F30" s="32">
        <f t="shared" ref="F30" si="29">(AVERAGEIF(D30:E30,"&gt;0",D30:E30))*10^4*100/8</f>
        <v>1312500</v>
      </c>
      <c r="G30" s="7">
        <v>4</v>
      </c>
      <c r="H30" s="5" t="s">
        <v>18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4.55" thickBot="1" x14ac:dyDescent="0.35">
      <c r="A31" s="81"/>
      <c r="B31" s="85"/>
      <c r="C31" s="12" t="s">
        <v>3</v>
      </c>
      <c r="D31" s="12"/>
      <c r="E31" s="12"/>
      <c r="F31" s="33" t="e">
        <f t="shared" ref="F31" si="30">(AVERAGEIF(D31:E31,"&gt;0",D31:E31))*10^5*100/8</f>
        <v>#DIV/0!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x14ac:dyDescent="0.3">
      <c r="A32" s="81"/>
      <c r="B32" s="86">
        <v>2</v>
      </c>
      <c r="C32" s="8" t="s">
        <v>4</v>
      </c>
      <c r="D32" s="59">
        <v>78</v>
      </c>
      <c r="E32" s="59">
        <v>76</v>
      </c>
      <c r="F32" s="34">
        <f t="shared" ref="F32" si="31">(AVERAGEIF(D32:E32,"&gt;0",D32:E32))*10^3*100/8</f>
        <v>962500</v>
      </c>
      <c r="G32" s="7">
        <v>4</v>
      </c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81"/>
      <c r="B33" s="84"/>
      <c r="C33" s="11" t="s">
        <v>2</v>
      </c>
      <c r="D33" s="11">
        <v>6</v>
      </c>
      <c r="E33" s="11">
        <v>6</v>
      </c>
      <c r="F33" s="32">
        <f t="shared" ref="F33" si="32">(AVERAGEIF(D33:E33,"&gt;0",D33:E33))*10^4*100/8</f>
        <v>750000</v>
      </c>
      <c r="G33" s="7"/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4.55" thickBot="1" x14ac:dyDescent="0.35">
      <c r="A34" s="81"/>
      <c r="B34" s="85"/>
      <c r="C34" s="12" t="s">
        <v>3</v>
      </c>
      <c r="D34" s="12"/>
      <c r="E34" s="12"/>
      <c r="F34" s="33" t="e">
        <f t="shared" ref="F34" si="33">(AVERAGEIF(D34:E34,"&gt;0",D34:E34))*10^5*100/8</f>
        <v>#DIV/0!</v>
      </c>
      <c r="G34" s="7"/>
      <c r="H34" s="5" t="s">
        <v>19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x14ac:dyDescent="0.3">
      <c r="A35" s="81"/>
      <c r="B35" s="86">
        <v>3</v>
      </c>
      <c r="C35" s="8" t="s">
        <v>4</v>
      </c>
      <c r="D35" s="59">
        <v>98</v>
      </c>
      <c r="E35" s="59">
        <v>99</v>
      </c>
      <c r="F35" s="34">
        <f t="shared" ref="F35" si="34">(AVERAGEIF(D35:E35,"&gt;0",D35:E35))*10^3*100/8</f>
        <v>1231250</v>
      </c>
      <c r="G35" s="7">
        <v>4</v>
      </c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81"/>
      <c r="B36" s="84"/>
      <c r="C36" s="11" t="s">
        <v>2</v>
      </c>
      <c r="D36" s="11">
        <v>8</v>
      </c>
      <c r="E36" s="11">
        <v>7</v>
      </c>
      <c r="F36" s="32">
        <f t="shared" ref="F36" si="35">(AVERAGEIF(D36:E36,"&gt;0",D36:E36))*10^4*100/8</f>
        <v>937500</v>
      </c>
      <c r="G36" s="7"/>
      <c r="H36" s="5" t="str">
        <f t="array" ref="H36">IFERROR(INDEX($F$2:$F$181,SMALL(IF($G$2:$G$181=9,ROW($A$1:$A$163),""),ROW(A2))),"")</f>
        <v/>
      </c>
      <c r="J36" s="40"/>
      <c r="K36" s="13"/>
      <c r="L36" s="13"/>
      <c r="M36" s="65"/>
      <c r="N36" s="14"/>
      <c r="O36" s="9"/>
      <c r="P36" s="9"/>
      <c r="Q36" s="9"/>
      <c r="R36" s="10"/>
      <c r="S36" s="10"/>
    </row>
    <row r="37" spans="1:19" ht="14.55" thickBot="1" x14ac:dyDescent="0.35">
      <c r="A37" s="82"/>
      <c r="B37" s="87"/>
      <c r="C37" s="35" t="s">
        <v>3</v>
      </c>
      <c r="D37" s="35"/>
      <c r="E37" s="35"/>
      <c r="F37" s="36" t="e">
        <f t="shared" ref="F37" si="36">(AVERAGEIF(D37:E37,"&gt;0",D37:E37))*10^5*100/8</f>
        <v>#DIV/0!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5"/>
      <c r="N37" s="14"/>
      <c r="O37" s="9"/>
      <c r="P37" s="9"/>
      <c r="Q37" s="9"/>
      <c r="R37" s="10"/>
      <c r="S37" s="10"/>
    </row>
    <row r="38" spans="1:19" ht="15.05" thickTop="1" thickBot="1" x14ac:dyDescent="0.35">
      <c r="A38" s="88" t="s">
        <v>68</v>
      </c>
      <c r="B38" s="89">
        <v>1</v>
      </c>
      <c r="C38" s="30" t="s">
        <v>53</v>
      </c>
      <c r="D38" s="75">
        <v>56</v>
      </c>
      <c r="E38" s="75">
        <v>65</v>
      </c>
      <c r="F38" s="34">
        <f>(AVERAGEIF(D38:E38,"&gt;0",D38:E38))*10^2*100/8</f>
        <v>75625</v>
      </c>
      <c r="G38" s="7">
        <v>5</v>
      </c>
      <c r="H38" s="5" t="s">
        <v>20</v>
      </c>
      <c r="J38" s="40"/>
      <c r="K38" s="13"/>
      <c r="L38" s="13"/>
      <c r="M38" s="65"/>
      <c r="N38" s="14"/>
      <c r="O38" s="9"/>
      <c r="P38" s="14"/>
      <c r="Q38" s="14"/>
      <c r="R38" s="10"/>
      <c r="S38" s="10"/>
    </row>
    <row r="39" spans="1:19" ht="14.55" thickBot="1" x14ac:dyDescent="0.35">
      <c r="A39" s="81"/>
      <c r="B39" s="90"/>
      <c r="C39" s="11" t="s">
        <v>4</v>
      </c>
      <c r="D39" s="76">
        <v>6</v>
      </c>
      <c r="E39" s="76">
        <v>6</v>
      </c>
      <c r="F39" s="34">
        <f>(AVERAGEIF(D39:E39,"&gt;0",D39:E39))*10^3*100/8</f>
        <v>75000</v>
      </c>
      <c r="G39" s="7"/>
      <c r="H39" s="5" t="str">
        <f t="array" ref="H39">IFERROR(INDEX($F$2:$F$181,SMALL(IF($G$2:$G$181=10,ROW($A$1:$A$163),""),ROW(A1))),"")</f>
        <v/>
      </c>
      <c r="J39" s="40"/>
      <c r="K39" s="13"/>
      <c r="L39" s="13"/>
      <c r="M39" s="65"/>
      <c r="N39" s="14"/>
      <c r="O39" s="9"/>
      <c r="P39" s="14"/>
      <c r="Q39" s="14"/>
      <c r="R39" s="10"/>
      <c r="S39" s="10"/>
    </row>
    <row r="40" spans="1:19" ht="14.55" thickBot="1" x14ac:dyDescent="0.35">
      <c r="A40" s="81"/>
      <c r="B40" s="91"/>
      <c r="C40" s="12" t="s">
        <v>2</v>
      </c>
      <c r="D40" s="77"/>
      <c r="E40" s="77"/>
      <c r="F40" s="34" t="e">
        <f>(AVERAGEIF(D40:E40,"&gt;0",D40:E40))*10^4*100/8</f>
        <v>#DIV/0!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5"/>
      <c r="N40" s="14"/>
      <c r="O40" s="9"/>
      <c r="P40" s="14"/>
      <c r="Q40" s="14"/>
      <c r="R40" s="10"/>
      <c r="S40" s="10"/>
    </row>
    <row r="41" spans="1:19" ht="15.05" thickTop="1" thickBot="1" x14ac:dyDescent="0.35">
      <c r="A41" s="81"/>
      <c r="B41" s="92">
        <v>2</v>
      </c>
      <c r="C41" s="30" t="s">
        <v>53</v>
      </c>
      <c r="D41" s="78">
        <v>96</v>
      </c>
      <c r="E41" s="78">
        <v>80</v>
      </c>
      <c r="F41" s="34">
        <f t="shared" ref="F41" si="37">(AVERAGEIF(D41:E41,"&gt;0",D41:E41))*10^2*100/8</f>
        <v>110000</v>
      </c>
      <c r="G41" s="7">
        <v>5</v>
      </c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5"/>
      <c r="N41" s="14"/>
      <c r="O41" s="9"/>
      <c r="P41" s="14"/>
      <c r="Q41" s="14"/>
      <c r="R41" s="10"/>
      <c r="S41" s="10"/>
    </row>
    <row r="42" spans="1:19" ht="14.55" thickBot="1" x14ac:dyDescent="0.35">
      <c r="A42" s="81"/>
      <c r="B42" s="90"/>
      <c r="C42" s="11" t="s">
        <v>4</v>
      </c>
      <c r="D42" s="76">
        <v>8</v>
      </c>
      <c r="E42" s="76">
        <v>9</v>
      </c>
      <c r="F42" s="34">
        <f t="shared" ref="F42" si="38">(AVERAGEIF(D42:E42,"&gt;0",D42:E42))*10^3*100/8</f>
        <v>106250</v>
      </c>
      <c r="G42" s="7"/>
      <c r="H42" s="5" t="s">
        <v>21</v>
      </c>
      <c r="J42" s="40"/>
      <c r="K42" s="13"/>
      <c r="L42" s="13"/>
      <c r="M42" s="65"/>
      <c r="N42" s="14"/>
      <c r="O42" s="9"/>
      <c r="P42" s="14"/>
      <c r="Q42" s="14"/>
      <c r="R42" s="10"/>
      <c r="S42" s="10"/>
    </row>
    <row r="43" spans="1:19" ht="14.55" thickBot="1" x14ac:dyDescent="0.35">
      <c r="A43" s="81"/>
      <c r="B43" s="91"/>
      <c r="C43" s="12" t="s">
        <v>2</v>
      </c>
      <c r="D43" s="77"/>
      <c r="E43" s="77"/>
      <c r="F43" s="34" t="e">
        <f t="shared" ref="F43" si="39">(AVERAGEIF(D43:E43,"&gt;0",D43:E43))*10^4*100/8</f>
        <v>#DIV/0!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/>
      <c r="M43" s="65"/>
      <c r="N43" s="14"/>
      <c r="O43" s="9"/>
      <c r="P43" s="14"/>
      <c r="Q43" s="14"/>
      <c r="R43" s="10"/>
      <c r="S43" s="10"/>
    </row>
    <row r="44" spans="1:19" ht="15.05" thickTop="1" thickBot="1" x14ac:dyDescent="0.35">
      <c r="A44" s="81"/>
      <c r="B44" s="92">
        <v>3</v>
      </c>
      <c r="C44" s="30" t="s">
        <v>53</v>
      </c>
      <c r="D44" s="78">
        <v>49</v>
      </c>
      <c r="E44" s="78">
        <v>62</v>
      </c>
      <c r="F44" s="34">
        <f t="shared" ref="F44" si="40">(AVERAGEIF(D44:E44,"&gt;0",D44:E44))*10^2*100/8</f>
        <v>69375</v>
      </c>
      <c r="G44" s="7">
        <v>5</v>
      </c>
      <c r="H44" s="5" t="str">
        <f t="array" ref="H44">IFERROR(INDEX($F$2:$F$181,SMALL(IF($G$2:$G$181=11,ROW($A$1:$A$163),""),ROW(A2))),"")</f>
        <v/>
      </c>
      <c r="J44" s="40"/>
      <c r="K44" s="13"/>
      <c r="L44" s="13"/>
      <c r="M44" s="65"/>
      <c r="N44" s="14"/>
      <c r="O44" s="9"/>
      <c r="P44" s="14"/>
      <c r="Q44" s="14"/>
      <c r="R44" s="10"/>
      <c r="S44" s="10"/>
    </row>
    <row r="45" spans="1:19" ht="14.55" thickBot="1" x14ac:dyDescent="0.35">
      <c r="A45" s="81"/>
      <c r="B45" s="90"/>
      <c r="C45" s="11" t="s">
        <v>4</v>
      </c>
      <c r="D45" s="76">
        <v>6</v>
      </c>
      <c r="E45" s="76">
        <v>5</v>
      </c>
      <c r="F45" s="34">
        <f t="shared" ref="F45" si="41">(AVERAGEIF(D45:E45,"&gt;0",D45:E45))*10^3*100/8</f>
        <v>68750</v>
      </c>
      <c r="G45" s="7"/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5"/>
      <c r="N45" s="14"/>
      <c r="O45" s="9"/>
      <c r="P45" s="14"/>
      <c r="Q45" s="14"/>
      <c r="R45" s="10"/>
      <c r="S45" s="10"/>
    </row>
    <row r="46" spans="1:19" ht="14.55" thickBot="1" x14ac:dyDescent="0.35">
      <c r="A46" s="82"/>
      <c r="B46" s="93"/>
      <c r="C46" s="12" t="s">
        <v>2</v>
      </c>
      <c r="D46" s="79"/>
      <c r="E46" s="79"/>
      <c r="F46" s="34" t="e">
        <f t="shared" ref="F46" si="42">(AVERAGEIF(D46:E46,"&gt;0",D46:E46))*10^4*100/8</f>
        <v>#DIV/0!</v>
      </c>
      <c r="G46" s="7"/>
      <c r="H46" s="5" t="s">
        <v>22</v>
      </c>
      <c r="J46" s="40"/>
      <c r="K46" s="13"/>
      <c r="L46" s="13"/>
      <c r="M46" s="65"/>
      <c r="N46" s="14"/>
      <c r="O46" s="9"/>
      <c r="P46" s="14"/>
      <c r="Q46" s="14"/>
      <c r="R46" s="10"/>
      <c r="S46" s="10"/>
    </row>
    <row r="47" spans="1:19" ht="14.55" thickTop="1" x14ac:dyDescent="0.3">
      <c r="A47" s="88"/>
      <c r="B47" s="89"/>
      <c r="C47" s="30"/>
      <c r="D47" s="75"/>
      <c r="E47" s="75"/>
      <c r="F47" s="34"/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5"/>
      <c r="N47" s="14"/>
      <c r="O47" s="9"/>
      <c r="P47" s="14"/>
      <c r="Q47" s="14"/>
      <c r="R47" s="10"/>
      <c r="S47" s="10"/>
    </row>
    <row r="48" spans="1:19" x14ac:dyDescent="0.3">
      <c r="A48" s="81"/>
      <c r="B48" s="90"/>
      <c r="C48" s="11"/>
      <c r="D48" s="11"/>
      <c r="E48" s="11"/>
      <c r="F48" s="32"/>
      <c r="G48" s="7"/>
      <c r="H48" s="5" t="str">
        <f t="array" ref="H48">IFERROR(INDEX($F$2:$F$181,SMALL(IF($G$2:$G$181=12,ROW($A$1:$A$163),""),ROW(A2))),"")</f>
        <v/>
      </c>
      <c r="J48" s="40"/>
      <c r="K48" s="13"/>
      <c r="L48" s="13"/>
      <c r="M48" s="65"/>
      <c r="N48" s="14"/>
      <c r="O48" s="9"/>
      <c r="P48" s="14"/>
      <c r="Q48" s="14"/>
      <c r="R48" s="10"/>
      <c r="S48" s="10"/>
    </row>
    <row r="49" spans="1:21" ht="14.55" thickBot="1" x14ac:dyDescent="0.35">
      <c r="A49" s="81"/>
      <c r="B49" s="91"/>
      <c r="C49" s="12"/>
      <c r="D49" s="12"/>
      <c r="E49" s="12"/>
      <c r="F49" s="36"/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5"/>
      <c r="N49" s="14"/>
      <c r="O49" s="9"/>
      <c r="P49" s="14"/>
      <c r="Q49" s="14"/>
      <c r="R49" s="10"/>
      <c r="S49" s="10"/>
    </row>
    <row r="50" spans="1:21" ht="14.55" thickTop="1" x14ac:dyDescent="0.3">
      <c r="A50" s="81"/>
      <c r="B50" s="92"/>
      <c r="C50" s="30"/>
      <c r="D50" s="8"/>
      <c r="E50" s="8"/>
      <c r="F50" s="34"/>
      <c r="G50" s="7"/>
      <c r="H50" s="5" t="s">
        <v>23</v>
      </c>
      <c r="J50" s="40"/>
      <c r="K50" s="13"/>
      <c r="L50" s="13"/>
      <c r="M50" s="65"/>
      <c r="N50" s="14"/>
      <c r="O50" s="9"/>
      <c r="P50" s="14"/>
      <c r="Q50" s="14"/>
      <c r="R50" s="10"/>
      <c r="S50" s="10"/>
    </row>
    <row r="51" spans="1:21" x14ac:dyDescent="0.3">
      <c r="A51" s="81"/>
      <c r="B51" s="90"/>
      <c r="C51" s="11"/>
      <c r="D51" s="11"/>
      <c r="E51" s="11"/>
      <c r="F51" s="32"/>
      <c r="G51" s="7"/>
      <c r="H51" s="5" t="str">
        <f t="array" ref="H51">IFERROR(INDEX($F$2:$F$181,SMALL(IF($G$2:$G$181=13,ROW($A$1:$A$163),""),ROW(A1))),"")</f>
        <v/>
      </c>
      <c r="J51" s="40"/>
      <c r="K51" s="13"/>
      <c r="L51" s="13"/>
      <c r="M51" s="65"/>
      <c r="N51" s="14"/>
      <c r="O51" s="9"/>
      <c r="P51" s="14"/>
      <c r="Q51" s="14"/>
      <c r="R51" s="10"/>
      <c r="S51" s="10"/>
    </row>
    <row r="52" spans="1:21" ht="14.55" thickBot="1" x14ac:dyDescent="0.35">
      <c r="A52" s="81"/>
      <c r="B52" s="91"/>
      <c r="C52" s="12"/>
      <c r="D52" s="12"/>
      <c r="E52" s="12"/>
      <c r="F52" s="36"/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5"/>
      <c r="N52" s="14"/>
      <c r="O52" s="9"/>
      <c r="P52" s="14"/>
      <c r="Q52" s="14"/>
      <c r="R52" s="10"/>
      <c r="S52" s="10"/>
    </row>
    <row r="53" spans="1:21" ht="14.55" thickTop="1" x14ac:dyDescent="0.3">
      <c r="A53" s="81"/>
      <c r="B53" s="92"/>
      <c r="C53" s="30"/>
      <c r="D53" s="8"/>
      <c r="E53" s="8"/>
      <c r="F53" s="34"/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5"/>
      <c r="N53" s="14"/>
      <c r="O53" s="9"/>
      <c r="P53" s="14"/>
      <c r="Q53" s="14"/>
      <c r="R53" s="10"/>
      <c r="S53" s="10"/>
    </row>
    <row r="54" spans="1:21" x14ac:dyDescent="0.3">
      <c r="A54" s="81"/>
      <c r="B54" s="90"/>
      <c r="C54" s="11"/>
      <c r="D54" s="11"/>
      <c r="E54" s="11"/>
      <c r="F54" s="32"/>
      <c r="G54" s="7"/>
      <c r="H54" s="5" t="s">
        <v>24</v>
      </c>
      <c r="J54" s="40"/>
      <c r="K54" s="13"/>
      <c r="L54" s="13"/>
      <c r="M54" s="65"/>
      <c r="N54" s="14"/>
      <c r="O54" s="9"/>
      <c r="P54" s="14"/>
      <c r="Q54" s="14"/>
      <c r="R54" s="10"/>
      <c r="S54" s="10"/>
    </row>
    <row r="55" spans="1:21" ht="14.55" thickBot="1" x14ac:dyDescent="0.35">
      <c r="A55" s="82"/>
      <c r="B55" s="93"/>
      <c r="C55" s="12"/>
      <c r="D55" s="35"/>
      <c r="E55" s="35"/>
      <c r="F55" s="36"/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5"/>
      <c r="N55" s="14"/>
      <c r="O55" s="9"/>
      <c r="P55" s="14"/>
      <c r="Q55" s="14"/>
      <c r="R55" s="10"/>
      <c r="S55" s="10"/>
    </row>
    <row r="56" spans="1:21" ht="14.55" thickTop="1" x14ac:dyDescent="0.3">
      <c r="A56" s="88"/>
      <c r="B56" s="89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5"/>
      <c r="N56" s="14"/>
      <c r="O56" s="9"/>
      <c r="P56" s="14"/>
      <c r="Q56" s="14"/>
      <c r="R56" s="10"/>
      <c r="S56" s="10"/>
    </row>
    <row r="57" spans="1:21" x14ac:dyDescent="0.3">
      <c r="A57" s="81"/>
      <c r="B57" s="90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5"/>
      <c r="N57" s="14"/>
      <c r="O57" s="9"/>
      <c r="P57" s="14"/>
      <c r="Q57" s="14"/>
      <c r="R57" s="10"/>
      <c r="S57" s="10"/>
    </row>
    <row r="58" spans="1:21" ht="14.55" thickBot="1" x14ac:dyDescent="0.35">
      <c r="A58" s="81"/>
      <c r="B58" s="91"/>
      <c r="C58" s="12"/>
      <c r="D58" s="12"/>
      <c r="E58" s="12"/>
      <c r="F58" s="36"/>
      <c r="G58" s="7"/>
      <c r="H58" s="5" t="s">
        <v>25</v>
      </c>
      <c r="J58" s="40"/>
      <c r="K58" s="13"/>
      <c r="L58" s="13"/>
      <c r="M58" s="65"/>
      <c r="N58" s="14"/>
      <c r="O58" s="9"/>
      <c r="P58" s="14"/>
      <c r="Q58" s="14"/>
      <c r="R58" s="10"/>
      <c r="S58" s="10"/>
    </row>
    <row r="59" spans="1:21" ht="14.55" thickTop="1" x14ac:dyDescent="0.3">
      <c r="A59" s="81"/>
      <c r="B59" s="92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5"/>
      <c r="N59" s="14"/>
      <c r="O59" s="9"/>
      <c r="P59" s="14"/>
      <c r="Q59" s="14"/>
      <c r="R59" s="10"/>
      <c r="S59" s="10"/>
    </row>
    <row r="60" spans="1:21" ht="14.55" thickBot="1" x14ac:dyDescent="0.35">
      <c r="A60" s="81"/>
      <c r="B60" s="90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5"/>
      <c r="N60" s="42"/>
      <c r="O60" s="9"/>
      <c r="P60" s="42"/>
      <c r="Q60" s="42"/>
      <c r="R60" s="43"/>
      <c r="S60" s="43"/>
      <c r="T60" s="44"/>
      <c r="U60" s="44"/>
    </row>
    <row r="61" spans="1:21" ht="14.55" thickBot="1" x14ac:dyDescent="0.35">
      <c r="A61" s="81"/>
      <c r="B61" s="9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5"/>
      <c r="N61" s="14"/>
      <c r="O61" s="9"/>
      <c r="P61" s="14"/>
      <c r="Q61" s="14"/>
      <c r="R61" s="10"/>
      <c r="S61" s="10"/>
    </row>
    <row r="62" spans="1:21" ht="14.55" thickTop="1" x14ac:dyDescent="0.3">
      <c r="A62" s="81"/>
      <c r="B62" s="92"/>
      <c r="C62" s="30"/>
      <c r="D62" s="8"/>
      <c r="E62" s="8"/>
      <c r="F62" s="34"/>
      <c r="G62" s="7"/>
      <c r="H62" s="5" t="s">
        <v>26</v>
      </c>
      <c r="J62" s="40"/>
      <c r="K62" s="13"/>
      <c r="L62" s="13"/>
      <c r="M62" s="65"/>
      <c r="N62" s="14"/>
      <c r="O62" s="9"/>
      <c r="P62" s="14"/>
      <c r="Q62" s="14"/>
      <c r="R62" s="10"/>
      <c r="S62" s="10"/>
    </row>
    <row r="63" spans="1:21" x14ac:dyDescent="0.3">
      <c r="A63" s="81"/>
      <c r="B63" s="90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5"/>
      <c r="N63" s="14"/>
      <c r="O63" s="9"/>
      <c r="P63" s="14"/>
      <c r="Q63" s="14"/>
      <c r="R63" s="10"/>
      <c r="S63" s="10"/>
    </row>
    <row r="64" spans="1:21" ht="14.55" thickBot="1" x14ac:dyDescent="0.35">
      <c r="A64" s="82"/>
      <c r="B64" s="93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5"/>
      <c r="N64" s="14"/>
      <c r="O64" s="9"/>
      <c r="P64" s="14"/>
      <c r="Q64" s="14"/>
      <c r="R64" s="10"/>
      <c r="S64" s="10"/>
    </row>
    <row r="65" spans="1:19" ht="14.55" thickTop="1" x14ac:dyDescent="0.3">
      <c r="A65" s="88"/>
      <c r="B65" s="89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5"/>
      <c r="N65" s="14"/>
      <c r="O65" s="9"/>
      <c r="P65" s="14"/>
      <c r="Q65" s="14"/>
      <c r="R65" s="10"/>
      <c r="S65" s="10"/>
    </row>
    <row r="66" spans="1:19" x14ac:dyDescent="0.3">
      <c r="A66" s="81"/>
      <c r="B66" s="90"/>
      <c r="C66" s="11"/>
      <c r="D66" s="11"/>
      <c r="E66" s="11"/>
      <c r="F66" s="32"/>
      <c r="G66" s="7"/>
      <c r="H66" s="5" t="s">
        <v>27</v>
      </c>
      <c r="J66" s="40"/>
      <c r="K66" s="13"/>
      <c r="L66" s="13"/>
      <c r="M66" s="65"/>
      <c r="N66" s="14"/>
      <c r="O66" s="9"/>
      <c r="P66" s="14"/>
      <c r="Q66" s="14"/>
      <c r="R66" s="10"/>
      <c r="S66" s="10"/>
    </row>
    <row r="67" spans="1:19" ht="14.55" thickBot="1" x14ac:dyDescent="0.35">
      <c r="A67" s="81"/>
      <c r="B67" s="9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5"/>
      <c r="N67" s="14"/>
      <c r="O67" s="9"/>
      <c r="P67" s="14"/>
      <c r="Q67" s="14"/>
      <c r="R67" s="10"/>
      <c r="S67" s="10"/>
    </row>
    <row r="68" spans="1:19" ht="14.55" thickTop="1" x14ac:dyDescent="0.3">
      <c r="A68" s="81"/>
      <c r="B68" s="92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5"/>
      <c r="N68" s="14"/>
      <c r="O68" s="9"/>
      <c r="P68" s="14"/>
      <c r="Q68" s="14"/>
      <c r="R68" s="10"/>
      <c r="S68" s="10"/>
    </row>
    <row r="69" spans="1:19" x14ac:dyDescent="0.3">
      <c r="A69" s="81"/>
      <c r="B69" s="90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5"/>
      <c r="N69" s="14"/>
      <c r="O69" s="9"/>
      <c r="P69" s="14"/>
      <c r="Q69" s="14"/>
      <c r="R69" s="10"/>
      <c r="S69" s="10"/>
    </row>
    <row r="70" spans="1:19" ht="14.55" thickBot="1" x14ac:dyDescent="0.35">
      <c r="A70" s="81"/>
      <c r="B70" s="91"/>
      <c r="C70" s="12"/>
      <c r="D70" s="12"/>
      <c r="E70" s="12"/>
      <c r="F70" s="36"/>
      <c r="G70" s="7"/>
      <c r="H70" s="5" t="s">
        <v>28</v>
      </c>
      <c r="J70" s="40"/>
      <c r="K70" s="13"/>
      <c r="L70" s="13"/>
      <c r="M70" s="65"/>
      <c r="N70" s="14"/>
      <c r="O70" s="9"/>
      <c r="P70" s="14"/>
      <c r="Q70" s="14"/>
      <c r="R70" s="10"/>
      <c r="S70" s="10"/>
    </row>
    <row r="71" spans="1:19" ht="14.55" thickTop="1" x14ac:dyDescent="0.3">
      <c r="A71" s="81"/>
      <c r="B71" s="92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5"/>
      <c r="N71" s="14"/>
      <c r="O71" s="9"/>
      <c r="P71" s="14"/>
      <c r="Q71" s="14"/>
      <c r="R71" s="10"/>
      <c r="S71" s="10"/>
    </row>
    <row r="72" spans="1:19" x14ac:dyDescent="0.3">
      <c r="A72" s="81"/>
      <c r="B72" s="90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5"/>
      <c r="N72" s="14"/>
      <c r="O72" s="9"/>
      <c r="P72" s="14"/>
      <c r="Q72" s="14"/>
      <c r="R72" s="10"/>
      <c r="S72" s="10"/>
    </row>
    <row r="73" spans="1:19" ht="14.55" thickBot="1" x14ac:dyDescent="0.35">
      <c r="A73" s="82"/>
      <c r="B73" s="93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5"/>
      <c r="N73" s="14"/>
      <c r="O73" s="9"/>
      <c r="P73" s="14"/>
      <c r="Q73" s="14"/>
      <c r="R73" s="10"/>
      <c r="S73" s="10"/>
    </row>
    <row r="74" spans="1:19" ht="14.55" thickTop="1" x14ac:dyDescent="0.3">
      <c r="A74" s="88"/>
      <c r="B74" s="89"/>
      <c r="C74" s="30"/>
      <c r="D74" s="30"/>
      <c r="E74" s="30"/>
      <c r="F74" s="34"/>
      <c r="G74" s="7"/>
      <c r="H74" s="5" t="s">
        <v>29</v>
      </c>
      <c r="J74" s="40"/>
      <c r="K74" s="13"/>
      <c r="L74" s="13"/>
      <c r="M74" s="65"/>
      <c r="N74" s="14"/>
      <c r="O74" s="9"/>
      <c r="P74" s="14"/>
      <c r="Q74" s="14"/>
      <c r="R74" s="10"/>
      <c r="S74" s="10"/>
    </row>
    <row r="75" spans="1:19" x14ac:dyDescent="0.3">
      <c r="A75" s="81"/>
      <c r="B75" s="90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5"/>
      <c r="N75" s="14"/>
      <c r="O75" s="9"/>
      <c r="P75" s="14"/>
      <c r="Q75" s="14"/>
      <c r="R75" s="10"/>
      <c r="S75" s="10"/>
    </row>
    <row r="76" spans="1:19" ht="14.55" thickBot="1" x14ac:dyDescent="0.35">
      <c r="A76" s="81"/>
      <c r="B76" s="91"/>
      <c r="C76" s="12"/>
      <c r="D76" s="12"/>
      <c r="E76" s="12"/>
      <c r="F76" s="36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5"/>
      <c r="N76" s="14"/>
      <c r="O76" s="9"/>
      <c r="P76" s="14"/>
      <c r="Q76" s="14"/>
      <c r="R76" s="10"/>
      <c r="S76" s="10"/>
    </row>
    <row r="77" spans="1:19" ht="14.55" thickTop="1" x14ac:dyDescent="0.3">
      <c r="A77" s="81"/>
      <c r="B77" s="92"/>
      <c r="C77" s="30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5"/>
      <c r="N77" s="14"/>
      <c r="O77" s="9"/>
      <c r="P77" s="14"/>
      <c r="Q77" s="14"/>
      <c r="R77" s="10"/>
      <c r="S77" s="10"/>
    </row>
    <row r="78" spans="1:19" x14ac:dyDescent="0.3">
      <c r="A78" s="81"/>
      <c r="B78" s="90"/>
      <c r="C78" s="11"/>
      <c r="D78" s="11"/>
      <c r="E78" s="11"/>
      <c r="F78" s="32"/>
      <c r="G78" s="7"/>
      <c r="H78" s="5" t="s">
        <v>30</v>
      </c>
      <c r="J78" s="40"/>
      <c r="K78" s="13"/>
      <c r="L78" s="13"/>
      <c r="M78" s="65"/>
      <c r="N78" s="14"/>
      <c r="O78" s="9"/>
      <c r="P78" s="14"/>
      <c r="Q78" s="14"/>
      <c r="R78" s="10"/>
      <c r="S78" s="10"/>
    </row>
    <row r="79" spans="1:19" ht="14.55" thickBot="1" x14ac:dyDescent="0.35">
      <c r="A79" s="81"/>
      <c r="B79" s="91"/>
      <c r="C79" s="12"/>
      <c r="D79" s="12"/>
      <c r="E79" s="12"/>
      <c r="F79" s="36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5"/>
      <c r="N79" s="14"/>
      <c r="O79" s="9"/>
      <c r="P79" s="14"/>
      <c r="Q79" s="14"/>
      <c r="R79" s="10"/>
      <c r="S79" s="10"/>
    </row>
    <row r="80" spans="1:19" ht="14.55" thickTop="1" x14ac:dyDescent="0.3">
      <c r="A80" s="81"/>
      <c r="B80" s="92"/>
      <c r="C80" s="30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5"/>
      <c r="N80" s="14"/>
      <c r="O80" s="9"/>
      <c r="P80" s="14"/>
      <c r="Q80" s="14"/>
      <c r="R80" s="10"/>
      <c r="S80" s="10"/>
    </row>
    <row r="81" spans="1:22" x14ac:dyDescent="0.3">
      <c r="A81" s="81"/>
      <c r="B81" s="90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5"/>
      <c r="N81" s="14"/>
      <c r="O81" s="9"/>
      <c r="P81" s="14"/>
      <c r="Q81" s="14"/>
      <c r="R81" s="10"/>
      <c r="S81" s="10"/>
    </row>
    <row r="82" spans="1:22" ht="14.55" thickBot="1" x14ac:dyDescent="0.35">
      <c r="A82" s="82"/>
      <c r="B82" s="93"/>
      <c r="C82" s="12"/>
      <c r="D82" s="35"/>
      <c r="E82" s="35"/>
      <c r="F82" s="36"/>
      <c r="G82" s="7"/>
      <c r="J82" s="40"/>
      <c r="K82" s="13"/>
      <c r="L82" s="13"/>
      <c r="M82" s="65"/>
      <c r="N82" s="14"/>
      <c r="O82" s="9"/>
      <c r="P82" s="14"/>
      <c r="Q82" s="14"/>
      <c r="R82" s="10"/>
      <c r="S82" s="10"/>
    </row>
    <row r="83" spans="1:22" ht="14.5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5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5"/>
      <c r="N84" s="14"/>
      <c r="O84" s="9"/>
      <c r="P84" s="14"/>
      <c r="Q84" s="14"/>
      <c r="R84" s="10"/>
      <c r="S84" s="10"/>
    </row>
    <row r="85" spans="1:22" ht="14.5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5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5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5"/>
      <c r="N87" s="14"/>
      <c r="O87" s="9"/>
      <c r="P87" s="14"/>
      <c r="Q87" s="14"/>
      <c r="R87" s="10"/>
      <c r="S87" s="10"/>
    </row>
    <row r="88" spans="1:22" ht="14.5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5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5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5"/>
      <c r="N90" s="14"/>
      <c r="O90" s="9"/>
      <c r="P90" s="14"/>
      <c r="Q90" s="14"/>
      <c r="R90" s="10"/>
      <c r="S90" s="10"/>
    </row>
    <row r="91" spans="1:22" ht="14.5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5"/>
      <c r="N91" s="14"/>
      <c r="O91" s="9"/>
      <c r="P91" s="14"/>
      <c r="Q91" s="14"/>
      <c r="R91" s="10"/>
      <c r="S91" s="10"/>
    </row>
    <row r="92" spans="1:22" ht="14.5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5"/>
      <c r="N92" s="14"/>
      <c r="O92" s="9"/>
      <c r="P92" s="14"/>
      <c r="Q92" s="14"/>
      <c r="R92" s="10"/>
      <c r="S92" s="10"/>
    </row>
    <row r="93" spans="1:22" ht="14.5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5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4.5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5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5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5"/>
      <c r="N96" s="14"/>
      <c r="O96" s="9"/>
      <c r="P96" s="14"/>
      <c r="Q96" s="14"/>
      <c r="R96" s="10"/>
      <c r="S96" s="10"/>
    </row>
    <row r="97" spans="1:19" ht="14.5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5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5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5"/>
      <c r="N99" s="14"/>
      <c r="O99" s="9"/>
      <c r="P99" s="14"/>
      <c r="Q99" s="14"/>
      <c r="R99" s="10"/>
      <c r="S99" s="10"/>
    </row>
    <row r="100" spans="1:19" ht="14.5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5"/>
      <c r="N100" s="14"/>
      <c r="O100" s="9"/>
      <c r="P100" s="14"/>
      <c r="Q100" s="14"/>
      <c r="R100" s="10"/>
      <c r="S100" s="10"/>
    </row>
    <row r="101" spans="1:19" ht="14.5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5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5"/>
      <c r="N102" s="14"/>
      <c r="O102" s="9"/>
      <c r="P102" s="14"/>
      <c r="Q102" s="14"/>
      <c r="R102" s="10"/>
      <c r="S102" s="10"/>
    </row>
    <row r="103" spans="1:19" ht="14.5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5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5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5"/>
      <c r="N105" s="14"/>
      <c r="O105" s="9"/>
      <c r="P105" s="14"/>
      <c r="Q105" s="14"/>
      <c r="R105" s="10"/>
      <c r="S105" s="10"/>
    </row>
    <row r="106" spans="1:19" ht="14.5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5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5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5"/>
      <c r="N108" s="14"/>
      <c r="O108" s="9"/>
      <c r="P108" s="14"/>
      <c r="Q108" s="14"/>
      <c r="R108" s="10"/>
      <c r="S108" s="10"/>
    </row>
    <row r="109" spans="1:19" ht="14.5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5"/>
      <c r="N109" s="14"/>
      <c r="O109" s="9"/>
      <c r="P109" s="14"/>
      <c r="Q109" s="14"/>
      <c r="R109" s="10"/>
      <c r="S109" s="10"/>
    </row>
    <row r="110" spans="1:19" ht="14.5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5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5"/>
      <c r="N111" s="14"/>
      <c r="O111" s="9"/>
      <c r="P111" s="14"/>
      <c r="Q111" s="14"/>
      <c r="R111" s="10"/>
      <c r="S111" s="10"/>
    </row>
    <row r="112" spans="1:19" ht="14.5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5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5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5"/>
      <c r="N114" s="14"/>
      <c r="O114" s="9"/>
      <c r="P114" s="14"/>
      <c r="Q114" s="14"/>
      <c r="R114" s="10"/>
      <c r="S114" s="10"/>
    </row>
    <row r="115" spans="1:19" ht="14.5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5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5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5"/>
      <c r="N117" s="14"/>
      <c r="O117" s="9"/>
      <c r="P117" s="14"/>
      <c r="Q117" s="14"/>
      <c r="R117" s="10"/>
      <c r="S117" s="10"/>
    </row>
    <row r="118" spans="1:19" ht="14.5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5"/>
      <c r="N118" s="14"/>
      <c r="O118" s="9"/>
      <c r="P118" s="14"/>
      <c r="Q118" s="14"/>
      <c r="R118" s="10"/>
      <c r="S118" s="10"/>
    </row>
    <row r="119" spans="1:19" ht="14.5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5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5"/>
      <c r="N120" s="14"/>
      <c r="O120" s="9"/>
      <c r="P120" s="14"/>
      <c r="Q120" s="14"/>
      <c r="R120" s="10"/>
      <c r="S120" s="10"/>
    </row>
    <row r="121" spans="1:19" ht="14.5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5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5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5"/>
      <c r="N123" s="14"/>
      <c r="O123" s="9"/>
      <c r="P123" s="14"/>
      <c r="Q123" s="14"/>
      <c r="R123" s="10"/>
      <c r="S123" s="10"/>
    </row>
    <row r="124" spans="1:19" ht="14.5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5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5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5"/>
      <c r="N126" s="14"/>
      <c r="O126" s="9"/>
      <c r="P126" s="14"/>
      <c r="Q126" s="14"/>
      <c r="R126" s="10"/>
      <c r="S126" s="10"/>
    </row>
    <row r="127" spans="1:19" ht="14.5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5"/>
      <c r="N127" s="14"/>
      <c r="O127" s="9"/>
      <c r="P127" s="14"/>
      <c r="Q127" s="14"/>
      <c r="R127" s="10"/>
      <c r="S127" s="10"/>
    </row>
    <row r="128" spans="1:19" ht="14.5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5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5"/>
      <c r="N129" s="14"/>
      <c r="O129" s="9"/>
      <c r="P129" s="14"/>
      <c r="Q129" s="14"/>
      <c r="R129" s="10"/>
      <c r="S129" s="10"/>
    </row>
    <row r="130" spans="1:19" ht="14.5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5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5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5"/>
      <c r="N132" s="14"/>
      <c r="O132" s="9"/>
      <c r="P132" s="14"/>
      <c r="Q132" s="14"/>
      <c r="R132" s="10"/>
      <c r="S132" s="10"/>
    </row>
    <row r="133" spans="1:19" ht="14.5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5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5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5"/>
      <c r="N135" s="14"/>
      <c r="O135" s="9"/>
      <c r="P135" s="14"/>
      <c r="Q135" s="14"/>
      <c r="R135" s="10"/>
      <c r="S135" s="10"/>
    </row>
    <row r="136" spans="1:19" ht="14.5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5"/>
      <c r="N136" s="14"/>
      <c r="O136" s="9"/>
      <c r="P136" s="14"/>
      <c r="Q136" s="14"/>
      <c r="R136" s="10"/>
      <c r="S136" s="10"/>
    </row>
    <row r="137" spans="1:19" ht="14.5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5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5"/>
      <c r="N138" s="14"/>
      <c r="O138" s="9"/>
      <c r="P138" s="14"/>
      <c r="Q138" s="14"/>
      <c r="R138" s="10"/>
      <c r="S138" s="10"/>
    </row>
    <row r="139" spans="1:19" ht="14.5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5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5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5"/>
      <c r="N141" s="14"/>
      <c r="O141" s="9"/>
      <c r="P141" s="14"/>
      <c r="Q141" s="14"/>
      <c r="R141" s="10"/>
      <c r="S141" s="10"/>
    </row>
    <row r="142" spans="1:19" ht="14.5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5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5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5"/>
      <c r="N144" s="14"/>
      <c r="O144" s="9"/>
      <c r="P144" s="14"/>
      <c r="Q144" s="14"/>
      <c r="R144" s="10"/>
      <c r="S144" s="10"/>
    </row>
    <row r="145" spans="1:19" ht="14.5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5"/>
      <c r="N145" s="14"/>
      <c r="O145" s="9"/>
      <c r="P145" s="14"/>
      <c r="Q145" s="14"/>
      <c r="R145" s="10"/>
      <c r="S145" s="10"/>
    </row>
    <row r="146" spans="1:19" ht="14.5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5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5"/>
      <c r="N147" s="14"/>
      <c r="O147" s="9"/>
      <c r="P147" s="14"/>
      <c r="Q147" s="14"/>
      <c r="R147" s="10"/>
      <c r="S147" s="10"/>
    </row>
    <row r="148" spans="1:19" ht="14.5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5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5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5"/>
      <c r="N150" s="14"/>
      <c r="O150" s="9"/>
      <c r="P150" s="14"/>
      <c r="Q150" s="14"/>
      <c r="R150" s="10"/>
      <c r="S150" s="10"/>
    </row>
    <row r="151" spans="1:19" ht="14.5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5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5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5"/>
      <c r="N153" s="14"/>
      <c r="O153" s="9"/>
      <c r="P153" s="14"/>
      <c r="Q153" s="14"/>
      <c r="R153" s="10"/>
      <c r="S153" s="10"/>
    </row>
    <row r="154" spans="1:19" ht="14.5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5"/>
      <c r="N154" s="14"/>
      <c r="O154" s="9"/>
      <c r="P154" s="14"/>
      <c r="Q154" s="14"/>
      <c r="R154" s="10"/>
      <c r="S154" s="10"/>
    </row>
    <row r="155" spans="1:19" ht="14.5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5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5"/>
      <c r="N156" s="14"/>
      <c r="O156" s="9"/>
      <c r="P156" s="14"/>
      <c r="Q156" s="14"/>
      <c r="R156" s="10"/>
      <c r="S156" s="10"/>
    </row>
    <row r="157" spans="1:19" ht="14.5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5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5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5"/>
      <c r="N159" s="14"/>
      <c r="O159" s="9"/>
      <c r="P159" s="14"/>
      <c r="Q159" s="14"/>
      <c r="R159" s="10"/>
      <c r="S159" s="10"/>
    </row>
    <row r="160" spans="1:19" ht="14.5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5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5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5"/>
      <c r="N162" s="14"/>
      <c r="O162" s="9"/>
      <c r="P162" s="14"/>
      <c r="Q162" s="14"/>
      <c r="R162" s="10"/>
      <c r="S162" s="10"/>
    </row>
    <row r="163" spans="1:19" ht="14.5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5"/>
      <c r="N163" s="14"/>
      <c r="O163" s="9"/>
      <c r="P163" s="14"/>
      <c r="Q163" s="14"/>
      <c r="R163" s="10"/>
      <c r="S163" s="10"/>
    </row>
    <row r="164" spans="1:19" ht="14.5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5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5"/>
      <c r="N165" s="14"/>
      <c r="O165" s="9"/>
      <c r="P165" s="21"/>
      <c r="Q165" s="21"/>
      <c r="R165" s="10"/>
      <c r="S165" s="10"/>
    </row>
    <row r="166" spans="1:19" ht="14.5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5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5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5"/>
      <c r="N168" s="14"/>
      <c r="O168" s="9"/>
      <c r="P168" s="21"/>
      <c r="Q168" s="21"/>
      <c r="R168" s="10"/>
      <c r="S168" s="10"/>
    </row>
    <row r="169" spans="1:19" ht="14.5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5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5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5"/>
      <c r="N171" s="14"/>
      <c r="O171" s="9"/>
      <c r="P171" s="21"/>
      <c r="Q171" s="21"/>
      <c r="R171" s="10"/>
      <c r="S171" s="10"/>
    </row>
    <row r="172" spans="1:19" ht="14.5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5"/>
      <c r="N172" s="14"/>
      <c r="O172" s="9"/>
      <c r="P172" s="21"/>
      <c r="Q172" s="21"/>
      <c r="R172" s="10"/>
      <c r="S172" s="10"/>
    </row>
    <row r="173" spans="1:19" ht="14.5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6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6"/>
      <c r="O174" s="9"/>
      <c r="P174" s="21"/>
      <c r="Q174" s="21"/>
      <c r="R174" s="10"/>
      <c r="S174" s="10"/>
    </row>
    <row r="175" spans="1:19" ht="14.5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6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6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6"/>
      <c r="O177" s="9"/>
      <c r="P177" s="21"/>
      <c r="Q177" s="21"/>
    </row>
    <row r="178" spans="1:17" ht="14.5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6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6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6"/>
      <c r="O180" s="9"/>
      <c r="P180" s="21"/>
      <c r="Q180" s="21"/>
    </row>
    <row r="181" spans="1:17" ht="14.5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6"/>
      <c r="O181" s="9"/>
      <c r="P181" s="21"/>
      <c r="Q181" s="21"/>
    </row>
    <row r="182" spans="1:17" ht="14.55" thickTop="1" x14ac:dyDescent="0.3">
      <c r="G182" s="28"/>
      <c r="O182" s="9"/>
    </row>
  </sheetData>
  <mergeCells count="36"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  <mergeCell ref="A29:A37"/>
    <mergeCell ref="B29:B31"/>
    <mergeCell ref="B32:B34"/>
    <mergeCell ref="B35:B37"/>
    <mergeCell ref="A38:A46"/>
    <mergeCell ref="B38:B40"/>
    <mergeCell ref="B41:B43"/>
    <mergeCell ref="B44:B46"/>
    <mergeCell ref="A47:A55"/>
    <mergeCell ref="B47:B49"/>
    <mergeCell ref="B50:B52"/>
    <mergeCell ref="B53:B55"/>
    <mergeCell ref="A74:A82"/>
    <mergeCell ref="B74:B76"/>
    <mergeCell ref="B77:B79"/>
    <mergeCell ref="B80:B82"/>
    <mergeCell ref="A56:A64"/>
    <mergeCell ref="B56:B58"/>
    <mergeCell ref="B59:B61"/>
    <mergeCell ref="B62:B64"/>
    <mergeCell ref="A65:A73"/>
    <mergeCell ref="B65:B67"/>
    <mergeCell ref="B68:B70"/>
    <mergeCell ref="B71:B7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FA7F-4D57-4AA9-914B-B257B1EAF23B}">
  <dimension ref="A1:V182"/>
  <sheetViews>
    <sheetView topLeftCell="F30" zoomScaleNormal="100" workbookViewId="0">
      <selection activeCell="M40" sqref="M40"/>
    </sheetView>
  </sheetViews>
  <sheetFormatPr defaultColWidth="9.19921875" defaultRowHeight="14" x14ac:dyDescent="0.3"/>
  <cols>
    <col min="1" max="1" width="10.69921875" style="23" customWidth="1"/>
    <col min="2" max="2" width="10.69921875" style="24" customWidth="1"/>
    <col min="3" max="3" width="12.69921875" style="25" bestFit="1" customWidth="1"/>
    <col min="4" max="4" width="20.296875" style="25" customWidth="1"/>
    <col min="5" max="5" width="21" style="25" customWidth="1"/>
    <col min="6" max="6" width="11.5" style="5" customWidth="1"/>
    <col min="7" max="7" width="11.5" style="29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7" customWidth="1"/>
    <col min="14" max="15" width="12.69921875" style="21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7" customWidth="1"/>
    <col min="23" max="16384" width="9.19921875" style="7"/>
  </cols>
  <sheetData>
    <row r="1" spans="1:22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7" t="s">
        <v>10</v>
      </c>
      <c r="H1" s="26" t="s">
        <v>31</v>
      </c>
      <c r="I1" s="26" t="s">
        <v>32</v>
      </c>
      <c r="J1" s="26" t="s">
        <v>9</v>
      </c>
      <c r="K1" s="26" t="s">
        <v>33</v>
      </c>
      <c r="L1" s="26" t="s">
        <v>34</v>
      </c>
      <c r="M1" s="6"/>
      <c r="N1" s="48" t="s">
        <v>54</v>
      </c>
      <c r="O1" s="48" t="s">
        <v>55</v>
      </c>
      <c r="P1" s="48" t="s">
        <v>56</v>
      </c>
      <c r="Q1" s="48" t="s">
        <v>57</v>
      </c>
      <c r="R1" s="48" t="s">
        <v>58</v>
      </c>
      <c r="S1" s="48" t="s">
        <v>59</v>
      </c>
      <c r="T1" s="45" t="s">
        <v>60</v>
      </c>
      <c r="U1" s="45" t="s">
        <v>61</v>
      </c>
      <c r="V1" s="6"/>
    </row>
    <row r="2" spans="1:22" ht="15.75" customHeight="1" thickTop="1" x14ac:dyDescent="0.3">
      <c r="A2" s="80" t="s">
        <v>65</v>
      </c>
      <c r="B2" s="83">
        <v>1</v>
      </c>
      <c r="C2" s="30" t="s">
        <v>4</v>
      </c>
      <c r="D2" s="58" t="s">
        <v>72</v>
      </c>
      <c r="E2" s="58"/>
      <c r="F2" s="72" t="e">
        <f>(AVERAGEIF(D2:E2,"&gt;0",D2:E2))*10^3*100/8</f>
        <v>#DIV/0!</v>
      </c>
      <c r="G2" s="7"/>
      <c r="H2" s="5" t="s">
        <v>11</v>
      </c>
      <c r="J2" s="38"/>
      <c r="K2" s="41">
        <f t="array" ref="K2">IFERROR(INDEX($I$2:$I$81,SMALL(IF(ISNUMBER($I$2:$I$81),ROW($A$1:$A$80),""),ROW(A1))),"")</f>
        <v>16583333.333333334</v>
      </c>
      <c r="L2" s="41">
        <f t="array" ref="L2">IFERROR(INDEX($J$2:$J$81,SMALL(IF(ISNUMBER($J$2:$J$81),ROW($A$1:$A$80),""),ROW(A1))),"")</f>
        <v>5687271.0576631837</v>
      </c>
      <c r="M2" s="63" t="s">
        <v>51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81"/>
      <c r="B3" s="84"/>
      <c r="C3" s="11" t="s">
        <v>2</v>
      </c>
      <c r="D3" s="11">
        <v>243</v>
      </c>
      <c r="E3" s="11"/>
      <c r="F3" s="73">
        <f>(AVERAGEIF(D3:E3,"&gt;0",D3:E3))*10^4*100/8</f>
        <v>30375000</v>
      </c>
      <c r="G3" s="7"/>
      <c r="H3" s="5">
        <f t="array" ref="H3">IFERROR(INDEX($F$2:$F$181,SMALL(IF($G$2:$G$181=1,ROW($A$1:$A$163),""),ROW(A1))),"")</f>
        <v>23125000</v>
      </c>
      <c r="J3" s="39"/>
      <c r="K3" s="41">
        <f t="array" ref="K3">IFERROR(INDEX($I$2:$I$81,SMALL(IF(ISNUMBER($I$2:$I$81),ROW($A$1:$A$80),""),ROW(A2))),"")</f>
        <v>6833333.333333333</v>
      </c>
      <c r="L3" s="41">
        <f t="array" ref="L3">IFERROR(INDEX($J$2:$J$81,SMALL(IF(ISNUMBER($J$2:$J$81),ROW($A$1:$A$80),""),ROW(A2))),"")</f>
        <v>1393810.7236398119</v>
      </c>
      <c r="M3" s="63" t="s">
        <v>52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4.55" thickBot="1" x14ac:dyDescent="0.35">
      <c r="A4" s="81"/>
      <c r="B4" s="85"/>
      <c r="C4" s="12" t="s">
        <v>3</v>
      </c>
      <c r="D4" s="12">
        <v>18</v>
      </c>
      <c r="E4" s="12">
        <v>19</v>
      </c>
      <c r="F4" s="74">
        <f>(AVERAGEIF(D4:E4,"&gt;0",D4:E4))*10^5*100/8</f>
        <v>23125000</v>
      </c>
      <c r="G4" s="7">
        <v>1</v>
      </c>
      <c r="H4" s="5">
        <f t="array" ref="H4">IFERROR(INDEX($F$2:$F$181,SMALL(IF($G$2:$G$181=1,ROW($A$1:$A$163),""),ROW(A2))),"")</f>
        <v>13812500</v>
      </c>
      <c r="J4" s="39"/>
      <c r="K4" s="41">
        <f t="array" ref="K4">IFERROR(INDEX($I$2:$I$81,SMALL(IF(ISNUMBER($I$2:$I$81),ROW($A$1:$A$80),""),ROW(A3))),"")</f>
        <v>6583333.333333333</v>
      </c>
      <c r="L4" s="41">
        <f t="array" ref="L4">IFERROR(INDEX($J$2:$J$81,SMALL(IF(ISNUMBER($J$2:$J$81),ROW($A$1:$A$80),""),ROW(A3))),"")</f>
        <v>1154700.5383792527</v>
      </c>
      <c r="M4" s="64"/>
      <c r="N4" s="9">
        <f t="array" ref="N4">IFERROR(INDEX($F$2:$F$181,SMALL(_xlfn.IFS($G$2:$G$181&lt;$N$2,"",$G$2:$G$181&gt;$N$3,"",ISNUMBER($G$2:$G$181),ROW($A$1:$A$180)),ROW(A1))),"")</f>
        <v>23125000</v>
      </c>
      <c r="O4" s="9">
        <f t="array" ref="O4">IFERROR(INDEX($F$2:$F$181,SMALL(_xlfn.IFS($G$2:$G$181&lt;$O$2,"",$G$2:$G$181&gt;$O$3,"",ISNUMBER($G$2:$G$181),ROW($A$1:$A$180)),ROW(A1))),"")</f>
        <v>7875000</v>
      </c>
      <c r="P4" s="9">
        <f t="array" ref="P4">IFERROR(INDEX($F$2:$F$181,SMALL(_xlfn.IFS($G$2:$G$181&lt;$P$2,"",$G$2:$G$181&gt;$P$3,"",ISNUMBER($G$2:$G$181),ROW($A$1:$A$180)),ROW(A1))),"")</f>
        <v>7250000</v>
      </c>
      <c r="Q4" s="9">
        <f t="array" ref="Q4">IFERROR(INDEX($F$2:$F$181,SMALL(_xlfn.IFS($G$2:$G$181&lt;$Q$2,"",$G$2:$G$181&gt;$Q$3,"",ISNUMBER($G$2:$G$181),ROW($A$1:$A$180)),ROW(A1))),"")</f>
        <v>68750</v>
      </c>
      <c r="R4" s="9" t="str">
        <f t="array" ref="R4">IFERROR(INDEX($F$2:$F$181,SMALL(_xlfn.IFS($G$2:$G$181&lt;$R$2,"",$G$2:$G$181&gt;$R$3,"",ISNUMBER($G$2:$G$181),ROW($A$1:$A$180)),ROW(A1))),"")</f>
        <v/>
      </c>
      <c r="S4" s="10" t="str">
        <f t="array" ref="S4">IFERROR(INDEX($F$2:$F$181,SMALL(_xlfn.IFS($G$2:$G$181&lt;$S$2,"",$G$2:$G$181&gt;$S$3,"",ISNUMBER($G$2:$G$181),ROW($A$1:$A$180)),ROW(A1))),"")</f>
        <v/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ht="14.55" thickTop="1" x14ac:dyDescent="0.3">
      <c r="A5" s="81"/>
      <c r="B5" s="86">
        <v>2</v>
      </c>
      <c r="C5" s="8" t="s">
        <v>4</v>
      </c>
      <c r="D5" s="59"/>
      <c r="E5" s="59"/>
      <c r="F5" s="72" t="e">
        <f t="shared" ref="F5" si="0">(AVERAGEIF(D5:E5,"&gt;0",D5:E5))*10^3*100/8</f>
        <v>#DIV/0!</v>
      </c>
      <c r="G5" s="7"/>
      <c r="H5" s="5">
        <f t="array" ref="H5">IFERROR(INDEX($F$2:$F$181,SMALL(IF($G$2:$G$181=1,ROW($A$1:$A$163),""),ROW(A3))),"")</f>
        <v>12812500</v>
      </c>
      <c r="I5" s="5">
        <f>AVERAGE(H3:H5)</f>
        <v>16583333.333333334</v>
      </c>
      <c r="J5" s="39">
        <f>STDEV(H3:H5)</f>
        <v>5687271.0576631837</v>
      </c>
      <c r="K5" s="41">
        <f t="array" ref="K5">IFERROR(INDEX($I$2:$I$81,SMALL(IF(ISNUMBER($I$2:$I$81),ROW($A$1:$A$80),""),ROW(A4))),"")</f>
        <v>67291.666666666672</v>
      </c>
      <c r="L5" s="41">
        <f t="array" ref="L5">IFERROR(INDEX($J$2:$J$81,SMALL(IF(ISNUMBER($J$2:$J$81),ROW($A$1:$A$80),""),ROW(A4))),"")</f>
        <v>4254.2870534712793</v>
      </c>
      <c r="M5" s="64"/>
      <c r="N5" s="9">
        <f t="array" ref="N5">IFERROR(INDEX($F$2:$F$181,SMALL(_xlfn.IFS($G$2:$G$181&lt;$N$2,"",$G$2:$G$181&gt;$N$3,"",ISNUMBER($G$2:$G$181),ROW($A$1:$A$180)),ROW(A2))),"")</f>
        <v>13812500</v>
      </c>
      <c r="O5" s="9">
        <f t="array" ref="O5">IFERROR(INDEX($F$2:$F$181,SMALL(_xlfn.IFS($G$2:$G$181&lt;$O$2,"",$G$2:$G$181&gt;$O$3,"",ISNUMBER($G$2:$G$181),ROW($A$1:$A$180)),ROW(A2))),"")</f>
        <v>7375000</v>
      </c>
      <c r="P5" s="9">
        <f t="array" ref="P5">IFERROR(INDEX($F$2:$F$181,SMALL(_xlfn.IFS($G$2:$G$181&lt;$P$2,"",$G$2:$G$181&gt;$P$3,"",ISNUMBER($G$2:$G$181),ROW($A$1:$A$180)),ROW(A2))),"")</f>
        <v>7250000</v>
      </c>
      <c r="Q5" s="9">
        <f t="array" ref="Q5">IFERROR(INDEX($F$2:$F$181,SMALL(_xlfn.IFS($G$2:$G$181&lt;$Q$2,"",$G$2:$G$181&gt;$Q$3,"",ISNUMBER($G$2:$G$181),ROW($A$1:$A$180)),ROW(A2))),"")</f>
        <v>62500</v>
      </c>
      <c r="R5" s="9" t="str">
        <f t="array" ref="R5">IFERROR(INDEX($F$2:$F$181,SMALL(_xlfn.IFS($G$2:$G$181&lt;$R$2,"",$G$2:$G$181&gt;$R$3,"",ISNUMBER($G$2:$G$181),ROW($A$1:$A$180)),ROW(A2))),"")</f>
        <v/>
      </c>
      <c r="S5" s="10" t="str">
        <f t="array" ref="S5">IFERROR(INDEX($F$2:$F$181,SMALL(_xlfn.IFS($G$2:$G$181&lt;$S$2,"",$G$2:$G$181&gt;$S$3,"",ISNUMBER($G$2:$G$181),ROW($A$1:$A$180)),ROW(A2))),"")</f>
        <v/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81"/>
      <c r="B6" s="84"/>
      <c r="C6" s="11" t="s">
        <v>2</v>
      </c>
      <c r="D6" s="11">
        <v>109</v>
      </c>
      <c r="E6" s="11">
        <v>112</v>
      </c>
      <c r="F6" s="73">
        <f t="shared" ref="F6" si="1">(AVERAGEIF(D6:E6,"&gt;0",D6:E6))*10^4*100/8</f>
        <v>13812500</v>
      </c>
      <c r="G6" s="7">
        <v>1</v>
      </c>
      <c r="H6" s="5" t="s">
        <v>12</v>
      </c>
      <c r="J6" s="39"/>
      <c r="K6" s="41" t="str">
        <f t="array" ref="K6">IFERROR(INDEX($I$2:$I$81,SMALL(IF(ISNUMBER($I$2:$I$81),ROW($A$1:$A$80),""),ROW(A5))),"")</f>
        <v/>
      </c>
      <c r="L6" s="41" t="str">
        <f t="array" ref="L6">IFERROR(INDEX($J$2:$J$81,SMALL(IF(ISNUMBER($J$2:$J$81),ROW($A$1:$A$80),""),ROW(A5))),"")</f>
        <v/>
      </c>
      <c r="M6" s="64"/>
      <c r="N6" s="9">
        <f t="array" ref="N6">IFERROR(INDEX($F$2:$F$181,SMALL(_xlfn.IFS($G$2:$G$181&lt;$N$2,"",$G$2:$G$181&gt;$N$3,"",ISNUMBER($G$2:$G$181),ROW($A$1:$A$180)),ROW(A3))),"")</f>
        <v>12812500</v>
      </c>
      <c r="O6" s="9">
        <f t="array" ref="O6">IFERROR(INDEX($F$2:$F$181,SMALL(_xlfn.IFS($G$2:$G$181&lt;$O$2,"",$G$2:$G$181&gt;$O$3,"",ISNUMBER($G$2:$G$181),ROW($A$1:$A$180)),ROW(A3))),"")</f>
        <v>5250000</v>
      </c>
      <c r="P6" s="9">
        <f t="array" ref="P6">IFERROR(INDEX($F$2:$F$181,SMALL(_xlfn.IFS($G$2:$G$181&lt;$P$2,"",$G$2:$G$181&gt;$P$3,"",ISNUMBER($G$2:$G$181),ROW($A$1:$A$180)),ROW(A3))),"")</f>
        <v>5250000</v>
      </c>
      <c r="Q6" s="9">
        <f t="array" ref="Q6">IFERROR(INDEX($F$2:$F$181,SMALL(_xlfn.IFS($G$2:$G$181&lt;$Q$2,"",$G$2:$G$181&gt;$Q$3,"",ISNUMBER($G$2:$G$181),ROW($A$1:$A$180)),ROW(A3))),"")</f>
        <v>70625</v>
      </c>
      <c r="R6" s="9" t="str">
        <f t="array" ref="R6">IFERROR(INDEX($F$2:$F$181,SMALL(_xlfn.IFS($G$2:$G$181&lt;$R$2,"",$G$2:$G$181&gt;$R$3,"",ISNUMBER($G$2:$G$181),ROW($A$1:$A$180)),ROW(A3))),"")</f>
        <v/>
      </c>
      <c r="S6" s="10" t="str">
        <f t="array" ref="S6">IFERROR(INDEX($F$2:$F$181,SMALL(_xlfn.IFS($G$2:$G$181&lt;$S$2,"",$G$2:$G$181&gt;$S$3,"",ISNUMBER($G$2:$G$181),ROW($A$1:$A$180)),ROW(A3))),"")</f>
        <v/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4.55" thickBot="1" x14ac:dyDescent="0.35">
      <c r="A7" s="81"/>
      <c r="B7" s="85"/>
      <c r="C7" s="12" t="s">
        <v>3</v>
      </c>
      <c r="D7" s="12">
        <v>12</v>
      </c>
      <c r="E7" s="12">
        <v>13</v>
      </c>
      <c r="F7" s="74">
        <f t="shared" ref="F7" si="2">(AVERAGEIF(D7:E7,"&gt;0",D7:E7))*10^5*100/8</f>
        <v>15625000</v>
      </c>
      <c r="G7" s="7"/>
      <c r="H7" s="5">
        <f t="array" ref="H7">IFERROR(INDEX($F$2:$F$181,SMALL(IF($G$2:$G$181=2,ROW($A$1:$A$163),""),ROW(A1))),"")</f>
        <v>7875000</v>
      </c>
      <c r="J7" s="39"/>
      <c r="K7" s="41" t="str">
        <f t="array" ref="K7">IFERROR(INDEX($I$2:$I$81,SMALL(IF(ISNUMBER($I$2:$I$81),ROW($A$1:$A$80),""),ROW(A6))),"")</f>
        <v/>
      </c>
      <c r="L7" s="41" t="str">
        <f t="array" ref="L7">IFERROR(INDEX($J$2:$J$81,SMALL(IF(ISNUMBER($J$2:$J$81),ROW($A$1:$A$80),""),ROW(A6))),"")</f>
        <v/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ht="14.55" thickTop="1" x14ac:dyDescent="0.3">
      <c r="A8" s="81"/>
      <c r="B8" s="86">
        <v>3</v>
      </c>
      <c r="C8" s="8" t="s">
        <v>4</v>
      </c>
      <c r="D8" s="59"/>
      <c r="E8" s="59"/>
      <c r="F8" s="72" t="e">
        <f t="shared" ref="F8" si="3">(AVERAGEIF(D8:E8,"&gt;0",D8:E8))*10^3*100/8</f>
        <v>#DIV/0!</v>
      </c>
      <c r="G8" s="7"/>
      <c r="H8" s="5">
        <f t="array" ref="H8">IFERROR(INDEX($F$2:$F$181,SMALL(IF($G$2:$G$181=2,ROW($A$1:$A$163),""),ROW(A2))),"")</f>
        <v>7375000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81"/>
      <c r="B9" s="84"/>
      <c r="C9" s="11" t="s">
        <v>2</v>
      </c>
      <c r="D9" s="11">
        <v>104</v>
      </c>
      <c r="E9" s="11">
        <v>101</v>
      </c>
      <c r="F9" s="73">
        <f t="shared" ref="F9" si="4">(AVERAGEIF(D9:E9,"&gt;0",D9:E9))*10^4*100/8</f>
        <v>12812500</v>
      </c>
      <c r="G9" s="7">
        <v>1</v>
      </c>
      <c r="H9" s="5">
        <f t="array" ref="H9">IFERROR(INDEX($F$2:$F$181,SMALL(IF($G$2:$G$181=2,ROW($A$1:$A$163),""),ROW(A3))),"")</f>
        <v>5250000</v>
      </c>
      <c r="I9" s="5">
        <f>AVERAGE(H7:H9)</f>
        <v>6833333.333333333</v>
      </c>
      <c r="J9" s="39">
        <f>STDEV(H7:H9)</f>
        <v>1393810.7236398119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4.55" thickBot="1" x14ac:dyDescent="0.35">
      <c r="A10" s="82"/>
      <c r="B10" s="87"/>
      <c r="C10" s="35" t="s">
        <v>3</v>
      </c>
      <c r="D10" s="35">
        <v>8</v>
      </c>
      <c r="E10" s="35">
        <v>7</v>
      </c>
      <c r="F10" s="74">
        <f t="shared" ref="F10" si="5">(AVERAGEIF(D10:E10,"&gt;0",D10:E10))*10^5*100/8</f>
        <v>9375000</v>
      </c>
      <c r="G10" s="7"/>
      <c r="H10" s="5" t="s">
        <v>13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5" customHeight="1" thickTop="1" x14ac:dyDescent="0.3">
      <c r="A11" s="80" t="s">
        <v>66</v>
      </c>
      <c r="B11" s="83">
        <v>1</v>
      </c>
      <c r="C11" s="30" t="s">
        <v>4</v>
      </c>
      <c r="D11" s="30"/>
      <c r="E11" s="30"/>
      <c r="F11" s="31" t="e">
        <f t="shared" ref="F11" si="6">(AVERAGEIF(D11:E11,"&gt;0",D11:E11))*10^3*100/8</f>
        <v>#DIV/0!</v>
      </c>
      <c r="G11" s="7"/>
      <c r="H11" s="5">
        <f t="array" ref="H11">IFERROR(INDEX($F$2:$F$181,SMALL(IF($G$2:$G$181=3,ROW($A$1:$A$163),""),ROW(A1))),"")</f>
        <v>7250000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81"/>
      <c r="B12" s="84"/>
      <c r="C12" s="11" t="s">
        <v>2</v>
      </c>
      <c r="D12" s="11">
        <v>62</v>
      </c>
      <c r="E12" s="11">
        <v>64</v>
      </c>
      <c r="F12" s="32">
        <f t="shared" ref="F12" si="7">(AVERAGEIF(D12:E12,"&gt;0",D12:E12))*10^4*100/8</f>
        <v>7875000</v>
      </c>
      <c r="G12" s="7">
        <v>2</v>
      </c>
      <c r="H12" s="5">
        <f t="array" ref="H12">IFERROR(INDEX($F$2:$F$181,SMALL(IF($G$2:$G$181=3,ROW($A$1:$A$163),""),ROW(A2))),"")</f>
        <v>7250000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4.55" thickBot="1" x14ac:dyDescent="0.35">
      <c r="A13" s="81"/>
      <c r="B13" s="85"/>
      <c r="C13" s="12" t="s">
        <v>3</v>
      </c>
      <c r="D13" s="12"/>
      <c r="E13" s="12"/>
      <c r="F13" s="33" t="e">
        <f t="shared" ref="F13" si="8">(AVERAGEIF(D13:E13,"&gt;0",D13:E13))*10^5*100/8</f>
        <v>#DIV/0!</v>
      </c>
      <c r="G13" s="7"/>
      <c r="H13" s="5">
        <f t="array" ref="H13">IFERROR(INDEX($F$2:$F$181,SMALL(IF($G$2:$G$181=3,ROW($A$1:$A$163),""),ROW(A3))),"")</f>
        <v>5250000</v>
      </c>
      <c r="I13" s="5">
        <f>AVERAGE(H11:H13)</f>
        <v>6583333.333333333</v>
      </c>
      <c r="J13" s="39">
        <f>STDEV(H11:H13)</f>
        <v>1154700.5383792527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81"/>
      <c r="B14" s="86">
        <v>2</v>
      </c>
      <c r="C14" s="8" t="s">
        <v>4</v>
      </c>
      <c r="D14" s="8"/>
      <c r="E14" s="8"/>
      <c r="F14" s="34" t="e">
        <f t="shared" ref="F14" si="9">(AVERAGEIF(D14:E14,"&gt;0",D14:E14))*10^3*100/8</f>
        <v>#DIV/0!</v>
      </c>
      <c r="G14" s="7"/>
      <c r="H14" s="5" t="s">
        <v>14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81"/>
      <c r="B15" s="84"/>
      <c r="C15" s="11" t="s">
        <v>2</v>
      </c>
      <c r="D15" s="11">
        <v>68</v>
      </c>
      <c r="E15" s="11">
        <v>50</v>
      </c>
      <c r="F15" s="32">
        <f t="shared" ref="F15" si="10">(AVERAGEIF(D15:E15,"&gt;0",D15:E15))*10^4*100/8</f>
        <v>7375000</v>
      </c>
      <c r="G15" s="7">
        <v>2</v>
      </c>
      <c r="H15" s="5">
        <f t="array" ref="H15">IFERROR(INDEX($F$2:$F$181,SMALL(IF($G$2:$G$181=4,ROW($A$1:$A$163),""),ROW(A1))),"")</f>
        <v>68750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4.55" thickBot="1" x14ac:dyDescent="0.35">
      <c r="A16" s="81"/>
      <c r="B16" s="85"/>
      <c r="C16" s="12" t="s">
        <v>3</v>
      </c>
      <c r="D16" s="12"/>
      <c r="E16" s="12"/>
      <c r="F16" s="33" t="e">
        <f t="shared" ref="F16" si="11">(AVERAGEIF(D16:E16,"&gt;0",D16:E16))*10^5*100/8</f>
        <v>#DIV/0!</v>
      </c>
      <c r="G16" s="7"/>
      <c r="H16" s="5">
        <f t="array" ref="H16">IFERROR(INDEX($F$2:$F$181,SMALL(IF($G$2:$G$181=4,ROW($A$1:$A$163),""),ROW(A2))),"")</f>
        <v>62500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81"/>
      <c r="B17" s="86">
        <v>3</v>
      </c>
      <c r="C17" s="8" t="s">
        <v>4</v>
      </c>
      <c r="D17" s="8"/>
      <c r="E17" s="8"/>
      <c r="F17" s="34" t="e">
        <f t="shared" ref="F17" si="12">(AVERAGEIF(D17:E17,"&gt;0",D17:E17))*10^3*100/8</f>
        <v>#DIV/0!</v>
      </c>
      <c r="G17" s="7"/>
      <c r="H17" s="5">
        <f t="array" ref="H17">IFERROR(INDEX($F$2:$F$181,SMALL(IF($G$2:$G$181=4,ROW($A$1:$A$163),""),ROW(A3))),"")</f>
        <v>70625</v>
      </c>
      <c r="I17" s="5">
        <f>AVERAGE(H15:H17)</f>
        <v>67291.666666666672</v>
      </c>
      <c r="J17" s="39">
        <f>STDEV(H15:H17)</f>
        <v>4254.2870534712793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81"/>
      <c r="B18" s="84"/>
      <c r="C18" s="11" t="s">
        <v>2</v>
      </c>
      <c r="D18" s="11">
        <v>40</v>
      </c>
      <c r="E18" s="11">
        <v>44</v>
      </c>
      <c r="F18" s="32">
        <f t="shared" ref="F18" si="13">(AVERAGEIF(D18:E18,"&gt;0",D18:E18))*10^4*100/8</f>
        <v>5250000</v>
      </c>
      <c r="G18" s="7">
        <v>2</v>
      </c>
      <c r="H18" s="5" t="s">
        <v>15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4.55" thickBot="1" x14ac:dyDescent="0.35">
      <c r="A19" s="82"/>
      <c r="B19" s="87"/>
      <c r="C19" s="35" t="s">
        <v>3</v>
      </c>
      <c r="D19" s="35"/>
      <c r="E19" s="35"/>
      <c r="F19" s="36" t="e">
        <f t="shared" ref="F19" si="14">(AVERAGEIF(D19:E19,"&gt;0",D19:E19))*10^5*100/8</f>
        <v>#DIV/0!</v>
      </c>
      <c r="G19" s="7"/>
      <c r="H19" s="5" t="str">
        <f t="array" ref="H19">IFERROR(INDEX($F$2:$F$181,SMALL(IF($G$2:$G$181=5,ROW($A$1:$A$163),""),ROW(A1))),"")</f>
        <v/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4.55" thickTop="1" x14ac:dyDescent="0.3">
      <c r="A20" s="80" t="s">
        <v>67</v>
      </c>
      <c r="B20" s="83">
        <v>1</v>
      </c>
      <c r="C20" s="30" t="s">
        <v>4</v>
      </c>
      <c r="D20" s="58"/>
      <c r="E20" s="58"/>
      <c r="F20" s="31" t="e">
        <f t="shared" ref="F20" si="15">(AVERAGEIF(D20:E20,"&gt;0",D20:E20))*10^3*100/8</f>
        <v>#DIV/0!</v>
      </c>
      <c r="G20" s="7"/>
      <c r="H20" s="5" t="str">
        <f t="array" ref="H20">IFERROR(INDEX($F$2:$F$181,SMALL(IF($G$2:$G$181=5,ROW($A$1:$A$163),""),ROW(A2))),"")</f>
        <v/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81"/>
      <c r="B21" s="84"/>
      <c r="C21" s="11" t="s">
        <v>2</v>
      </c>
      <c r="D21" s="11">
        <v>65</v>
      </c>
      <c r="E21" s="11">
        <v>51</v>
      </c>
      <c r="F21" s="32">
        <f t="shared" ref="F21" si="16">(AVERAGEIF(D21:E21,"&gt;0",D21:E21))*10^4*100/8</f>
        <v>7250000</v>
      </c>
      <c r="G21" s="7">
        <v>3</v>
      </c>
      <c r="H21" s="5" t="str">
        <f t="array" ref="H21">IFERROR(INDEX($F$2:$F$181,SMALL(IF($G$2:$G$181=5,ROW($A$1:$A$163),""),ROW(A3))),"")</f>
        <v/>
      </c>
      <c r="I21" s="5" t="e">
        <f>AVERAGE(H19:H21)</f>
        <v>#DIV/0!</v>
      </c>
      <c r="J21" s="39" t="e">
        <f>STDEV(H19:H21)</f>
        <v>#DIV/0!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4.55" thickBot="1" x14ac:dyDescent="0.35">
      <c r="A22" s="81"/>
      <c r="B22" s="85"/>
      <c r="C22" s="12" t="s">
        <v>3</v>
      </c>
      <c r="D22" s="12">
        <v>4</v>
      </c>
      <c r="E22" s="12">
        <v>5</v>
      </c>
      <c r="F22" s="33">
        <f t="shared" ref="F22" si="17">(AVERAGEIF(D22:E22,"&gt;0",D22:E22))*10^5*100/8</f>
        <v>5625000</v>
      </c>
      <c r="G22" s="7"/>
      <c r="H22" s="5" t="s">
        <v>16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70">
        <v>3</v>
      </c>
      <c r="N22" s="46" t="s">
        <v>35</v>
      </c>
      <c r="O22" s="46" t="s">
        <v>36</v>
      </c>
      <c r="P22" s="46" t="s">
        <v>37</v>
      </c>
      <c r="Q22" s="46" t="s">
        <v>38</v>
      </c>
      <c r="R22" s="47" t="s">
        <v>39</v>
      </c>
      <c r="S22" s="47" t="s">
        <v>40</v>
      </c>
      <c r="T22" s="45" t="s">
        <v>41</v>
      </c>
      <c r="U22" s="45" t="s">
        <v>42</v>
      </c>
    </row>
    <row r="23" spans="1:21" x14ac:dyDescent="0.3">
      <c r="A23" s="81"/>
      <c r="B23" s="86">
        <v>2</v>
      </c>
      <c r="C23" s="8" t="s">
        <v>4</v>
      </c>
      <c r="D23" s="59"/>
      <c r="E23" s="59"/>
      <c r="F23" s="34" t="e">
        <f t="shared" ref="F23" si="18">(AVERAGEIF(D23:E23,"&gt;0",D23:E23))*10^3*100/8</f>
        <v>#DIV/0!</v>
      </c>
      <c r="G23" s="7"/>
      <c r="H23" s="5" t="str">
        <f t="array" ref="H23">IFERROR(INDEX($F$2:$F$181,SMALL(IF($G$2:$G$181=6,ROW($A$1:$A$163),""),ROW(A1))),"")</f>
        <v/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70">
        <v>4</v>
      </c>
      <c r="N23" s="9">
        <f>AVERAGE(N4:N21)</f>
        <v>16583333.333333334</v>
      </c>
      <c r="O23" s="9">
        <f t="shared" ref="O23:U23" si="19">AVERAGE(O4:O21)</f>
        <v>6833333.333333333</v>
      </c>
      <c r="P23" s="9">
        <f t="shared" si="19"/>
        <v>6583333.333333333</v>
      </c>
      <c r="Q23" s="9">
        <f t="shared" si="19"/>
        <v>67291.666666666672</v>
      </c>
      <c r="R23" s="9" t="e">
        <f t="shared" si="19"/>
        <v>#DIV/0!</v>
      </c>
      <c r="S23" s="9" t="e">
        <f t="shared" si="19"/>
        <v>#DIV/0!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81"/>
      <c r="B24" s="84"/>
      <c r="C24" s="11" t="s">
        <v>2</v>
      </c>
      <c r="D24" s="11">
        <v>62</v>
      </c>
      <c r="E24" s="11">
        <v>54</v>
      </c>
      <c r="F24" s="32">
        <f t="shared" ref="F24" si="20">(AVERAGEIF(D24:E24,"&gt;0",D24:E24))*10^4*100/8</f>
        <v>7250000</v>
      </c>
      <c r="G24" s="7">
        <v>3</v>
      </c>
      <c r="H24" s="5" t="str">
        <f t="array" ref="H24">IFERROR(INDEX($F$2:$F$181,SMALL(IF($G$2:$G$181=6,ROW($A$1:$A$163),""),ROW(A2))),"")</f>
        <v/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70">
        <v>5</v>
      </c>
      <c r="N24" s="46" t="s">
        <v>43</v>
      </c>
      <c r="O24" s="46" t="s">
        <v>44</v>
      </c>
      <c r="P24" s="46" t="s">
        <v>45</v>
      </c>
      <c r="Q24" s="46" t="s">
        <v>46</v>
      </c>
      <c r="R24" s="47" t="s">
        <v>47</v>
      </c>
      <c r="S24" s="47" t="s">
        <v>48</v>
      </c>
      <c r="T24" s="45" t="s">
        <v>50</v>
      </c>
      <c r="U24" s="45" t="s">
        <v>49</v>
      </c>
    </row>
    <row r="25" spans="1:21" ht="14.55" thickBot="1" x14ac:dyDescent="0.35">
      <c r="A25" s="81"/>
      <c r="B25" s="85"/>
      <c r="C25" s="12" t="s">
        <v>3</v>
      </c>
      <c r="D25" s="12">
        <v>8</v>
      </c>
      <c r="E25" s="12">
        <v>4</v>
      </c>
      <c r="F25" s="33">
        <f t="shared" ref="F25" si="21">(AVERAGEIF(D25:E25,"&gt;0",D25:E25))*10^5*100/8</f>
        <v>7500000</v>
      </c>
      <c r="G25" s="7"/>
      <c r="H25" s="5" t="str">
        <f t="array" ref="H25">IFERROR(INDEX($F$2:$F$181,SMALL(IF($G$2:$G$181=6,ROW($A$1:$A$163),""),ROW(A3))),"")</f>
        <v/>
      </c>
      <c r="I25" s="5" t="e">
        <f>AVERAGE(H23:H25)</f>
        <v>#DIV/0!</v>
      </c>
      <c r="J25" s="39" t="e">
        <f>STDEV(H23:H25)</f>
        <v>#DIV/0!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70">
        <v>6</v>
      </c>
      <c r="N25" s="14">
        <f t="shared" ref="N25:P25" si="22">STDEV(N4:N21)</f>
        <v>5687271.0576631837</v>
      </c>
      <c r="O25" s="14">
        <f t="shared" si="22"/>
        <v>1393810.7236398119</v>
      </c>
      <c r="P25" s="14">
        <f t="shared" si="22"/>
        <v>1154700.5383792527</v>
      </c>
      <c r="Q25" s="14">
        <f>STDEV(Q4:Q21)</f>
        <v>4254.2870534712793</v>
      </c>
      <c r="R25" s="14" t="e">
        <f t="shared" ref="R25:U25" si="23">STDEV(R4:R21)</f>
        <v>#DIV/0!</v>
      </c>
      <c r="S25" s="14" t="e">
        <f t="shared" si="23"/>
        <v>#DIV/0!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81"/>
      <c r="B26" s="86">
        <v>3</v>
      </c>
      <c r="C26" s="8" t="s">
        <v>4</v>
      </c>
      <c r="D26" s="59"/>
      <c r="E26" s="59"/>
      <c r="F26" s="34" t="e">
        <f t="shared" ref="F26" si="24">(AVERAGEIF(D26:E26,"&gt;0",D26:E26))*10^3*100/8</f>
        <v>#DIV/0!</v>
      </c>
      <c r="G26" s="7"/>
      <c r="H26" s="5" t="s">
        <v>17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70">
        <v>7</v>
      </c>
      <c r="N26" s="14"/>
      <c r="O26" s="9"/>
      <c r="P26" s="9"/>
      <c r="Q26" s="9"/>
      <c r="R26" s="10"/>
      <c r="S26" s="10"/>
    </row>
    <row r="27" spans="1:21" x14ac:dyDescent="0.3">
      <c r="A27" s="81"/>
      <c r="B27" s="84"/>
      <c r="C27" s="11" t="s">
        <v>2</v>
      </c>
      <c r="D27" s="11">
        <v>44</v>
      </c>
      <c r="E27" s="11">
        <v>40</v>
      </c>
      <c r="F27" s="32">
        <f t="shared" ref="F27" si="25">(AVERAGEIF(D27:E27,"&gt;0",D27:E27))*10^4*100/8</f>
        <v>5250000</v>
      </c>
      <c r="G27" s="7">
        <v>3</v>
      </c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4.55" thickBot="1" x14ac:dyDescent="0.35">
      <c r="A28" s="82"/>
      <c r="B28" s="87"/>
      <c r="C28" s="35" t="s">
        <v>3</v>
      </c>
      <c r="D28" s="35">
        <v>4</v>
      </c>
      <c r="E28" s="35">
        <v>2</v>
      </c>
      <c r="F28" s="36">
        <f t="shared" ref="F28" si="26">(AVERAGEIF(D28:E28,"&gt;0",D28:E28))*10^5*100/8</f>
        <v>3750000</v>
      </c>
      <c r="G28" s="7"/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O23/N23</f>
        <v>0.41206030150753764</v>
      </c>
      <c r="P28" s="9">
        <f>$O$23/P23</f>
        <v>1.0379746835443038</v>
      </c>
      <c r="Q28" s="9">
        <f>$O$23/Q23</f>
        <v>101.54798761609906</v>
      </c>
      <c r="R28" s="9" t="e">
        <f>$O$23/R23</f>
        <v>#DIV/0!</v>
      </c>
      <c r="S28" s="9" t="e">
        <f t="shared" ref="S28:U28" si="27">R23/S23</f>
        <v>#DIV/0!</v>
      </c>
      <c r="T28" s="9"/>
      <c r="U28" s="9" t="e">
        <f t="shared" si="27"/>
        <v>#DIV/0!</v>
      </c>
    </row>
    <row r="29" spans="1:21" ht="14.55" thickTop="1" x14ac:dyDescent="0.3">
      <c r="A29" s="80" t="s">
        <v>69</v>
      </c>
      <c r="B29" s="83">
        <v>1</v>
      </c>
      <c r="C29" s="30" t="s">
        <v>53</v>
      </c>
      <c r="D29" s="58">
        <v>60</v>
      </c>
      <c r="E29" s="58">
        <v>50</v>
      </c>
      <c r="F29" s="31">
        <f>(AVERAGEIF(D29:E29,"&gt;0",D29:E29))*10^2*100/8</f>
        <v>68750</v>
      </c>
      <c r="G29" s="7">
        <v>4</v>
      </c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/>
      <c r="R29" s="10"/>
      <c r="S29" s="10"/>
      <c r="T29" s="14"/>
      <c r="U29" s="14"/>
    </row>
    <row r="30" spans="1:21" x14ac:dyDescent="0.3">
      <c r="A30" s="81"/>
      <c r="B30" s="84"/>
      <c r="C30" s="11" t="s">
        <v>4</v>
      </c>
      <c r="D30" s="11">
        <v>5</v>
      </c>
      <c r="E30" s="11">
        <v>4</v>
      </c>
      <c r="F30" s="32">
        <f>(AVERAGEIF(D30:E30,"&gt;0",D30:E30))*10^3*100/8</f>
        <v>56250</v>
      </c>
      <c r="G30" s="7"/>
      <c r="H30" s="5" t="s">
        <v>18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4.55" thickBot="1" x14ac:dyDescent="0.35">
      <c r="A31" s="81"/>
      <c r="B31" s="85"/>
      <c r="C31" s="12" t="s">
        <v>2</v>
      </c>
      <c r="D31" s="12"/>
      <c r="E31" s="12"/>
      <c r="F31" s="33" t="e">
        <f>(AVERAGEIF(D31:E31,"&gt;0",D31:E31))*10^4*100/8</f>
        <v>#DIV/0!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ht="14.55" thickTop="1" x14ac:dyDescent="0.3">
      <c r="A32" s="81"/>
      <c r="B32" s="86">
        <v>2</v>
      </c>
      <c r="C32" s="30" t="s">
        <v>53</v>
      </c>
      <c r="D32" s="59">
        <v>50</v>
      </c>
      <c r="E32" s="59">
        <v>50</v>
      </c>
      <c r="F32" s="31">
        <f t="shared" ref="F32" si="28">(AVERAGEIF(D32:E32,"&gt;0",D32:E32))*10^2*100/8</f>
        <v>62500</v>
      </c>
      <c r="G32" s="7">
        <v>4</v>
      </c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81"/>
      <c r="B33" s="84"/>
      <c r="C33" s="11" t="s">
        <v>4</v>
      </c>
      <c r="D33" s="11">
        <v>5</v>
      </c>
      <c r="E33" s="11">
        <v>7</v>
      </c>
      <c r="F33" s="32">
        <f t="shared" ref="F33" si="29">(AVERAGEIF(D33:E33,"&gt;0",D33:E33))*10^3*100/8</f>
        <v>75000</v>
      </c>
      <c r="G33" s="7"/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4.55" thickBot="1" x14ac:dyDescent="0.35">
      <c r="A34" s="81"/>
      <c r="B34" s="85"/>
      <c r="C34" s="12" t="s">
        <v>2</v>
      </c>
      <c r="D34" s="12"/>
      <c r="E34" s="12"/>
      <c r="F34" s="33" t="e">
        <f t="shared" ref="F34" si="30">(AVERAGEIF(D34:E34,"&gt;0",D34:E34))*10^4*100/8</f>
        <v>#DIV/0!</v>
      </c>
      <c r="G34" s="7"/>
      <c r="H34" s="5" t="s">
        <v>19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ht="14.55" thickTop="1" x14ac:dyDescent="0.3">
      <c r="A35" s="81"/>
      <c r="B35" s="86">
        <v>3</v>
      </c>
      <c r="C35" s="30" t="s">
        <v>53</v>
      </c>
      <c r="D35" s="59">
        <v>61</v>
      </c>
      <c r="E35" s="59">
        <v>52</v>
      </c>
      <c r="F35" s="31">
        <f t="shared" ref="F35" si="31">(AVERAGEIF(D35:E35,"&gt;0",D35:E35))*10^2*100/8</f>
        <v>70625</v>
      </c>
      <c r="G35" s="7">
        <v>4</v>
      </c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81"/>
      <c r="B36" s="84"/>
      <c r="C36" s="11" t="s">
        <v>4</v>
      </c>
      <c r="D36" s="11">
        <v>4</v>
      </c>
      <c r="E36" s="11">
        <v>4</v>
      </c>
      <c r="F36" s="32">
        <f t="shared" ref="F36" si="32">(AVERAGEIF(D36:E36,"&gt;0",D36:E36))*10^3*100/8</f>
        <v>50000</v>
      </c>
      <c r="G36" s="7"/>
      <c r="H36" s="5" t="str">
        <f t="array" ref="H36">IFERROR(INDEX($F$2:$F$181,SMALL(IF($G$2:$G$181=9,ROW($A$1:$A$163),""),ROW(A2))),"")</f>
        <v/>
      </c>
      <c r="J36" s="40"/>
      <c r="K36" s="13"/>
      <c r="L36" s="13"/>
      <c r="M36" s="65"/>
      <c r="N36" s="14"/>
      <c r="O36" s="9"/>
      <c r="P36" s="9"/>
      <c r="Q36" s="9"/>
      <c r="R36" s="10"/>
      <c r="S36" s="10"/>
    </row>
    <row r="37" spans="1:19" ht="14.55" thickBot="1" x14ac:dyDescent="0.35">
      <c r="A37" s="82"/>
      <c r="B37" s="87"/>
      <c r="C37" s="12" t="s">
        <v>2</v>
      </c>
      <c r="D37" s="35"/>
      <c r="E37" s="35"/>
      <c r="F37" s="33" t="e">
        <f t="shared" ref="F37" si="33">(AVERAGEIF(D37:E37,"&gt;0",D37:E37))*10^4*100/8</f>
        <v>#DIV/0!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5"/>
      <c r="N37" s="14"/>
      <c r="O37" s="9"/>
      <c r="P37" s="9"/>
      <c r="Q37" s="9"/>
      <c r="R37" s="10"/>
      <c r="S37" s="10"/>
    </row>
    <row r="38" spans="1:19" ht="15.05" thickTop="1" thickBot="1" x14ac:dyDescent="0.35">
      <c r="A38" s="88" t="s">
        <v>68</v>
      </c>
      <c r="B38" s="89">
        <v>1</v>
      </c>
      <c r="C38" s="30" t="s">
        <v>53</v>
      </c>
      <c r="D38" s="75"/>
      <c r="E38" s="75"/>
      <c r="F38" s="34" t="e">
        <f>(AVERAGEIF(D38:E38,"&gt;0",D38:E38))*10^2*100/8</f>
        <v>#DIV/0!</v>
      </c>
      <c r="G38" s="7"/>
      <c r="H38" s="5" t="s">
        <v>20</v>
      </c>
      <c r="J38" s="40"/>
      <c r="K38" s="13"/>
      <c r="L38" s="13"/>
      <c r="M38" s="65"/>
      <c r="N38" s="14"/>
      <c r="O38" s="9"/>
      <c r="P38" s="14"/>
      <c r="Q38" s="14"/>
      <c r="R38" s="10"/>
      <c r="S38" s="10"/>
    </row>
    <row r="39" spans="1:19" ht="14.55" thickBot="1" x14ac:dyDescent="0.35">
      <c r="A39" s="81"/>
      <c r="B39" s="90"/>
      <c r="C39" s="11" t="s">
        <v>4</v>
      </c>
      <c r="D39" s="76"/>
      <c r="E39" s="76"/>
      <c r="F39" s="34" t="e">
        <f>(AVERAGEIF(D39:E39,"&gt;0",D39:E39))*10^3*100/8</f>
        <v>#DIV/0!</v>
      </c>
      <c r="G39" s="7"/>
      <c r="H39" s="5" t="str">
        <f t="array" ref="H39">IFERROR(INDEX($F$2:$F$181,SMALL(IF($G$2:$G$181=10,ROW($A$1:$A$163),""),ROW(A1))),"")</f>
        <v/>
      </c>
      <c r="J39" s="40"/>
      <c r="K39" s="13"/>
      <c r="L39" s="13"/>
      <c r="M39" s="65"/>
      <c r="N39" s="14"/>
      <c r="O39" s="9"/>
      <c r="P39" s="14"/>
      <c r="Q39" s="14"/>
      <c r="R39" s="10"/>
      <c r="S39" s="10"/>
    </row>
    <row r="40" spans="1:19" ht="14.55" thickBot="1" x14ac:dyDescent="0.35">
      <c r="A40" s="81"/>
      <c r="B40" s="91"/>
      <c r="C40" s="12" t="s">
        <v>2</v>
      </c>
      <c r="D40" s="77"/>
      <c r="E40" s="77"/>
      <c r="F40" s="34" t="e">
        <f>(AVERAGEIF(D40:E40,"&gt;0",D40:E40))*10^4*100/8</f>
        <v>#DIV/0!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5"/>
      <c r="N40" s="14"/>
      <c r="O40" s="9"/>
      <c r="P40" s="14"/>
      <c r="Q40" s="14"/>
      <c r="R40" s="10"/>
      <c r="S40" s="10"/>
    </row>
    <row r="41" spans="1:19" ht="15.05" thickTop="1" thickBot="1" x14ac:dyDescent="0.35">
      <c r="A41" s="81"/>
      <c r="B41" s="92">
        <v>2</v>
      </c>
      <c r="C41" s="30" t="s">
        <v>53</v>
      </c>
      <c r="D41" s="78"/>
      <c r="E41" s="78"/>
      <c r="F41" s="34" t="e">
        <f t="shared" ref="F41" si="34">(AVERAGEIF(D41:E41,"&gt;0",D41:E41))*10^2*100/8</f>
        <v>#DIV/0!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5"/>
      <c r="N41" s="14"/>
      <c r="O41" s="9"/>
      <c r="P41" s="14"/>
      <c r="Q41" s="14"/>
      <c r="R41" s="10"/>
      <c r="S41" s="10"/>
    </row>
    <row r="42" spans="1:19" ht="14.55" thickBot="1" x14ac:dyDescent="0.35">
      <c r="A42" s="81"/>
      <c r="B42" s="90"/>
      <c r="C42" s="11" t="s">
        <v>4</v>
      </c>
      <c r="D42" s="76"/>
      <c r="E42" s="76"/>
      <c r="F42" s="34" t="e">
        <f t="shared" ref="F42" si="35">(AVERAGEIF(D42:E42,"&gt;0",D42:E42))*10^3*100/8</f>
        <v>#DIV/0!</v>
      </c>
      <c r="G42" s="7"/>
      <c r="H42" s="5" t="s">
        <v>21</v>
      </c>
      <c r="J42" s="40"/>
      <c r="K42" s="13"/>
      <c r="L42" s="13"/>
      <c r="M42" s="65"/>
      <c r="N42" s="14"/>
      <c r="O42" s="9"/>
      <c r="P42" s="14"/>
      <c r="Q42" s="14"/>
      <c r="R42" s="10"/>
      <c r="S42" s="10"/>
    </row>
    <row r="43" spans="1:19" ht="14.55" thickBot="1" x14ac:dyDescent="0.35">
      <c r="A43" s="81"/>
      <c r="B43" s="91"/>
      <c r="C43" s="12" t="s">
        <v>2</v>
      </c>
      <c r="D43" s="77"/>
      <c r="E43" s="77"/>
      <c r="F43" s="34" t="e">
        <f t="shared" ref="F43" si="36">(AVERAGEIF(D43:E43,"&gt;0",D43:E43))*10^4*100/8</f>
        <v>#DIV/0!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/>
      <c r="M43" s="65"/>
      <c r="N43" s="14"/>
      <c r="O43" s="9"/>
      <c r="P43" s="14"/>
      <c r="Q43" s="14"/>
      <c r="R43" s="10"/>
      <c r="S43" s="10"/>
    </row>
    <row r="44" spans="1:19" ht="15.05" thickTop="1" thickBot="1" x14ac:dyDescent="0.35">
      <c r="A44" s="81"/>
      <c r="B44" s="92">
        <v>3</v>
      </c>
      <c r="C44" s="30" t="s">
        <v>53</v>
      </c>
      <c r="D44" s="78"/>
      <c r="E44" s="78"/>
      <c r="F44" s="34" t="e">
        <f t="shared" ref="F44" si="37">(AVERAGEIF(D44:E44,"&gt;0",D44:E44))*10^2*100/8</f>
        <v>#DIV/0!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5"/>
      <c r="N44" s="14"/>
      <c r="O44" s="9"/>
      <c r="P44" s="14"/>
      <c r="Q44" s="14"/>
      <c r="R44" s="10"/>
      <c r="S44" s="10"/>
    </row>
    <row r="45" spans="1:19" ht="14.55" thickBot="1" x14ac:dyDescent="0.35">
      <c r="A45" s="81"/>
      <c r="B45" s="90"/>
      <c r="C45" s="11" t="s">
        <v>4</v>
      </c>
      <c r="D45" s="76"/>
      <c r="E45" s="76"/>
      <c r="F45" s="34" t="e">
        <f t="shared" ref="F45" si="38">(AVERAGEIF(D45:E45,"&gt;0",D45:E45))*10^3*100/8</f>
        <v>#DIV/0!</v>
      </c>
      <c r="G45" s="7"/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5"/>
      <c r="N45" s="14"/>
      <c r="O45" s="9"/>
      <c r="P45" s="14"/>
      <c r="Q45" s="14"/>
      <c r="R45" s="10"/>
      <c r="S45" s="10"/>
    </row>
    <row r="46" spans="1:19" ht="14.55" thickBot="1" x14ac:dyDescent="0.35">
      <c r="A46" s="82"/>
      <c r="B46" s="93"/>
      <c r="C46" s="12" t="s">
        <v>2</v>
      </c>
      <c r="D46" s="79"/>
      <c r="E46" s="79"/>
      <c r="F46" s="34" t="e">
        <f t="shared" ref="F46" si="39">(AVERAGEIF(D46:E46,"&gt;0",D46:E46))*10^4*100/8</f>
        <v>#DIV/0!</v>
      </c>
      <c r="G46" s="7"/>
      <c r="H46" s="5" t="s">
        <v>22</v>
      </c>
      <c r="J46" s="40"/>
      <c r="K46" s="13"/>
      <c r="L46" s="13"/>
      <c r="M46" s="65"/>
      <c r="N46" s="14"/>
      <c r="O46" s="9"/>
      <c r="P46" s="14"/>
      <c r="Q46" s="14"/>
      <c r="R46" s="10"/>
      <c r="S46" s="10"/>
    </row>
    <row r="47" spans="1:19" ht="14.55" thickTop="1" x14ac:dyDescent="0.3">
      <c r="A47" s="88"/>
      <c r="B47" s="89"/>
      <c r="C47" s="30"/>
      <c r="D47" s="75"/>
      <c r="E47" s="75"/>
      <c r="F47" s="34"/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5"/>
      <c r="N47" s="14"/>
      <c r="O47" s="9"/>
      <c r="P47" s="14"/>
      <c r="Q47" s="14"/>
      <c r="R47" s="10"/>
      <c r="S47" s="10"/>
    </row>
    <row r="48" spans="1:19" x14ac:dyDescent="0.3">
      <c r="A48" s="81"/>
      <c r="B48" s="90"/>
      <c r="C48" s="11"/>
      <c r="D48" s="11"/>
      <c r="E48" s="11"/>
      <c r="F48" s="32"/>
      <c r="G48" s="7"/>
      <c r="H48" s="5" t="str">
        <f t="array" ref="H48">IFERROR(INDEX($F$2:$F$181,SMALL(IF($G$2:$G$181=12,ROW($A$1:$A$163),""),ROW(A2))),"")</f>
        <v/>
      </c>
      <c r="J48" s="40"/>
      <c r="K48" s="13"/>
      <c r="L48" s="13"/>
      <c r="M48" s="65"/>
      <c r="N48" s="14"/>
      <c r="O48" s="9"/>
      <c r="P48" s="14"/>
      <c r="Q48" s="14"/>
      <c r="R48" s="10"/>
      <c r="S48" s="10"/>
    </row>
    <row r="49" spans="1:21" ht="14.55" thickBot="1" x14ac:dyDescent="0.35">
      <c r="A49" s="81"/>
      <c r="B49" s="91"/>
      <c r="C49" s="12"/>
      <c r="D49" s="12"/>
      <c r="E49" s="12"/>
      <c r="F49" s="36"/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5"/>
      <c r="N49" s="14"/>
      <c r="O49" s="9"/>
      <c r="P49" s="14"/>
      <c r="Q49" s="14"/>
      <c r="R49" s="10"/>
      <c r="S49" s="10"/>
    </row>
    <row r="50" spans="1:21" ht="14.55" thickTop="1" x14ac:dyDescent="0.3">
      <c r="A50" s="81"/>
      <c r="B50" s="92"/>
      <c r="C50" s="30"/>
      <c r="D50" s="8"/>
      <c r="E50" s="8"/>
      <c r="F50" s="34"/>
      <c r="G50" s="7"/>
      <c r="H50" s="5" t="s">
        <v>23</v>
      </c>
      <c r="J50" s="40"/>
      <c r="K50" s="13"/>
      <c r="L50" s="13"/>
      <c r="M50" s="65"/>
      <c r="N50" s="14"/>
      <c r="O50" s="9"/>
      <c r="P50" s="14"/>
      <c r="Q50" s="14"/>
      <c r="R50" s="10"/>
      <c r="S50" s="10"/>
    </row>
    <row r="51" spans="1:21" x14ac:dyDescent="0.3">
      <c r="A51" s="81"/>
      <c r="B51" s="90"/>
      <c r="C51" s="11"/>
      <c r="D51" s="11"/>
      <c r="E51" s="11"/>
      <c r="F51" s="32"/>
      <c r="G51" s="7"/>
      <c r="H51" s="5" t="str">
        <f t="array" ref="H51">IFERROR(INDEX($F$2:$F$181,SMALL(IF($G$2:$G$181=13,ROW($A$1:$A$163),""),ROW(A1))),"")</f>
        <v/>
      </c>
      <c r="J51" s="40"/>
      <c r="K51" s="13"/>
      <c r="L51" s="13"/>
      <c r="M51" s="65"/>
      <c r="N51" s="14"/>
      <c r="O51" s="9"/>
      <c r="P51" s="14"/>
      <c r="Q51" s="14"/>
      <c r="R51" s="10"/>
      <c r="S51" s="10"/>
    </row>
    <row r="52" spans="1:21" ht="14.55" thickBot="1" x14ac:dyDescent="0.35">
      <c r="A52" s="81"/>
      <c r="B52" s="91"/>
      <c r="C52" s="12"/>
      <c r="D52" s="12"/>
      <c r="E52" s="12"/>
      <c r="F52" s="36"/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5"/>
      <c r="N52" s="14"/>
      <c r="O52" s="9"/>
      <c r="P52" s="14"/>
      <c r="Q52" s="14"/>
      <c r="R52" s="10"/>
      <c r="S52" s="10"/>
    </row>
    <row r="53" spans="1:21" ht="14.55" thickTop="1" x14ac:dyDescent="0.3">
      <c r="A53" s="81"/>
      <c r="B53" s="92"/>
      <c r="C53" s="30"/>
      <c r="D53" s="8"/>
      <c r="E53" s="8"/>
      <c r="F53" s="34"/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5"/>
      <c r="N53" s="14"/>
      <c r="O53" s="9"/>
      <c r="P53" s="14"/>
      <c r="Q53" s="14"/>
      <c r="R53" s="10"/>
      <c r="S53" s="10"/>
    </row>
    <row r="54" spans="1:21" x14ac:dyDescent="0.3">
      <c r="A54" s="81"/>
      <c r="B54" s="90"/>
      <c r="C54" s="11"/>
      <c r="D54" s="11"/>
      <c r="E54" s="11"/>
      <c r="F54" s="32"/>
      <c r="G54" s="7"/>
      <c r="H54" s="5" t="s">
        <v>24</v>
      </c>
      <c r="J54" s="40"/>
      <c r="K54" s="13"/>
      <c r="L54" s="13"/>
      <c r="M54" s="65"/>
      <c r="N54" s="14"/>
      <c r="O54" s="9"/>
      <c r="P54" s="14"/>
      <c r="Q54" s="14"/>
      <c r="R54" s="10"/>
      <c r="S54" s="10"/>
    </row>
    <row r="55" spans="1:21" ht="14.55" thickBot="1" x14ac:dyDescent="0.35">
      <c r="A55" s="82"/>
      <c r="B55" s="93"/>
      <c r="C55" s="12"/>
      <c r="D55" s="35"/>
      <c r="E55" s="35"/>
      <c r="F55" s="36"/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5"/>
      <c r="N55" s="14"/>
      <c r="O55" s="9"/>
      <c r="P55" s="14"/>
      <c r="Q55" s="14"/>
      <c r="R55" s="10"/>
      <c r="S55" s="10"/>
    </row>
    <row r="56" spans="1:21" ht="14.55" thickTop="1" x14ac:dyDescent="0.3">
      <c r="A56" s="88"/>
      <c r="B56" s="89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5"/>
      <c r="N56" s="14"/>
      <c r="O56" s="9"/>
      <c r="P56" s="14"/>
      <c r="Q56" s="14"/>
      <c r="R56" s="10"/>
      <c r="S56" s="10"/>
    </row>
    <row r="57" spans="1:21" x14ac:dyDescent="0.3">
      <c r="A57" s="81"/>
      <c r="B57" s="90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5"/>
      <c r="N57" s="14"/>
      <c r="O57" s="9"/>
      <c r="P57" s="14"/>
      <c r="Q57" s="14"/>
      <c r="R57" s="10"/>
      <c r="S57" s="10"/>
    </row>
    <row r="58" spans="1:21" ht="14.55" thickBot="1" x14ac:dyDescent="0.35">
      <c r="A58" s="81"/>
      <c r="B58" s="91"/>
      <c r="C58" s="12"/>
      <c r="D58" s="12"/>
      <c r="E58" s="12"/>
      <c r="F58" s="36"/>
      <c r="G58" s="7"/>
      <c r="H58" s="5" t="s">
        <v>25</v>
      </c>
      <c r="J58" s="40"/>
      <c r="K58" s="13"/>
      <c r="L58" s="13"/>
      <c r="M58" s="65"/>
      <c r="N58" s="14"/>
      <c r="O58" s="9"/>
      <c r="P58" s="14"/>
      <c r="Q58" s="14"/>
      <c r="R58" s="10"/>
      <c r="S58" s="10"/>
    </row>
    <row r="59" spans="1:21" ht="14.55" thickTop="1" x14ac:dyDescent="0.3">
      <c r="A59" s="81"/>
      <c r="B59" s="92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5"/>
      <c r="N59" s="14"/>
      <c r="O59" s="9"/>
      <c r="P59" s="14"/>
      <c r="Q59" s="14"/>
      <c r="R59" s="10"/>
      <c r="S59" s="10"/>
    </row>
    <row r="60" spans="1:21" ht="14.55" thickBot="1" x14ac:dyDescent="0.35">
      <c r="A60" s="81"/>
      <c r="B60" s="90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5"/>
      <c r="N60" s="42"/>
      <c r="O60" s="9"/>
      <c r="P60" s="42"/>
      <c r="Q60" s="42"/>
      <c r="R60" s="43"/>
      <c r="S60" s="43"/>
      <c r="T60" s="44"/>
      <c r="U60" s="44"/>
    </row>
    <row r="61" spans="1:21" ht="14.55" thickBot="1" x14ac:dyDescent="0.35">
      <c r="A61" s="81"/>
      <c r="B61" s="9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5"/>
      <c r="N61" s="14"/>
      <c r="O61" s="9"/>
      <c r="P61" s="14"/>
      <c r="Q61" s="14"/>
      <c r="R61" s="10"/>
      <c r="S61" s="10"/>
    </row>
    <row r="62" spans="1:21" ht="14.55" thickTop="1" x14ac:dyDescent="0.3">
      <c r="A62" s="81"/>
      <c r="B62" s="92"/>
      <c r="C62" s="30"/>
      <c r="D62" s="8"/>
      <c r="E62" s="8"/>
      <c r="F62" s="34"/>
      <c r="G62" s="7"/>
      <c r="H62" s="5" t="s">
        <v>26</v>
      </c>
      <c r="J62" s="40"/>
      <c r="K62" s="13"/>
      <c r="L62" s="13"/>
      <c r="M62" s="65"/>
      <c r="N62" s="14"/>
      <c r="O62" s="9"/>
      <c r="P62" s="14"/>
      <c r="Q62" s="14"/>
      <c r="R62" s="10"/>
      <c r="S62" s="10"/>
    </row>
    <row r="63" spans="1:21" x14ac:dyDescent="0.3">
      <c r="A63" s="81"/>
      <c r="B63" s="90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5"/>
      <c r="N63" s="14"/>
      <c r="O63" s="9"/>
      <c r="P63" s="14"/>
      <c r="Q63" s="14"/>
      <c r="R63" s="10"/>
      <c r="S63" s="10"/>
    </row>
    <row r="64" spans="1:21" ht="14.55" thickBot="1" x14ac:dyDescent="0.35">
      <c r="A64" s="82"/>
      <c r="B64" s="93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5"/>
      <c r="N64" s="14"/>
      <c r="O64" s="9"/>
      <c r="P64" s="14"/>
      <c r="Q64" s="14"/>
      <c r="R64" s="10"/>
      <c r="S64" s="10"/>
    </row>
    <row r="65" spans="1:19" ht="14.55" thickTop="1" x14ac:dyDescent="0.3">
      <c r="A65" s="88"/>
      <c r="B65" s="89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5"/>
      <c r="N65" s="14"/>
      <c r="O65" s="9"/>
      <c r="P65" s="14"/>
      <c r="Q65" s="14"/>
      <c r="R65" s="10"/>
      <c r="S65" s="10"/>
    </row>
    <row r="66" spans="1:19" x14ac:dyDescent="0.3">
      <c r="A66" s="81"/>
      <c r="B66" s="90"/>
      <c r="C66" s="11"/>
      <c r="D66" s="11"/>
      <c r="E66" s="11"/>
      <c r="F66" s="32"/>
      <c r="G66" s="7"/>
      <c r="H66" s="5" t="s">
        <v>27</v>
      </c>
      <c r="J66" s="40"/>
      <c r="K66" s="13"/>
      <c r="L66" s="13"/>
      <c r="M66" s="65"/>
      <c r="N66" s="14"/>
      <c r="O66" s="9"/>
      <c r="P66" s="14"/>
      <c r="Q66" s="14"/>
      <c r="R66" s="10"/>
      <c r="S66" s="10"/>
    </row>
    <row r="67" spans="1:19" ht="14.55" thickBot="1" x14ac:dyDescent="0.35">
      <c r="A67" s="81"/>
      <c r="B67" s="9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5"/>
      <c r="N67" s="14"/>
      <c r="O67" s="9"/>
      <c r="P67" s="14"/>
      <c r="Q67" s="14"/>
      <c r="R67" s="10"/>
      <c r="S67" s="10"/>
    </row>
    <row r="68" spans="1:19" ht="14.55" thickTop="1" x14ac:dyDescent="0.3">
      <c r="A68" s="81"/>
      <c r="B68" s="92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5"/>
      <c r="N68" s="14"/>
      <c r="O68" s="9"/>
      <c r="P68" s="14"/>
      <c r="Q68" s="14"/>
      <c r="R68" s="10"/>
      <c r="S68" s="10"/>
    </row>
    <row r="69" spans="1:19" x14ac:dyDescent="0.3">
      <c r="A69" s="81"/>
      <c r="B69" s="90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5"/>
      <c r="N69" s="14"/>
      <c r="O69" s="9"/>
      <c r="P69" s="14"/>
      <c r="Q69" s="14"/>
      <c r="R69" s="10"/>
      <c r="S69" s="10"/>
    </row>
    <row r="70" spans="1:19" ht="14.55" thickBot="1" x14ac:dyDescent="0.35">
      <c r="A70" s="81"/>
      <c r="B70" s="91"/>
      <c r="C70" s="12"/>
      <c r="D70" s="12"/>
      <c r="E70" s="12"/>
      <c r="F70" s="36"/>
      <c r="G70" s="7"/>
      <c r="H70" s="5" t="s">
        <v>28</v>
      </c>
      <c r="J70" s="40"/>
      <c r="K70" s="13"/>
      <c r="L70" s="13"/>
      <c r="M70" s="65"/>
      <c r="N70" s="14"/>
      <c r="O70" s="9"/>
      <c r="P70" s="14"/>
      <c r="Q70" s="14"/>
      <c r="R70" s="10"/>
      <c r="S70" s="10"/>
    </row>
    <row r="71" spans="1:19" ht="14.55" thickTop="1" x14ac:dyDescent="0.3">
      <c r="A71" s="81"/>
      <c r="B71" s="92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5"/>
      <c r="N71" s="14"/>
      <c r="O71" s="9"/>
      <c r="P71" s="14"/>
      <c r="Q71" s="14"/>
      <c r="R71" s="10"/>
      <c r="S71" s="10"/>
    </row>
    <row r="72" spans="1:19" x14ac:dyDescent="0.3">
      <c r="A72" s="81"/>
      <c r="B72" s="90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5"/>
      <c r="N72" s="14"/>
      <c r="O72" s="9"/>
      <c r="P72" s="14"/>
      <c r="Q72" s="14"/>
      <c r="R72" s="10"/>
      <c r="S72" s="10"/>
    </row>
    <row r="73" spans="1:19" ht="14.55" thickBot="1" x14ac:dyDescent="0.35">
      <c r="A73" s="82"/>
      <c r="B73" s="93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5"/>
      <c r="N73" s="14"/>
      <c r="O73" s="9"/>
      <c r="P73" s="14"/>
      <c r="Q73" s="14"/>
      <c r="R73" s="10"/>
      <c r="S73" s="10"/>
    </row>
    <row r="74" spans="1:19" ht="14.55" thickTop="1" x14ac:dyDescent="0.3">
      <c r="A74" s="88"/>
      <c r="B74" s="89"/>
      <c r="C74" s="30"/>
      <c r="D74" s="30"/>
      <c r="E74" s="30"/>
      <c r="F74" s="34"/>
      <c r="G74" s="7"/>
      <c r="H74" s="5" t="s">
        <v>29</v>
      </c>
      <c r="J74" s="40"/>
      <c r="K74" s="13"/>
      <c r="L74" s="13"/>
      <c r="M74" s="65"/>
      <c r="N74" s="14"/>
      <c r="O74" s="9"/>
      <c r="P74" s="14"/>
      <c r="Q74" s="14"/>
      <c r="R74" s="10"/>
      <c r="S74" s="10"/>
    </row>
    <row r="75" spans="1:19" x14ac:dyDescent="0.3">
      <c r="A75" s="81"/>
      <c r="B75" s="90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5"/>
      <c r="N75" s="14"/>
      <c r="O75" s="9"/>
      <c r="P75" s="14"/>
      <c r="Q75" s="14"/>
      <c r="R75" s="10"/>
      <c r="S75" s="10"/>
    </row>
    <row r="76" spans="1:19" ht="14.55" thickBot="1" x14ac:dyDescent="0.35">
      <c r="A76" s="81"/>
      <c r="B76" s="91"/>
      <c r="C76" s="12"/>
      <c r="D76" s="12"/>
      <c r="E76" s="12"/>
      <c r="F76" s="36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5"/>
      <c r="N76" s="14"/>
      <c r="O76" s="9"/>
      <c r="P76" s="14"/>
      <c r="Q76" s="14"/>
      <c r="R76" s="10"/>
      <c r="S76" s="10"/>
    </row>
    <row r="77" spans="1:19" ht="14.55" thickTop="1" x14ac:dyDescent="0.3">
      <c r="A77" s="81"/>
      <c r="B77" s="92"/>
      <c r="C77" s="30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5"/>
      <c r="N77" s="14"/>
      <c r="O77" s="9"/>
      <c r="P77" s="14"/>
      <c r="Q77" s="14"/>
      <c r="R77" s="10"/>
      <c r="S77" s="10"/>
    </row>
    <row r="78" spans="1:19" x14ac:dyDescent="0.3">
      <c r="A78" s="81"/>
      <c r="B78" s="90"/>
      <c r="C78" s="11"/>
      <c r="D78" s="11"/>
      <c r="E78" s="11"/>
      <c r="F78" s="32"/>
      <c r="G78" s="7"/>
      <c r="H78" s="5" t="s">
        <v>30</v>
      </c>
      <c r="J78" s="40"/>
      <c r="K78" s="13"/>
      <c r="L78" s="13"/>
      <c r="M78" s="65"/>
      <c r="N78" s="14"/>
      <c r="O78" s="9"/>
      <c r="P78" s="14"/>
      <c r="Q78" s="14"/>
      <c r="R78" s="10"/>
      <c r="S78" s="10"/>
    </row>
    <row r="79" spans="1:19" ht="14.55" thickBot="1" x14ac:dyDescent="0.35">
      <c r="A79" s="81"/>
      <c r="B79" s="91"/>
      <c r="C79" s="12"/>
      <c r="D79" s="12"/>
      <c r="E79" s="12"/>
      <c r="F79" s="36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5"/>
      <c r="N79" s="14"/>
      <c r="O79" s="9"/>
      <c r="P79" s="14"/>
      <c r="Q79" s="14"/>
      <c r="R79" s="10"/>
      <c r="S79" s="10"/>
    </row>
    <row r="80" spans="1:19" ht="14.55" thickTop="1" x14ac:dyDescent="0.3">
      <c r="A80" s="81"/>
      <c r="B80" s="92"/>
      <c r="C80" s="30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5"/>
      <c r="N80" s="14"/>
      <c r="O80" s="9"/>
      <c r="P80" s="14"/>
      <c r="Q80" s="14"/>
      <c r="R80" s="10"/>
      <c r="S80" s="10"/>
    </row>
    <row r="81" spans="1:22" x14ac:dyDescent="0.3">
      <c r="A81" s="81"/>
      <c r="B81" s="90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5"/>
      <c r="N81" s="14"/>
      <c r="O81" s="9"/>
      <c r="P81" s="14"/>
      <c r="Q81" s="14"/>
      <c r="R81" s="10"/>
      <c r="S81" s="10"/>
    </row>
    <row r="82" spans="1:22" ht="14.55" thickBot="1" x14ac:dyDescent="0.35">
      <c r="A82" s="82"/>
      <c r="B82" s="93"/>
      <c r="C82" s="12"/>
      <c r="D82" s="35"/>
      <c r="E82" s="35"/>
      <c r="F82" s="36"/>
      <c r="G82" s="7"/>
      <c r="J82" s="40"/>
      <c r="K82" s="13"/>
      <c r="L82" s="13"/>
      <c r="M82" s="65"/>
      <c r="N82" s="14"/>
      <c r="O82" s="9"/>
      <c r="P82" s="14"/>
      <c r="Q82" s="14"/>
      <c r="R82" s="10"/>
      <c r="S82" s="10"/>
    </row>
    <row r="83" spans="1:22" ht="14.5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5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5"/>
      <c r="N84" s="14"/>
      <c r="O84" s="9"/>
      <c r="P84" s="14"/>
      <c r="Q84" s="14"/>
      <c r="R84" s="10"/>
      <c r="S84" s="10"/>
    </row>
    <row r="85" spans="1:22" ht="14.5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5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5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5"/>
      <c r="N87" s="14"/>
      <c r="O87" s="9"/>
      <c r="P87" s="14"/>
      <c r="Q87" s="14"/>
      <c r="R87" s="10"/>
      <c r="S87" s="10"/>
    </row>
    <row r="88" spans="1:22" ht="14.5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5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5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5"/>
      <c r="N90" s="14"/>
      <c r="O90" s="9"/>
      <c r="P90" s="14"/>
      <c r="Q90" s="14"/>
      <c r="R90" s="10"/>
      <c r="S90" s="10"/>
    </row>
    <row r="91" spans="1:22" ht="14.5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5"/>
      <c r="N91" s="14"/>
      <c r="O91" s="9"/>
      <c r="P91" s="14"/>
      <c r="Q91" s="14"/>
      <c r="R91" s="10"/>
      <c r="S91" s="10"/>
    </row>
    <row r="92" spans="1:22" ht="14.5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5"/>
      <c r="N92" s="14"/>
      <c r="O92" s="9"/>
      <c r="P92" s="14"/>
      <c r="Q92" s="14"/>
      <c r="R92" s="10"/>
      <c r="S92" s="10"/>
    </row>
    <row r="93" spans="1:22" ht="14.5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5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4.5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5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5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5"/>
      <c r="N96" s="14"/>
      <c r="O96" s="9"/>
      <c r="P96" s="14"/>
      <c r="Q96" s="14"/>
      <c r="R96" s="10"/>
      <c r="S96" s="10"/>
    </row>
    <row r="97" spans="1:19" ht="14.5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5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5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5"/>
      <c r="N99" s="14"/>
      <c r="O99" s="9"/>
      <c r="P99" s="14"/>
      <c r="Q99" s="14"/>
      <c r="R99" s="10"/>
      <c r="S99" s="10"/>
    </row>
    <row r="100" spans="1:19" ht="14.5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5"/>
      <c r="N100" s="14"/>
      <c r="O100" s="9"/>
      <c r="P100" s="14"/>
      <c r="Q100" s="14"/>
      <c r="R100" s="10"/>
      <c r="S100" s="10"/>
    </row>
    <row r="101" spans="1:19" ht="14.5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5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5"/>
      <c r="N102" s="14"/>
      <c r="O102" s="9"/>
      <c r="P102" s="14"/>
      <c r="Q102" s="14"/>
      <c r="R102" s="10"/>
      <c r="S102" s="10"/>
    </row>
    <row r="103" spans="1:19" ht="14.5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5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5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5"/>
      <c r="N105" s="14"/>
      <c r="O105" s="9"/>
      <c r="P105" s="14"/>
      <c r="Q105" s="14"/>
      <c r="R105" s="10"/>
      <c r="S105" s="10"/>
    </row>
    <row r="106" spans="1:19" ht="14.5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5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5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5"/>
      <c r="N108" s="14"/>
      <c r="O108" s="9"/>
      <c r="P108" s="14"/>
      <c r="Q108" s="14"/>
      <c r="R108" s="10"/>
      <c r="S108" s="10"/>
    </row>
    <row r="109" spans="1:19" ht="14.5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5"/>
      <c r="N109" s="14"/>
      <c r="O109" s="9"/>
      <c r="P109" s="14"/>
      <c r="Q109" s="14"/>
      <c r="R109" s="10"/>
      <c r="S109" s="10"/>
    </row>
    <row r="110" spans="1:19" ht="14.5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5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5"/>
      <c r="N111" s="14"/>
      <c r="O111" s="9"/>
      <c r="P111" s="14"/>
      <c r="Q111" s="14"/>
      <c r="R111" s="10"/>
      <c r="S111" s="10"/>
    </row>
    <row r="112" spans="1:19" ht="14.5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5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5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5"/>
      <c r="N114" s="14"/>
      <c r="O114" s="9"/>
      <c r="P114" s="14"/>
      <c r="Q114" s="14"/>
      <c r="R114" s="10"/>
      <c r="S114" s="10"/>
    </row>
    <row r="115" spans="1:19" ht="14.5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5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5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5"/>
      <c r="N117" s="14"/>
      <c r="O117" s="9"/>
      <c r="P117" s="14"/>
      <c r="Q117" s="14"/>
      <c r="R117" s="10"/>
      <c r="S117" s="10"/>
    </row>
    <row r="118" spans="1:19" ht="14.5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5"/>
      <c r="N118" s="14"/>
      <c r="O118" s="9"/>
      <c r="P118" s="14"/>
      <c r="Q118" s="14"/>
      <c r="R118" s="10"/>
      <c r="S118" s="10"/>
    </row>
    <row r="119" spans="1:19" ht="14.5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5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5"/>
      <c r="N120" s="14"/>
      <c r="O120" s="9"/>
      <c r="P120" s="14"/>
      <c r="Q120" s="14"/>
      <c r="R120" s="10"/>
      <c r="S120" s="10"/>
    </row>
    <row r="121" spans="1:19" ht="14.5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5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5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5"/>
      <c r="N123" s="14"/>
      <c r="O123" s="9"/>
      <c r="P123" s="14"/>
      <c r="Q123" s="14"/>
      <c r="R123" s="10"/>
      <c r="S123" s="10"/>
    </row>
    <row r="124" spans="1:19" ht="14.5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5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5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5"/>
      <c r="N126" s="14"/>
      <c r="O126" s="9"/>
      <c r="P126" s="14"/>
      <c r="Q126" s="14"/>
      <c r="R126" s="10"/>
      <c r="S126" s="10"/>
    </row>
    <row r="127" spans="1:19" ht="14.5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5"/>
      <c r="N127" s="14"/>
      <c r="O127" s="9"/>
      <c r="P127" s="14"/>
      <c r="Q127" s="14"/>
      <c r="R127" s="10"/>
      <c r="S127" s="10"/>
    </row>
    <row r="128" spans="1:19" ht="14.5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5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5"/>
      <c r="N129" s="14"/>
      <c r="O129" s="9"/>
      <c r="P129" s="14"/>
      <c r="Q129" s="14"/>
      <c r="R129" s="10"/>
      <c r="S129" s="10"/>
    </row>
    <row r="130" spans="1:19" ht="14.5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5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5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5"/>
      <c r="N132" s="14"/>
      <c r="O132" s="9"/>
      <c r="P132" s="14"/>
      <c r="Q132" s="14"/>
      <c r="R132" s="10"/>
      <c r="S132" s="10"/>
    </row>
    <row r="133" spans="1:19" ht="14.5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5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5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5"/>
      <c r="N135" s="14"/>
      <c r="O135" s="9"/>
      <c r="P135" s="14"/>
      <c r="Q135" s="14"/>
      <c r="R135" s="10"/>
      <c r="S135" s="10"/>
    </row>
    <row r="136" spans="1:19" ht="14.5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5"/>
      <c r="N136" s="14"/>
      <c r="O136" s="9"/>
      <c r="P136" s="14"/>
      <c r="Q136" s="14"/>
      <c r="R136" s="10"/>
      <c r="S136" s="10"/>
    </row>
    <row r="137" spans="1:19" ht="14.5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5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5"/>
      <c r="N138" s="14"/>
      <c r="O138" s="9"/>
      <c r="P138" s="14"/>
      <c r="Q138" s="14"/>
      <c r="R138" s="10"/>
      <c r="S138" s="10"/>
    </row>
    <row r="139" spans="1:19" ht="14.5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5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5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5"/>
      <c r="N141" s="14"/>
      <c r="O141" s="9"/>
      <c r="P141" s="14"/>
      <c r="Q141" s="14"/>
      <c r="R141" s="10"/>
      <c r="S141" s="10"/>
    </row>
    <row r="142" spans="1:19" ht="14.5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5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5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5"/>
      <c r="N144" s="14"/>
      <c r="O144" s="9"/>
      <c r="P144" s="14"/>
      <c r="Q144" s="14"/>
      <c r="R144" s="10"/>
      <c r="S144" s="10"/>
    </row>
    <row r="145" spans="1:19" ht="14.5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5"/>
      <c r="N145" s="14"/>
      <c r="O145" s="9"/>
      <c r="P145" s="14"/>
      <c r="Q145" s="14"/>
      <c r="R145" s="10"/>
      <c r="S145" s="10"/>
    </row>
    <row r="146" spans="1:19" ht="14.5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5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5"/>
      <c r="N147" s="14"/>
      <c r="O147" s="9"/>
      <c r="P147" s="14"/>
      <c r="Q147" s="14"/>
      <c r="R147" s="10"/>
      <c r="S147" s="10"/>
    </row>
    <row r="148" spans="1:19" ht="14.5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5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5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5"/>
      <c r="N150" s="14"/>
      <c r="O150" s="9"/>
      <c r="P150" s="14"/>
      <c r="Q150" s="14"/>
      <c r="R150" s="10"/>
      <c r="S150" s="10"/>
    </row>
    <row r="151" spans="1:19" ht="14.5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5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5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5"/>
      <c r="N153" s="14"/>
      <c r="O153" s="9"/>
      <c r="P153" s="14"/>
      <c r="Q153" s="14"/>
      <c r="R153" s="10"/>
      <c r="S153" s="10"/>
    </row>
    <row r="154" spans="1:19" ht="14.5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5"/>
      <c r="N154" s="14"/>
      <c r="O154" s="9"/>
      <c r="P154" s="14"/>
      <c r="Q154" s="14"/>
      <c r="R154" s="10"/>
      <c r="S154" s="10"/>
    </row>
    <row r="155" spans="1:19" ht="14.5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5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5"/>
      <c r="N156" s="14"/>
      <c r="O156" s="9"/>
      <c r="P156" s="14"/>
      <c r="Q156" s="14"/>
      <c r="R156" s="10"/>
      <c r="S156" s="10"/>
    </row>
    <row r="157" spans="1:19" ht="14.5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5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5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5"/>
      <c r="N159" s="14"/>
      <c r="O159" s="9"/>
      <c r="P159" s="14"/>
      <c r="Q159" s="14"/>
      <c r="R159" s="10"/>
      <c r="S159" s="10"/>
    </row>
    <row r="160" spans="1:19" ht="14.5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5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5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5"/>
      <c r="N162" s="14"/>
      <c r="O162" s="9"/>
      <c r="P162" s="14"/>
      <c r="Q162" s="14"/>
      <c r="R162" s="10"/>
      <c r="S162" s="10"/>
    </row>
    <row r="163" spans="1:19" ht="14.5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5"/>
      <c r="N163" s="14"/>
      <c r="O163" s="9"/>
      <c r="P163" s="14"/>
      <c r="Q163" s="14"/>
      <c r="R163" s="10"/>
      <c r="S163" s="10"/>
    </row>
    <row r="164" spans="1:19" ht="14.5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5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5"/>
      <c r="N165" s="14"/>
      <c r="O165" s="9"/>
      <c r="P165" s="21"/>
      <c r="Q165" s="21"/>
      <c r="R165" s="10"/>
      <c r="S165" s="10"/>
    </row>
    <row r="166" spans="1:19" ht="14.5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5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5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5"/>
      <c r="N168" s="14"/>
      <c r="O168" s="9"/>
      <c r="P168" s="21"/>
      <c r="Q168" s="21"/>
      <c r="R168" s="10"/>
      <c r="S168" s="10"/>
    </row>
    <row r="169" spans="1:19" ht="14.5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5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5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5"/>
      <c r="N171" s="14"/>
      <c r="O171" s="9"/>
      <c r="P171" s="21"/>
      <c r="Q171" s="21"/>
      <c r="R171" s="10"/>
      <c r="S171" s="10"/>
    </row>
    <row r="172" spans="1:19" ht="14.5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5"/>
      <c r="N172" s="14"/>
      <c r="O172" s="9"/>
      <c r="P172" s="21"/>
      <c r="Q172" s="21"/>
      <c r="R172" s="10"/>
      <c r="S172" s="10"/>
    </row>
    <row r="173" spans="1:19" ht="14.5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6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6"/>
      <c r="O174" s="9"/>
      <c r="P174" s="21"/>
      <c r="Q174" s="21"/>
      <c r="R174" s="10"/>
      <c r="S174" s="10"/>
    </row>
    <row r="175" spans="1:19" ht="14.5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6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6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6"/>
      <c r="O177" s="9"/>
      <c r="P177" s="21"/>
      <c r="Q177" s="21"/>
    </row>
    <row r="178" spans="1:17" ht="14.5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6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6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6"/>
      <c r="O180" s="9"/>
      <c r="P180" s="21"/>
      <c r="Q180" s="21"/>
    </row>
    <row r="181" spans="1:17" ht="14.5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6"/>
      <c r="O181" s="9"/>
      <c r="P181" s="21"/>
      <c r="Q181" s="21"/>
    </row>
    <row r="182" spans="1:17" ht="14.55" thickTop="1" x14ac:dyDescent="0.3">
      <c r="G182" s="28"/>
      <c r="O182" s="9"/>
    </row>
  </sheetData>
  <mergeCells count="36"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  <mergeCell ref="A29:A37"/>
    <mergeCell ref="B29:B31"/>
    <mergeCell ref="B32:B34"/>
    <mergeCell ref="B35:B37"/>
    <mergeCell ref="A38:A46"/>
    <mergeCell ref="B38:B40"/>
    <mergeCell ref="B41:B43"/>
    <mergeCell ref="B44:B46"/>
    <mergeCell ref="A47:A55"/>
    <mergeCell ref="B47:B49"/>
    <mergeCell ref="B50:B52"/>
    <mergeCell ref="B53:B55"/>
    <mergeCell ref="A74:A82"/>
    <mergeCell ref="B74:B76"/>
    <mergeCell ref="B77:B79"/>
    <mergeCell ref="B80:B82"/>
    <mergeCell ref="A56:A64"/>
    <mergeCell ref="B56:B58"/>
    <mergeCell ref="B59:B61"/>
    <mergeCell ref="B62:B64"/>
    <mergeCell ref="A65:A73"/>
    <mergeCell ref="B65:B67"/>
    <mergeCell ref="B68:B70"/>
    <mergeCell ref="B71:B7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3769-57C8-4ACF-A080-F9BB3F0B1415}">
  <dimension ref="A1:V182"/>
  <sheetViews>
    <sheetView topLeftCell="I38" zoomScaleNormal="100" workbookViewId="0">
      <selection activeCell="O29" sqref="O29"/>
    </sheetView>
  </sheetViews>
  <sheetFormatPr defaultColWidth="9.19921875" defaultRowHeight="14" x14ac:dyDescent="0.3"/>
  <cols>
    <col min="1" max="1" width="10.69921875" style="23" customWidth="1"/>
    <col min="2" max="2" width="10.69921875" style="24" customWidth="1"/>
    <col min="3" max="3" width="12.69921875" style="25" bestFit="1" customWidth="1"/>
    <col min="4" max="4" width="20.296875" style="25" customWidth="1"/>
    <col min="5" max="5" width="21" style="25" customWidth="1"/>
    <col min="6" max="6" width="11.5" style="5" customWidth="1"/>
    <col min="7" max="7" width="11.5" style="29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7" customWidth="1"/>
    <col min="14" max="15" width="12.69921875" style="21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7" customWidth="1"/>
    <col min="23" max="16384" width="9.19921875" style="7"/>
  </cols>
  <sheetData>
    <row r="1" spans="1:22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7" t="s">
        <v>10</v>
      </c>
      <c r="H1" s="26" t="s">
        <v>31</v>
      </c>
      <c r="I1" s="26" t="s">
        <v>32</v>
      </c>
      <c r="J1" s="26" t="s">
        <v>9</v>
      </c>
      <c r="K1" s="26" t="s">
        <v>33</v>
      </c>
      <c r="L1" s="26" t="s">
        <v>34</v>
      </c>
      <c r="M1" s="6"/>
      <c r="N1" s="48" t="s">
        <v>54</v>
      </c>
      <c r="O1" s="48" t="s">
        <v>55</v>
      </c>
      <c r="P1" s="48" t="s">
        <v>56</v>
      </c>
      <c r="Q1" s="48" t="s">
        <v>57</v>
      </c>
      <c r="R1" s="48" t="s">
        <v>58</v>
      </c>
      <c r="S1" s="48" t="s">
        <v>59</v>
      </c>
      <c r="T1" s="45" t="s">
        <v>60</v>
      </c>
      <c r="U1" s="45" t="s">
        <v>61</v>
      </c>
      <c r="V1" s="6"/>
    </row>
    <row r="2" spans="1:22" ht="15.75" customHeight="1" thickTop="1" x14ac:dyDescent="0.3">
      <c r="A2" s="80" t="s">
        <v>65</v>
      </c>
      <c r="B2" s="83">
        <v>1</v>
      </c>
      <c r="C2" s="30" t="s">
        <v>4</v>
      </c>
      <c r="D2" s="58" t="s">
        <v>64</v>
      </c>
      <c r="E2" s="58"/>
      <c r="F2" s="72" t="e">
        <f>(AVERAGEIF(D2:E2,"&gt;0",D2:E2))*10^3*100/8</f>
        <v>#DIV/0!</v>
      </c>
      <c r="G2" s="7"/>
      <c r="H2" s="5" t="s">
        <v>11</v>
      </c>
      <c r="J2" s="38"/>
      <c r="K2" s="41">
        <f t="array" ref="K2">IFERROR(INDEX($I$2:$I$81,SMALL(IF(ISNUMBER($I$2:$I$81),ROW($A$1:$A$80),""),ROW(A1))),"")</f>
        <v>5812500</v>
      </c>
      <c r="L2" s="41">
        <f t="array" ref="L2">IFERROR(INDEX($J$2:$J$81,SMALL(IF(ISNUMBER($J$2:$J$81),ROW($A$1:$A$80),""),ROW(A1))),"")</f>
        <v>1254678.7437427957</v>
      </c>
      <c r="M2" s="63" t="s">
        <v>51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81"/>
      <c r="B3" s="84"/>
      <c r="C3" s="11" t="s">
        <v>2</v>
      </c>
      <c r="D3" s="11">
        <v>14</v>
      </c>
      <c r="E3" s="11">
        <v>23</v>
      </c>
      <c r="F3" s="73">
        <f>(AVERAGEIF(D3:E3,"&gt;0",D3:E3))*10^4*100/8</f>
        <v>2312500</v>
      </c>
      <c r="G3" s="7"/>
      <c r="H3" s="5">
        <f t="array" ref="H3">IFERROR(INDEX($F$2:$F$181,SMALL(IF($G$2:$G$181=1,ROW($A$1:$A$163),""),ROW(A1))),"")</f>
        <v>4375000</v>
      </c>
      <c r="J3" s="39"/>
      <c r="K3" s="41">
        <f t="array" ref="K3">IFERROR(INDEX($I$2:$I$81,SMALL(IF(ISNUMBER($I$2:$I$81),ROW($A$1:$A$80),""),ROW(A2))),"")</f>
        <v>2500000</v>
      </c>
      <c r="L3" s="41">
        <f t="array" ref="L3">IFERROR(INDEX($J$2:$J$81,SMALL(IF(ISNUMBER($J$2:$J$81),ROW($A$1:$A$80),""),ROW(A2))),"")</f>
        <v>757772.22831138386</v>
      </c>
      <c r="M3" s="63" t="s">
        <v>52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4.55" thickBot="1" x14ac:dyDescent="0.35">
      <c r="A4" s="81"/>
      <c r="B4" s="85"/>
      <c r="C4" s="12" t="s">
        <v>3</v>
      </c>
      <c r="D4" s="12">
        <v>4</v>
      </c>
      <c r="E4" s="12">
        <v>3</v>
      </c>
      <c r="F4" s="74">
        <f>(AVERAGEIF(D4:E4,"&gt;0",D4:E4))*10^5*100/8</f>
        <v>4375000</v>
      </c>
      <c r="G4" s="7">
        <v>1</v>
      </c>
      <c r="H4" s="5">
        <f t="array" ref="H4">IFERROR(INDEX($F$2:$F$181,SMALL(IF($G$2:$G$181=1,ROW($A$1:$A$163),""),ROW(A2))),"")</f>
        <v>6687500</v>
      </c>
      <c r="J4" s="39"/>
      <c r="K4" s="41" t="str">
        <f t="array" ref="K4">IFERROR(INDEX($I$2:$I$81,SMALL(IF(ISNUMBER($I$2:$I$81),ROW($A$1:$A$80),""),ROW(A3))),"")</f>
        <v/>
      </c>
      <c r="L4" s="41" t="str">
        <f t="array" ref="L4">IFERROR(INDEX($J$2:$J$81,SMALL(IF(ISNUMBER($J$2:$J$81),ROW($A$1:$A$80),""),ROW(A3))),"")</f>
        <v/>
      </c>
      <c r="M4" s="64"/>
      <c r="N4" s="9">
        <f t="array" ref="N4">IFERROR(INDEX($F$2:$F$181,SMALL(_xlfn.IFS($G$2:$G$181&lt;$N$2,"",$G$2:$G$181&gt;$N$3,"",ISNUMBER($G$2:$G$181),ROW($A$1:$A$180)),ROW(A1))),"")</f>
        <v>4375000</v>
      </c>
      <c r="O4" s="9">
        <f t="array" ref="O4">IFERROR(INDEX($F$2:$F$181,SMALL(_xlfn.IFS($G$2:$G$181&lt;$O$2,"",$G$2:$G$181&gt;$O$3,"",ISNUMBER($G$2:$G$181),ROW($A$1:$A$180)),ROW(A1))),"")</f>
        <v>2937500</v>
      </c>
      <c r="P4" s="9" t="str">
        <f t="array" ref="P4">IFERROR(INDEX($F$2:$F$181,SMALL(_xlfn.IFS($G$2:$G$181&lt;$P$2,"",$G$2:$G$181&gt;$P$3,"",ISNUMBER($G$2:$G$181),ROW($A$1:$A$180)),ROW(A1))),"")</f>
        <v/>
      </c>
      <c r="Q4" s="9" t="str">
        <f t="array" ref="Q4">IFERROR(INDEX($F$2:$F$181,SMALL(_xlfn.IFS($G$2:$G$181&lt;$Q$2,"",$G$2:$G$181&gt;$Q$3,"",ISNUMBER($G$2:$G$181),ROW($A$1:$A$180)),ROW(A1))),"")</f>
        <v/>
      </c>
      <c r="R4" s="9" t="str">
        <f t="array" ref="R4">IFERROR(INDEX($F$2:$F$181,SMALL(_xlfn.IFS($G$2:$G$181&lt;$R$2,"",$G$2:$G$181&gt;$R$3,"",ISNUMBER($G$2:$G$181),ROW($A$1:$A$180)),ROW(A1))),"")</f>
        <v/>
      </c>
      <c r="S4" s="10" t="str">
        <f t="array" ref="S4">IFERROR(INDEX($F$2:$F$181,SMALL(_xlfn.IFS($G$2:$G$181&lt;$S$2,"",$G$2:$G$181&gt;$S$3,"",ISNUMBER($G$2:$G$181),ROW($A$1:$A$180)),ROW(A1))),"")</f>
        <v/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ht="14.55" thickTop="1" x14ac:dyDescent="0.3">
      <c r="A5" s="81"/>
      <c r="B5" s="86">
        <v>2</v>
      </c>
      <c r="C5" s="8" t="s">
        <v>4</v>
      </c>
      <c r="D5" s="59"/>
      <c r="E5" s="59"/>
      <c r="F5" s="72" t="e">
        <f t="shared" ref="F5" si="0">(AVERAGEIF(D5:E5,"&gt;0",D5:E5))*10^3*100/8</f>
        <v>#DIV/0!</v>
      </c>
      <c r="G5" s="7"/>
      <c r="H5" s="5">
        <f t="array" ref="H5">IFERROR(INDEX($F$2:$F$181,SMALL(IF($G$2:$G$181=1,ROW($A$1:$A$163),""),ROW(A3))),"")</f>
        <v>6375000</v>
      </c>
      <c r="I5" s="5">
        <f>AVERAGE(H3:H5)</f>
        <v>5812500</v>
      </c>
      <c r="J5" s="39">
        <f>STDEV(H3:H5)</f>
        <v>1254678.7437427957</v>
      </c>
      <c r="K5" s="41" t="str">
        <f t="array" ref="K5">IFERROR(INDEX($I$2:$I$81,SMALL(IF(ISNUMBER($I$2:$I$81),ROW($A$1:$A$80),""),ROW(A4))),"")</f>
        <v/>
      </c>
      <c r="L5" s="41" t="str">
        <f t="array" ref="L5">IFERROR(INDEX($J$2:$J$81,SMALL(IF(ISNUMBER($J$2:$J$81),ROW($A$1:$A$80),""),ROW(A4))),"")</f>
        <v/>
      </c>
      <c r="M5" s="64"/>
      <c r="N5" s="9">
        <f t="array" ref="N5">IFERROR(INDEX($F$2:$F$181,SMALL(_xlfn.IFS($G$2:$G$181&lt;$N$2,"",$G$2:$G$181&gt;$N$3,"",ISNUMBER($G$2:$G$181),ROW($A$1:$A$180)),ROW(A2))),"")</f>
        <v>6687500</v>
      </c>
      <c r="O5" s="9">
        <f t="array" ref="O5">IFERROR(INDEX($F$2:$F$181,SMALL(_xlfn.IFS($G$2:$G$181&lt;$O$2,"",$G$2:$G$181&gt;$O$3,"",ISNUMBER($G$2:$G$181),ROW($A$1:$A$180)),ROW(A2))),"")</f>
        <v>1625000</v>
      </c>
      <c r="P5" s="9" t="str">
        <f t="array" ref="P5">IFERROR(INDEX($F$2:$F$181,SMALL(_xlfn.IFS($G$2:$G$181&lt;$P$2,"",$G$2:$G$181&gt;$P$3,"",ISNUMBER($G$2:$G$181),ROW($A$1:$A$180)),ROW(A2))),"")</f>
        <v/>
      </c>
      <c r="Q5" s="9" t="str">
        <f t="array" ref="Q5">IFERROR(INDEX($F$2:$F$181,SMALL(_xlfn.IFS($G$2:$G$181&lt;$Q$2,"",$G$2:$G$181&gt;$Q$3,"",ISNUMBER($G$2:$G$181),ROW($A$1:$A$180)),ROW(A2))),"")</f>
        <v/>
      </c>
      <c r="R5" s="9" t="str">
        <f t="array" ref="R5">IFERROR(INDEX($F$2:$F$181,SMALL(_xlfn.IFS($G$2:$G$181&lt;$R$2,"",$G$2:$G$181&gt;$R$3,"",ISNUMBER($G$2:$G$181),ROW($A$1:$A$180)),ROW(A2))),"")</f>
        <v/>
      </c>
      <c r="S5" s="10" t="str">
        <f t="array" ref="S5">IFERROR(INDEX($F$2:$F$181,SMALL(_xlfn.IFS($G$2:$G$181&lt;$S$2,"",$G$2:$G$181&gt;$S$3,"",ISNUMBER($G$2:$G$181),ROW($A$1:$A$180)),ROW(A2))),"")</f>
        <v/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81"/>
      <c r="B6" s="84"/>
      <c r="C6" s="11" t="s">
        <v>2</v>
      </c>
      <c r="D6" s="11">
        <v>56</v>
      </c>
      <c r="E6" s="11">
        <v>51</v>
      </c>
      <c r="F6" s="73">
        <f t="shared" ref="F6" si="1">(AVERAGEIF(D6:E6,"&gt;0",D6:E6))*10^4*100/8</f>
        <v>6687500</v>
      </c>
      <c r="G6" s="7">
        <v>1</v>
      </c>
      <c r="H6" s="5" t="s">
        <v>12</v>
      </c>
      <c r="J6" s="39"/>
      <c r="K6" s="41" t="str">
        <f t="array" ref="K6">IFERROR(INDEX($I$2:$I$81,SMALL(IF(ISNUMBER($I$2:$I$81),ROW($A$1:$A$80),""),ROW(A5))),"")</f>
        <v/>
      </c>
      <c r="L6" s="41" t="str">
        <f t="array" ref="L6">IFERROR(INDEX($J$2:$J$81,SMALL(IF(ISNUMBER($J$2:$J$81),ROW($A$1:$A$80),""),ROW(A5))),"")</f>
        <v/>
      </c>
      <c r="M6" s="64"/>
      <c r="N6" s="9">
        <f t="array" ref="N6">IFERROR(INDEX($F$2:$F$181,SMALL(_xlfn.IFS($G$2:$G$181&lt;$N$2,"",$G$2:$G$181&gt;$N$3,"",ISNUMBER($G$2:$G$181),ROW($A$1:$A$180)),ROW(A3))),"")</f>
        <v>6375000</v>
      </c>
      <c r="O6" s="9">
        <f t="array" ref="O6">IFERROR(INDEX($F$2:$F$181,SMALL(_xlfn.IFS($G$2:$G$181&lt;$O$2,"",$G$2:$G$181&gt;$O$3,"",ISNUMBER($G$2:$G$181),ROW($A$1:$A$180)),ROW(A3))),"")</f>
        <v>2937500</v>
      </c>
      <c r="P6" s="9" t="str">
        <f t="array" ref="P6">IFERROR(INDEX($F$2:$F$181,SMALL(_xlfn.IFS($G$2:$G$181&lt;$P$2,"",$G$2:$G$181&gt;$P$3,"",ISNUMBER($G$2:$G$181),ROW($A$1:$A$180)),ROW(A3))),"")</f>
        <v/>
      </c>
      <c r="Q6" s="9" t="str">
        <f t="array" ref="Q6">IFERROR(INDEX($F$2:$F$181,SMALL(_xlfn.IFS($G$2:$G$181&lt;$Q$2,"",$G$2:$G$181&gt;$Q$3,"",ISNUMBER($G$2:$G$181),ROW($A$1:$A$180)),ROW(A3))),"")</f>
        <v/>
      </c>
      <c r="R6" s="9" t="str">
        <f t="array" ref="R6">IFERROR(INDEX($F$2:$F$181,SMALL(_xlfn.IFS($G$2:$G$181&lt;$R$2,"",$G$2:$G$181&gt;$R$3,"",ISNUMBER($G$2:$G$181),ROW($A$1:$A$180)),ROW(A3))),"")</f>
        <v/>
      </c>
      <c r="S6" s="10" t="str">
        <f t="array" ref="S6">IFERROR(INDEX($F$2:$F$181,SMALL(_xlfn.IFS($G$2:$G$181&lt;$S$2,"",$G$2:$G$181&gt;$S$3,"",ISNUMBER($G$2:$G$181),ROW($A$1:$A$180)),ROW(A3))),"")</f>
        <v/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4.55" thickBot="1" x14ac:dyDescent="0.35">
      <c r="A7" s="81"/>
      <c r="B7" s="85"/>
      <c r="C7" s="12" t="s">
        <v>3</v>
      </c>
      <c r="D7" s="12">
        <v>6</v>
      </c>
      <c r="E7" s="12">
        <v>5</v>
      </c>
      <c r="F7" s="74">
        <f t="shared" ref="F7" si="2">(AVERAGEIF(D7:E7,"&gt;0",D7:E7))*10^5*100/8</f>
        <v>6875000</v>
      </c>
      <c r="G7" s="7"/>
      <c r="H7" s="5">
        <f t="array" ref="H7">IFERROR(INDEX($F$2:$F$181,SMALL(IF($G$2:$G$181=2,ROW($A$1:$A$163),""),ROW(A1))),"")</f>
        <v>2937500</v>
      </c>
      <c r="J7" s="39"/>
      <c r="K7" s="41" t="str">
        <f t="array" ref="K7">IFERROR(INDEX($I$2:$I$81,SMALL(IF(ISNUMBER($I$2:$I$81),ROW($A$1:$A$80),""),ROW(A6))),"")</f>
        <v/>
      </c>
      <c r="L7" s="41" t="str">
        <f t="array" ref="L7">IFERROR(INDEX($J$2:$J$81,SMALL(IF(ISNUMBER($J$2:$J$81),ROW($A$1:$A$80),""),ROW(A6))),"")</f>
        <v/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ht="14.55" thickTop="1" x14ac:dyDescent="0.3">
      <c r="A8" s="81"/>
      <c r="B8" s="86">
        <v>3</v>
      </c>
      <c r="C8" s="8" t="s">
        <v>4</v>
      </c>
      <c r="D8" s="59"/>
      <c r="E8" s="59"/>
      <c r="F8" s="72" t="e">
        <f t="shared" ref="F8" si="3">(AVERAGEIF(D8:E8,"&gt;0",D8:E8))*10^3*100/8</f>
        <v>#DIV/0!</v>
      </c>
      <c r="G8" s="7"/>
      <c r="H8" s="5">
        <f t="array" ref="H8">IFERROR(INDEX($F$2:$F$181,SMALL(IF($G$2:$G$181=2,ROW($A$1:$A$163),""),ROW(A2))),"")</f>
        <v>1625000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81"/>
      <c r="B9" s="84"/>
      <c r="C9" s="11" t="s">
        <v>2</v>
      </c>
      <c r="D9" s="11">
        <v>53</v>
      </c>
      <c r="E9" s="11">
        <v>49</v>
      </c>
      <c r="F9" s="73">
        <f t="shared" ref="F9" si="4">(AVERAGEIF(D9:E9,"&gt;0",D9:E9))*10^4*100/8</f>
        <v>6375000</v>
      </c>
      <c r="G9" s="7">
        <v>1</v>
      </c>
      <c r="H9" s="5">
        <f t="array" ref="H9">IFERROR(INDEX($F$2:$F$181,SMALL(IF($G$2:$G$181=2,ROW($A$1:$A$163),""),ROW(A3))),"")</f>
        <v>2937500</v>
      </c>
      <c r="I9" s="5">
        <f>AVERAGE(H7:H9)</f>
        <v>2500000</v>
      </c>
      <c r="J9" s="39">
        <f>STDEV(H7:H9)</f>
        <v>757772.22831138386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4.55" thickBot="1" x14ac:dyDescent="0.35">
      <c r="A10" s="82"/>
      <c r="B10" s="87"/>
      <c r="C10" s="35" t="s">
        <v>3</v>
      </c>
      <c r="D10" s="35">
        <v>11</v>
      </c>
      <c r="E10" s="35">
        <v>19</v>
      </c>
      <c r="F10" s="74">
        <f t="shared" ref="F10" si="5">(AVERAGEIF(D10:E10,"&gt;0",D10:E10))*10^5*100/8</f>
        <v>18750000</v>
      </c>
      <c r="G10" s="7"/>
      <c r="H10" s="5" t="s">
        <v>13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5" customHeight="1" thickTop="1" x14ac:dyDescent="0.3">
      <c r="A11" s="80" t="s">
        <v>66</v>
      </c>
      <c r="B11" s="83">
        <v>1</v>
      </c>
      <c r="C11" s="30" t="s">
        <v>4</v>
      </c>
      <c r="D11" s="30"/>
      <c r="E11" s="30"/>
      <c r="F11" s="31" t="e">
        <f t="shared" ref="F11" si="6">(AVERAGEIF(D11:E11,"&gt;0",D11:E11))*10^3*100/8</f>
        <v>#DIV/0!</v>
      </c>
      <c r="G11" s="7"/>
      <c r="H11" s="5" t="str">
        <f t="array" ref="H11">IFERROR(INDEX($F$2:$F$181,SMALL(IF($G$2:$G$181=3,ROW($A$1:$A$163),""),ROW(A1))),"")</f>
        <v/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81"/>
      <c r="B12" s="84"/>
      <c r="C12" s="11" t="s">
        <v>2</v>
      </c>
      <c r="D12" s="11">
        <v>24</v>
      </c>
      <c r="E12" s="11">
        <v>23</v>
      </c>
      <c r="F12" s="32">
        <f t="shared" ref="F12" si="7">(AVERAGEIF(D12:E12,"&gt;0",D12:E12))*10^4*100/8</f>
        <v>2937500</v>
      </c>
      <c r="G12" s="7">
        <v>2</v>
      </c>
      <c r="H12" s="5" t="str">
        <f t="array" ref="H12">IFERROR(INDEX($F$2:$F$181,SMALL(IF($G$2:$G$181=3,ROW($A$1:$A$163),""),ROW(A2))),"")</f>
        <v/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4.55" thickBot="1" x14ac:dyDescent="0.35">
      <c r="A13" s="81"/>
      <c r="B13" s="85"/>
      <c r="C13" s="12" t="s">
        <v>3</v>
      </c>
      <c r="D13" s="12">
        <v>3</v>
      </c>
      <c r="E13" s="12">
        <v>0</v>
      </c>
      <c r="F13" s="33">
        <f t="shared" ref="F13" si="8">(AVERAGEIF(D13:E13,"&gt;0",D13:E13))*10^5*100/8</f>
        <v>3750000</v>
      </c>
      <c r="G13" s="7"/>
      <c r="H13" s="5" t="str">
        <f t="array" ref="H13">IFERROR(INDEX($F$2:$F$181,SMALL(IF($G$2:$G$181=3,ROW($A$1:$A$163),""),ROW(A3))),"")</f>
        <v/>
      </c>
      <c r="I13" s="5" t="e">
        <f>AVERAGE(H11:H13)</f>
        <v>#DIV/0!</v>
      </c>
      <c r="J13" s="39" t="e">
        <f>STDEV(H11:H13)</f>
        <v>#DIV/0!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81"/>
      <c r="B14" s="86">
        <v>2</v>
      </c>
      <c r="C14" s="8" t="s">
        <v>4</v>
      </c>
      <c r="D14" s="8">
        <v>93</v>
      </c>
      <c r="E14" s="8">
        <v>93</v>
      </c>
      <c r="F14" s="34">
        <f t="shared" ref="F14" si="9">(AVERAGEIF(D14:E14,"&gt;0",D14:E14))*10^3*100/8</f>
        <v>1162500</v>
      </c>
      <c r="G14" s="7"/>
      <c r="H14" s="5" t="s">
        <v>14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81"/>
      <c r="B15" s="84"/>
      <c r="C15" s="11" t="s">
        <v>2</v>
      </c>
      <c r="D15" s="11">
        <v>13</v>
      </c>
      <c r="E15" s="11">
        <v>13</v>
      </c>
      <c r="F15" s="32">
        <f t="shared" ref="F15" si="10">(AVERAGEIF(D15:E15,"&gt;0",D15:E15))*10^4*100/8</f>
        <v>1625000</v>
      </c>
      <c r="G15" s="7">
        <v>2</v>
      </c>
      <c r="H15" s="5" t="str">
        <f t="array" ref="H15">IFERROR(INDEX($F$2:$F$181,SMALL(IF($G$2:$G$181=4,ROW($A$1:$A$163),""),ROW(A1))),"")</f>
        <v/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4.55" thickBot="1" x14ac:dyDescent="0.35">
      <c r="A16" s="81"/>
      <c r="B16" s="85"/>
      <c r="C16" s="12" t="s">
        <v>3</v>
      </c>
      <c r="D16" s="12">
        <v>2</v>
      </c>
      <c r="E16" s="12">
        <v>0</v>
      </c>
      <c r="F16" s="33">
        <f t="shared" ref="F16" si="11">(AVERAGEIF(D16:E16,"&gt;0",D16:E16))*10^5*100/8</f>
        <v>2500000</v>
      </c>
      <c r="G16" s="7"/>
      <c r="H16" s="5" t="str">
        <f t="array" ref="H16">IFERROR(INDEX($F$2:$F$181,SMALL(IF($G$2:$G$181=4,ROW($A$1:$A$163),""),ROW(A2))),"")</f>
        <v/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81"/>
      <c r="B17" s="86">
        <v>3</v>
      </c>
      <c r="C17" s="8" t="s">
        <v>4</v>
      </c>
      <c r="D17" s="8"/>
      <c r="E17" s="8"/>
      <c r="F17" s="34" t="e">
        <f t="shared" ref="F17" si="12">(AVERAGEIF(D17:E17,"&gt;0",D17:E17))*10^3*100/8</f>
        <v>#DIV/0!</v>
      </c>
      <c r="G17" s="7"/>
      <c r="H17" s="5" t="str">
        <f t="array" ref="H17">IFERROR(INDEX($F$2:$F$181,SMALL(IF($G$2:$G$181=4,ROW($A$1:$A$163),""),ROW(A3))),"")</f>
        <v/>
      </c>
      <c r="I17" s="5" t="e">
        <f>AVERAGE(H15:H17)</f>
        <v>#DIV/0!</v>
      </c>
      <c r="J17" s="39" t="e">
        <f>STDEV(H15:H17)</f>
        <v>#DIV/0!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81"/>
      <c r="B18" s="84"/>
      <c r="C18" s="11" t="s">
        <v>2</v>
      </c>
      <c r="D18" s="11">
        <v>24</v>
      </c>
      <c r="E18" s="11">
        <v>23</v>
      </c>
      <c r="F18" s="32">
        <f t="shared" ref="F18" si="13">(AVERAGEIF(D18:E18,"&gt;0",D18:E18))*10^4*100/8</f>
        <v>2937500</v>
      </c>
      <c r="G18" s="7">
        <v>2</v>
      </c>
      <c r="H18" s="5" t="s">
        <v>15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4.55" thickBot="1" x14ac:dyDescent="0.35">
      <c r="A19" s="82"/>
      <c r="B19" s="87"/>
      <c r="C19" s="35" t="s">
        <v>3</v>
      </c>
      <c r="D19" s="35">
        <v>1</v>
      </c>
      <c r="E19" s="35">
        <v>6</v>
      </c>
      <c r="F19" s="36">
        <f t="shared" ref="F19" si="14">(AVERAGEIF(D19:E19,"&gt;0",D19:E19))*10^5*100/8</f>
        <v>4375000</v>
      </c>
      <c r="G19" s="7"/>
      <c r="H19" s="5" t="str">
        <f t="array" ref="H19">IFERROR(INDEX($F$2:$F$181,SMALL(IF($G$2:$G$181=5,ROW($A$1:$A$163),""),ROW(A1))),"")</f>
        <v/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4.55" thickTop="1" x14ac:dyDescent="0.3">
      <c r="A20" s="80" t="s">
        <v>67</v>
      </c>
      <c r="B20" s="83">
        <v>1</v>
      </c>
      <c r="C20" s="30" t="s">
        <v>4</v>
      </c>
      <c r="D20" s="58"/>
      <c r="E20" s="58"/>
      <c r="F20" s="31" t="e">
        <f t="shared" ref="F20" si="15">(AVERAGEIF(D20:E20,"&gt;0",D20:E20))*10^3*100/8</f>
        <v>#DIV/0!</v>
      </c>
      <c r="G20" s="7"/>
      <c r="H20" s="5" t="str">
        <f t="array" ref="H20">IFERROR(INDEX($F$2:$F$181,SMALL(IF($G$2:$G$181=5,ROW($A$1:$A$163),""),ROW(A2))),"")</f>
        <v/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81"/>
      <c r="B21" s="84"/>
      <c r="C21" s="11" t="s">
        <v>2</v>
      </c>
      <c r="D21" s="11"/>
      <c r="E21" s="11"/>
      <c r="F21" s="32" t="e">
        <f t="shared" ref="F21" si="16">(AVERAGEIF(D21:E21,"&gt;0",D21:E21))*10^4*100/8</f>
        <v>#DIV/0!</v>
      </c>
      <c r="G21" s="7">
        <v>3</v>
      </c>
      <c r="H21" s="5" t="str">
        <f t="array" ref="H21">IFERROR(INDEX($F$2:$F$181,SMALL(IF($G$2:$G$181=5,ROW($A$1:$A$163),""),ROW(A3))),"")</f>
        <v/>
      </c>
      <c r="I21" s="5" t="e">
        <f>AVERAGE(H19:H21)</f>
        <v>#DIV/0!</v>
      </c>
      <c r="J21" s="39" t="e">
        <f>STDEV(H19:H21)</f>
        <v>#DIV/0!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4.55" thickBot="1" x14ac:dyDescent="0.35">
      <c r="A22" s="81"/>
      <c r="B22" s="85"/>
      <c r="C22" s="12" t="s">
        <v>3</v>
      </c>
      <c r="D22" s="12"/>
      <c r="E22" s="12"/>
      <c r="F22" s="33" t="e">
        <f t="shared" ref="F22" si="17">(AVERAGEIF(D22:E22,"&gt;0",D22:E22))*10^5*100/8</f>
        <v>#DIV/0!</v>
      </c>
      <c r="G22" s="7"/>
      <c r="H22" s="5" t="s">
        <v>16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70">
        <v>3</v>
      </c>
      <c r="N22" s="46" t="s">
        <v>35</v>
      </c>
      <c r="O22" s="46" t="s">
        <v>36</v>
      </c>
      <c r="P22" s="46" t="s">
        <v>37</v>
      </c>
      <c r="Q22" s="46" t="s">
        <v>38</v>
      </c>
      <c r="R22" s="47" t="s">
        <v>39</v>
      </c>
      <c r="S22" s="47" t="s">
        <v>40</v>
      </c>
      <c r="T22" s="45" t="s">
        <v>41</v>
      </c>
      <c r="U22" s="45" t="s">
        <v>42</v>
      </c>
    </row>
    <row r="23" spans="1:21" x14ac:dyDescent="0.3">
      <c r="A23" s="81"/>
      <c r="B23" s="86">
        <v>2</v>
      </c>
      <c r="C23" s="8" t="s">
        <v>4</v>
      </c>
      <c r="D23" s="59"/>
      <c r="E23" s="59"/>
      <c r="F23" s="34" t="e">
        <f t="shared" ref="F23" si="18">(AVERAGEIF(D23:E23,"&gt;0",D23:E23))*10^3*100/8</f>
        <v>#DIV/0!</v>
      </c>
      <c r="G23" s="7"/>
      <c r="H23" s="5" t="str">
        <f t="array" ref="H23">IFERROR(INDEX($F$2:$F$181,SMALL(IF($G$2:$G$181=6,ROW($A$1:$A$163),""),ROW(A1))),"")</f>
        <v/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70">
        <v>4</v>
      </c>
      <c r="N23" s="9">
        <f>AVERAGE(N4:N21)</f>
        <v>5812500</v>
      </c>
      <c r="O23" s="9">
        <f t="shared" ref="O23:U23" si="19">AVERAGE(O4:O21)</f>
        <v>2500000</v>
      </c>
      <c r="P23" s="9" t="e">
        <f t="shared" si="19"/>
        <v>#DIV/0!</v>
      </c>
      <c r="Q23" s="9" t="e">
        <f t="shared" si="19"/>
        <v>#DIV/0!</v>
      </c>
      <c r="R23" s="9" t="e">
        <f t="shared" si="19"/>
        <v>#DIV/0!</v>
      </c>
      <c r="S23" s="9" t="e">
        <f t="shared" si="19"/>
        <v>#DIV/0!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81"/>
      <c r="B24" s="84"/>
      <c r="C24" s="11" t="s">
        <v>2</v>
      </c>
      <c r="D24" s="11"/>
      <c r="E24" s="11"/>
      <c r="F24" s="32" t="e">
        <f t="shared" ref="F24" si="20">(AVERAGEIF(D24:E24,"&gt;0",D24:E24))*10^4*100/8</f>
        <v>#DIV/0!</v>
      </c>
      <c r="G24" s="7">
        <v>3</v>
      </c>
      <c r="H24" s="5" t="str">
        <f t="array" ref="H24">IFERROR(INDEX($F$2:$F$181,SMALL(IF($G$2:$G$181=6,ROW($A$1:$A$163),""),ROW(A2))),"")</f>
        <v/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70">
        <v>5</v>
      </c>
      <c r="N24" s="46" t="s">
        <v>43</v>
      </c>
      <c r="O24" s="46" t="s">
        <v>44</v>
      </c>
      <c r="P24" s="46" t="s">
        <v>45</v>
      </c>
      <c r="Q24" s="46" t="s">
        <v>46</v>
      </c>
      <c r="R24" s="47" t="s">
        <v>47</v>
      </c>
      <c r="S24" s="47" t="s">
        <v>48</v>
      </c>
      <c r="T24" s="45" t="s">
        <v>50</v>
      </c>
      <c r="U24" s="45" t="s">
        <v>49</v>
      </c>
    </row>
    <row r="25" spans="1:21" ht="14.55" thickBot="1" x14ac:dyDescent="0.35">
      <c r="A25" s="81"/>
      <c r="B25" s="85"/>
      <c r="C25" s="12" t="s">
        <v>3</v>
      </c>
      <c r="D25" s="12"/>
      <c r="E25" s="12"/>
      <c r="F25" s="33" t="e">
        <f t="shared" ref="F25" si="21">(AVERAGEIF(D25:E25,"&gt;0",D25:E25))*10^5*100/8</f>
        <v>#DIV/0!</v>
      </c>
      <c r="G25" s="7"/>
      <c r="H25" s="5" t="str">
        <f t="array" ref="H25">IFERROR(INDEX($F$2:$F$181,SMALL(IF($G$2:$G$181=6,ROW($A$1:$A$163),""),ROW(A3))),"")</f>
        <v/>
      </c>
      <c r="I25" s="5" t="e">
        <f>AVERAGE(H23:H25)</f>
        <v>#DIV/0!</v>
      </c>
      <c r="J25" s="39" t="e">
        <f>STDEV(H23:H25)</f>
        <v>#DIV/0!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70">
        <v>6</v>
      </c>
      <c r="N25" s="14">
        <f t="shared" ref="N25:P25" si="22">STDEV(N4:N21)</f>
        <v>1254678.7437427957</v>
      </c>
      <c r="O25" s="14">
        <f t="shared" si="22"/>
        <v>757772.22831138386</v>
      </c>
      <c r="P25" s="14" t="e">
        <f t="shared" si="22"/>
        <v>#DIV/0!</v>
      </c>
      <c r="Q25" s="14" t="e">
        <f>STDEV(Q4:Q21)</f>
        <v>#DIV/0!</v>
      </c>
      <c r="R25" s="14" t="e">
        <f t="shared" ref="R25:U25" si="23">STDEV(R4:R21)</f>
        <v>#DIV/0!</v>
      </c>
      <c r="S25" s="14" t="e">
        <f t="shared" si="23"/>
        <v>#DIV/0!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81"/>
      <c r="B26" s="86">
        <v>3</v>
      </c>
      <c r="C26" s="8" t="s">
        <v>4</v>
      </c>
      <c r="D26" s="59"/>
      <c r="E26" s="59"/>
      <c r="F26" s="34" t="e">
        <f t="shared" ref="F26" si="24">(AVERAGEIF(D26:E26,"&gt;0",D26:E26))*10^3*100/8</f>
        <v>#DIV/0!</v>
      </c>
      <c r="G26" s="7"/>
      <c r="H26" s="5" t="s">
        <v>17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70">
        <v>7</v>
      </c>
      <c r="N26" s="14"/>
      <c r="O26" s="9"/>
      <c r="P26" s="9"/>
      <c r="Q26" s="9"/>
      <c r="R26" s="10"/>
      <c r="S26" s="10"/>
    </row>
    <row r="27" spans="1:21" x14ac:dyDescent="0.3">
      <c r="A27" s="81"/>
      <c r="B27" s="84"/>
      <c r="C27" s="11" t="s">
        <v>2</v>
      </c>
      <c r="D27" s="11"/>
      <c r="E27" s="11"/>
      <c r="F27" s="32" t="e">
        <f t="shared" ref="F27" si="25">(AVERAGEIF(D27:E27,"&gt;0",D27:E27))*10^4*100/8</f>
        <v>#DIV/0!</v>
      </c>
      <c r="G27" s="7">
        <v>3</v>
      </c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4.55" thickBot="1" x14ac:dyDescent="0.35">
      <c r="A28" s="82"/>
      <c r="B28" s="87"/>
      <c r="C28" s="35" t="s">
        <v>3</v>
      </c>
      <c r="D28" s="35"/>
      <c r="E28" s="35"/>
      <c r="F28" s="36" t="e">
        <f t="shared" ref="F28" si="26">(AVERAGEIF(D28:E28,"&gt;0",D28:E28))*10^5*100/8</f>
        <v>#DIV/0!</v>
      </c>
      <c r="G28" s="7"/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N23/O23</f>
        <v>2.3250000000000002</v>
      </c>
      <c r="P28" s="9" t="e">
        <f>$O$23/P23</f>
        <v>#DIV/0!</v>
      </c>
      <c r="Q28" s="9" t="e">
        <f>$O$23/Q23</f>
        <v>#DIV/0!</v>
      </c>
      <c r="R28" s="9" t="e">
        <f>$O$23/R23</f>
        <v>#DIV/0!</v>
      </c>
      <c r="S28" s="9" t="e">
        <f t="shared" ref="S28:U28" si="27">R23/S23</f>
        <v>#DIV/0!</v>
      </c>
      <c r="T28" s="9"/>
      <c r="U28" s="9" t="e">
        <f t="shared" si="27"/>
        <v>#DIV/0!</v>
      </c>
    </row>
    <row r="29" spans="1:21" ht="14.55" thickTop="1" x14ac:dyDescent="0.3">
      <c r="A29" s="80" t="s">
        <v>69</v>
      </c>
      <c r="B29" s="83">
        <v>1</v>
      </c>
      <c r="C29" s="30" t="s">
        <v>53</v>
      </c>
      <c r="D29" s="58"/>
      <c r="E29" s="58"/>
      <c r="F29" s="31" t="e">
        <f>(AVERAGEIF(D29:E29,"&gt;0",D29:E29))*10^2*100/8</f>
        <v>#DIV/0!</v>
      </c>
      <c r="G29" s="7">
        <v>4</v>
      </c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/>
      <c r="R29" s="10"/>
      <c r="S29" s="10"/>
      <c r="T29" s="14"/>
      <c r="U29" s="14"/>
    </row>
    <row r="30" spans="1:21" x14ac:dyDescent="0.3">
      <c r="A30" s="81"/>
      <c r="B30" s="84"/>
      <c r="C30" s="11" t="s">
        <v>4</v>
      </c>
      <c r="D30" s="11"/>
      <c r="E30" s="11"/>
      <c r="F30" s="32" t="e">
        <f>(AVERAGEIF(D30:E30,"&gt;0",D30:E30))*10^3*100/8</f>
        <v>#DIV/0!</v>
      </c>
      <c r="G30" s="7"/>
      <c r="H30" s="5" t="s">
        <v>18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4.55" thickBot="1" x14ac:dyDescent="0.35">
      <c r="A31" s="81"/>
      <c r="B31" s="85"/>
      <c r="C31" s="12" t="s">
        <v>2</v>
      </c>
      <c r="D31" s="12"/>
      <c r="E31" s="12"/>
      <c r="F31" s="33" t="e">
        <f>(AVERAGEIF(D31:E31,"&gt;0",D31:E31))*10^4*100/8</f>
        <v>#DIV/0!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ht="14.55" thickTop="1" x14ac:dyDescent="0.3">
      <c r="A32" s="81"/>
      <c r="B32" s="86">
        <v>2</v>
      </c>
      <c r="C32" s="30" t="s">
        <v>53</v>
      </c>
      <c r="D32" s="59"/>
      <c r="E32" s="59"/>
      <c r="F32" s="31" t="e">
        <f t="shared" ref="F32" si="28">(AVERAGEIF(D32:E32,"&gt;0",D32:E32))*10^2*100/8</f>
        <v>#DIV/0!</v>
      </c>
      <c r="G32" s="7">
        <v>4</v>
      </c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81"/>
      <c r="B33" s="84"/>
      <c r="C33" s="11" t="s">
        <v>4</v>
      </c>
      <c r="D33" s="11"/>
      <c r="E33" s="11"/>
      <c r="F33" s="32" t="e">
        <f t="shared" ref="F33" si="29">(AVERAGEIF(D33:E33,"&gt;0",D33:E33))*10^3*100/8</f>
        <v>#DIV/0!</v>
      </c>
      <c r="G33" s="7"/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4.55" thickBot="1" x14ac:dyDescent="0.35">
      <c r="A34" s="81"/>
      <c r="B34" s="85"/>
      <c r="C34" s="12" t="s">
        <v>2</v>
      </c>
      <c r="D34" s="12"/>
      <c r="E34" s="12"/>
      <c r="F34" s="33" t="e">
        <f t="shared" ref="F34" si="30">(AVERAGEIF(D34:E34,"&gt;0",D34:E34))*10^4*100/8</f>
        <v>#DIV/0!</v>
      </c>
      <c r="G34" s="7"/>
      <c r="H34" s="5" t="s">
        <v>19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ht="14.55" thickTop="1" x14ac:dyDescent="0.3">
      <c r="A35" s="81"/>
      <c r="B35" s="86">
        <v>3</v>
      </c>
      <c r="C35" s="30" t="s">
        <v>53</v>
      </c>
      <c r="D35" s="59"/>
      <c r="E35" s="59"/>
      <c r="F35" s="31" t="e">
        <f t="shared" ref="F35" si="31">(AVERAGEIF(D35:E35,"&gt;0",D35:E35))*10^2*100/8</f>
        <v>#DIV/0!</v>
      </c>
      <c r="G35" s="7">
        <v>4</v>
      </c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81"/>
      <c r="B36" s="84"/>
      <c r="C36" s="11" t="s">
        <v>4</v>
      </c>
      <c r="D36" s="11"/>
      <c r="E36" s="11"/>
      <c r="F36" s="32" t="e">
        <f t="shared" ref="F36" si="32">(AVERAGEIF(D36:E36,"&gt;0",D36:E36))*10^3*100/8</f>
        <v>#DIV/0!</v>
      </c>
      <c r="G36" s="7"/>
      <c r="H36" s="5" t="str">
        <f t="array" ref="H36">IFERROR(INDEX($F$2:$F$181,SMALL(IF($G$2:$G$181=9,ROW($A$1:$A$163),""),ROW(A2))),"")</f>
        <v/>
      </c>
      <c r="J36" s="40"/>
      <c r="K36" s="13"/>
      <c r="L36" s="13"/>
      <c r="M36" s="65"/>
      <c r="N36" s="14"/>
      <c r="O36" s="9"/>
      <c r="P36" s="9"/>
      <c r="Q36" s="9"/>
      <c r="R36" s="10"/>
      <c r="S36" s="10"/>
    </row>
    <row r="37" spans="1:19" ht="14.55" thickBot="1" x14ac:dyDescent="0.35">
      <c r="A37" s="82"/>
      <c r="B37" s="87"/>
      <c r="C37" s="12" t="s">
        <v>2</v>
      </c>
      <c r="D37" s="35"/>
      <c r="E37" s="35"/>
      <c r="F37" s="33" t="e">
        <f t="shared" ref="F37" si="33">(AVERAGEIF(D37:E37,"&gt;0",D37:E37))*10^4*100/8</f>
        <v>#DIV/0!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5"/>
      <c r="N37" s="14"/>
      <c r="O37" s="9"/>
      <c r="P37" s="9"/>
      <c r="Q37" s="9"/>
      <c r="R37" s="10"/>
      <c r="S37" s="10"/>
    </row>
    <row r="38" spans="1:19" ht="15.05" thickTop="1" thickBot="1" x14ac:dyDescent="0.35">
      <c r="A38" s="88" t="s">
        <v>68</v>
      </c>
      <c r="B38" s="89">
        <v>1</v>
      </c>
      <c r="C38" s="30" t="s">
        <v>53</v>
      </c>
      <c r="D38" s="75"/>
      <c r="E38" s="75"/>
      <c r="F38" s="34" t="e">
        <f>(AVERAGEIF(D38:E38,"&gt;0",D38:E38))*10^2*100/8</f>
        <v>#DIV/0!</v>
      </c>
      <c r="G38" s="7"/>
      <c r="H38" s="5" t="s">
        <v>20</v>
      </c>
      <c r="J38" s="40"/>
      <c r="K38" s="13"/>
      <c r="L38" s="13"/>
      <c r="M38" s="65"/>
      <c r="N38" s="14"/>
      <c r="O38" s="9"/>
      <c r="P38" s="14"/>
      <c r="Q38" s="14"/>
      <c r="R38" s="10"/>
      <c r="S38" s="10"/>
    </row>
    <row r="39" spans="1:19" ht="14.55" thickBot="1" x14ac:dyDescent="0.35">
      <c r="A39" s="81"/>
      <c r="B39" s="90"/>
      <c r="C39" s="11" t="s">
        <v>4</v>
      </c>
      <c r="D39" s="76"/>
      <c r="E39" s="76"/>
      <c r="F39" s="34" t="e">
        <f>(AVERAGEIF(D39:E39,"&gt;0",D39:E39))*10^3*100/8</f>
        <v>#DIV/0!</v>
      </c>
      <c r="G39" s="7"/>
      <c r="H39" s="5" t="str">
        <f t="array" ref="H39">IFERROR(INDEX($F$2:$F$181,SMALL(IF($G$2:$G$181=10,ROW($A$1:$A$163),""),ROW(A1))),"")</f>
        <v/>
      </c>
      <c r="J39" s="40"/>
      <c r="K39" s="13"/>
      <c r="L39" s="13"/>
      <c r="M39" s="65"/>
      <c r="N39" s="14"/>
      <c r="O39" s="9"/>
      <c r="P39" s="14"/>
      <c r="Q39" s="14"/>
      <c r="R39" s="10"/>
      <c r="S39" s="10"/>
    </row>
    <row r="40" spans="1:19" ht="14.55" thickBot="1" x14ac:dyDescent="0.35">
      <c r="A40" s="81"/>
      <c r="B40" s="91"/>
      <c r="C40" s="12" t="s">
        <v>2</v>
      </c>
      <c r="D40" s="77"/>
      <c r="E40" s="77"/>
      <c r="F40" s="34" t="e">
        <f>(AVERAGEIF(D40:E40,"&gt;0",D40:E40))*10^4*100/8</f>
        <v>#DIV/0!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5"/>
      <c r="N40" s="14"/>
      <c r="O40" s="9"/>
      <c r="P40" s="14"/>
      <c r="Q40" s="14"/>
      <c r="R40" s="10"/>
      <c r="S40" s="10"/>
    </row>
    <row r="41" spans="1:19" ht="15.05" thickTop="1" thickBot="1" x14ac:dyDescent="0.35">
      <c r="A41" s="81"/>
      <c r="B41" s="92">
        <v>2</v>
      </c>
      <c r="C41" s="30" t="s">
        <v>53</v>
      </c>
      <c r="D41" s="78"/>
      <c r="E41" s="78"/>
      <c r="F41" s="34" t="e">
        <f t="shared" ref="F41" si="34">(AVERAGEIF(D41:E41,"&gt;0",D41:E41))*10^2*100/8</f>
        <v>#DIV/0!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5"/>
      <c r="N41" s="14"/>
      <c r="O41" s="9"/>
      <c r="P41" s="14"/>
      <c r="Q41" s="14"/>
      <c r="R41" s="10"/>
      <c r="S41" s="10"/>
    </row>
    <row r="42" spans="1:19" ht="14.55" thickBot="1" x14ac:dyDescent="0.35">
      <c r="A42" s="81"/>
      <c r="B42" s="90"/>
      <c r="C42" s="11" t="s">
        <v>4</v>
      </c>
      <c r="D42" s="76"/>
      <c r="E42" s="76"/>
      <c r="F42" s="34" t="e">
        <f t="shared" ref="F42" si="35">(AVERAGEIF(D42:E42,"&gt;0",D42:E42))*10^3*100/8</f>
        <v>#DIV/0!</v>
      </c>
      <c r="G42" s="7"/>
      <c r="H42" s="5" t="s">
        <v>21</v>
      </c>
      <c r="J42" s="40"/>
      <c r="K42" s="13"/>
      <c r="L42" s="13"/>
      <c r="M42" s="65"/>
      <c r="N42" s="14"/>
      <c r="O42" s="9"/>
      <c r="P42" s="14"/>
      <c r="Q42" s="14"/>
      <c r="R42" s="10"/>
      <c r="S42" s="10"/>
    </row>
    <row r="43" spans="1:19" ht="14.55" thickBot="1" x14ac:dyDescent="0.35">
      <c r="A43" s="81"/>
      <c r="B43" s="91"/>
      <c r="C43" s="12" t="s">
        <v>2</v>
      </c>
      <c r="D43" s="77"/>
      <c r="E43" s="77"/>
      <c r="F43" s="34" t="e">
        <f t="shared" ref="F43" si="36">(AVERAGEIF(D43:E43,"&gt;0",D43:E43))*10^4*100/8</f>
        <v>#DIV/0!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/>
      <c r="M43" s="65"/>
      <c r="N43" s="14"/>
      <c r="O43" s="9"/>
      <c r="P43" s="14"/>
      <c r="Q43" s="14"/>
      <c r="R43" s="10"/>
      <c r="S43" s="10"/>
    </row>
    <row r="44" spans="1:19" ht="15.05" thickTop="1" thickBot="1" x14ac:dyDescent="0.35">
      <c r="A44" s="81"/>
      <c r="B44" s="92">
        <v>3</v>
      </c>
      <c r="C44" s="30" t="s">
        <v>53</v>
      </c>
      <c r="D44" s="78"/>
      <c r="E44" s="78"/>
      <c r="F44" s="34" t="e">
        <f t="shared" ref="F44" si="37">(AVERAGEIF(D44:E44,"&gt;0",D44:E44))*10^2*100/8</f>
        <v>#DIV/0!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5"/>
      <c r="N44" s="14"/>
      <c r="O44" s="9"/>
      <c r="P44" s="14"/>
      <c r="Q44" s="14"/>
      <c r="R44" s="10"/>
      <c r="S44" s="10"/>
    </row>
    <row r="45" spans="1:19" ht="14.55" thickBot="1" x14ac:dyDescent="0.35">
      <c r="A45" s="81"/>
      <c r="B45" s="90"/>
      <c r="C45" s="11" t="s">
        <v>4</v>
      </c>
      <c r="D45" s="76"/>
      <c r="E45" s="76"/>
      <c r="F45" s="34" t="e">
        <f t="shared" ref="F45" si="38">(AVERAGEIF(D45:E45,"&gt;0",D45:E45))*10^3*100/8</f>
        <v>#DIV/0!</v>
      </c>
      <c r="G45" s="7"/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5"/>
      <c r="N45" s="14"/>
      <c r="O45" s="9"/>
      <c r="P45" s="14"/>
      <c r="Q45" s="14"/>
      <c r="R45" s="10"/>
      <c r="S45" s="10"/>
    </row>
    <row r="46" spans="1:19" ht="14.55" thickBot="1" x14ac:dyDescent="0.35">
      <c r="A46" s="82"/>
      <c r="B46" s="93"/>
      <c r="C46" s="12" t="s">
        <v>2</v>
      </c>
      <c r="D46" s="79"/>
      <c r="E46" s="79"/>
      <c r="F46" s="34" t="e">
        <f t="shared" ref="F46" si="39">(AVERAGEIF(D46:E46,"&gt;0",D46:E46))*10^4*100/8</f>
        <v>#DIV/0!</v>
      </c>
      <c r="G46" s="7"/>
      <c r="H46" s="5" t="s">
        <v>22</v>
      </c>
      <c r="J46" s="40"/>
      <c r="K46" s="13"/>
      <c r="L46" s="13"/>
      <c r="M46" s="65"/>
      <c r="N46" s="14"/>
      <c r="O46" s="9"/>
      <c r="P46" s="14"/>
      <c r="Q46" s="14"/>
      <c r="R46" s="10"/>
      <c r="S46" s="10"/>
    </row>
    <row r="47" spans="1:19" ht="14.55" thickTop="1" x14ac:dyDescent="0.3">
      <c r="A47" s="88"/>
      <c r="B47" s="89"/>
      <c r="C47" s="30"/>
      <c r="D47" s="75"/>
      <c r="E47" s="75"/>
      <c r="F47" s="34"/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5"/>
      <c r="N47" s="14"/>
      <c r="O47" s="9"/>
      <c r="P47" s="14"/>
      <c r="Q47" s="14"/>
      <c r="R47" s="10"/>
      <c r="S47" s="10"/>
    </row>
    <row r="48" spans="1:19" x14ac:dyDescent="0.3">
      <c r="A48" s="81"/>
      <c r="B48" s="90"/>
      <c r="C48" s="11"/>
      <c r="D48" s="11"/>
      <c r="E48" s="11"/>
      <c r="F48" s="32"/>
      <c r="G48" s="7"/>
      <c r="H48" s="5" t="str">
        <f t="array" ref="H48">IFERROR(INDEX($F$2:$F$181,SMALL(IF($G$2:$G$181=12,ROW($A$1:$A$163),""),ROW(A2))),"")</f>
        <v/>
      </c>
      <c r="J48" s="40"/>
      <c r="K48" s="13"/>
      <c r="L48" s="13"/>
      <c r="M48" s="65"/>
      <c r="N48" s="14"/>
      <c r="O48" s="9"/>
      <c r="P48" s="14"/>
      <c r="Q48" s="14"/>
      <c r="R48" s="10"/>
      <c r="S48" s="10"/>
    </row>
    <row r="49" spans="1:21" ht="14.55" thickBot="1" x14ac:dyDescent="0.35">
      <c r="A49" s="81"/>
      <c r="B49" s="91"/>
      <c r="C49" s="12"/>
      <c r="D49" s="12"/>
      <c r="E49" s="12"/>
      <c r="F49" s="36"/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5"/>
      <c r="N49" s="14"/>
      <c r="O49" s="9"/>
      <c r="P49" s="14"/>
      <c r="Q49" s="14"/>
      <c r="R49" s="10"/>
      <c r="S49" s="10"/>
    </row>
    <row r="50" spans="1:21" ht="14.55" thickTop="1" x14ac:dyDescent="0.3">
      <c r="A50" s="81"/>
      <c r="B50" s="92"/>
      <c r="C50" s="30"/>
      <c r="D50" s="8"/>
      <c r="E50" s="8"/>
      <c r="F50" s="34"/>
      <c r="G50" s="7"/>
      <c r="H50" s="5" t="s">
        <v>23</v>
      </c>
      <c r="J50" s="40"/>
      <c r="K50" s="13"/>
      <c r="L50" s="13"/>
      <c r="M50" s="65"/>
      <c r="N50" s="14"/>
      <c r="O50" s="9"/>
      <c r="P50" s="14"/>
      <c r="Q50" s="14"/>
      <c r="R50" s="10"/>
      <c r="S50" s="10"/>
    </row>
    <row r="51" spans="1:21" x14ac:dyDescent="0.3">
      <c r="A51" s="81"/>
      <c r="B51" s="90"/>
      <c r="C51" s="11"/>
      <c r="D51" s="11"/>
      <c r="E51" s="11"/>
      <c r="F51" s="32"/>
      <c r="G51" s="7"/>
      <c r="H51" s="5" t="str">
        <f t="array" ref="H51">IFERROR(INDEX($F$2:$F$181,SMALL(IF($G$2:$G$181=13,ROW($A$1:$A$163),""),ROW(A1))),"")</f>
        <v/>
      </c>
      <c r="J51" s="40"/>
      <c r="K51" s="13"/>
      <c r="L51" s="13"/>
      <c r="M51" s="65"/>
      <c r="N51" s="14"/>
      <c r="O51" s="9"/>
      <c r="P51" s="14"/>
      <c r="Q51" s="14"/>
      <c r="R51" s="10"/>
      <c r="S51" s="10"/>
    </row>
    <row r="52" spans="1:21" ht="14.55" thickBot="1" x14ac:dyDescent="0.35">
      <c r="A52" s="81"/>
      <c r="B52" s="91"/>
      <c r="C52" s="12"/>
      <c r="D52" s="12"/>
      <c r="E52" s="12"/>
      <c r="F52" s="36"/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5"/>
      <c r="N52" s="14"/>
      <c r="O52" s="9"/>
      <c r="P52" s="14"/>
      <c r="Q52" s="14"/>
      <c r="R52" s="10"/>
      <c r="S52" s="10"/>
    </row>
    <row r="53" spans="1:21" ht="14.55" thickTop="1" x14ac:dyDescent="0.3">
      <c r="A53" s="81"/>
      <c r="B53" s="92"/>
      <c r="C53" s="30"/>
      <c r="D53" s="8"/>
      <c r="E53" s="8"/>
      <c r="F53" s="34"/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5"/>
      <c r="N53" s="14"/>
      <c r="O53" s="9"/>
      <c r="P53" s="14"/>
      <c r="Q53" s="14"/>
      <c r="R53" s="10"/>
      <c r="S53" s="10"/>
    </row>
    <row r="54" spans="1:21" x14ac:dyDescent="0.3">
      <c r="A54" s="81"/>
      <c r="B54" s="90"/>
      <c r="C54" s="11"/>
      <c r="D54" s="11"/>
      <c r="E54" s="11"/>
      <c r="F54" s="32"/>
      <c r="G54" s="7"/>
      <c r="H54" s="5" t="s">
        <v>24</v>
      </c>
      <c r="J54" s="40"/>
      <c r="K54" s="13"/>
      <c r="L54" s="13"/>
      <c r="M54" s="65"/>
      <c r="N54" s="14"/>
      <c r="O54" s="9"/>
      <c r="P54" s="14"/>
      <c r="Q54" s="14"/>
      <c r="R54" s="10"/>
      <c r="S54" s="10"/>
    </row>
    <row r="55" spans="1:21" ht="14.55" thickBot="1" x14ac:dyDescent="0.35">
      <c r="A55" s="82"/>
      <c r="B55" s="93"/>
      <c r="C55" s="12"/>
      <c r="D55" s="35"/>
      <c r="E55" s="35"/>
      <c r="F55" s="36"/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5"/>
      <c r="N55" s="14"/>
      <c r="O55" s="9"/>
      <c r="P55" s="14"/>
      <c r="Q55" s="14"/>
      <c r="R55" s="10"/>
      <c r="S55" s="10"/>
    </row>
    <row r="56" spans="1:21" ht="14.55" thickTop="1" x14ac:dyDescent="0.3">
      <c r="A56" s="88"/>
      <c r="B56" s="89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5"/>
      <c r="N56" s="14"/>
      <c r="O56" s="9"/>
      <c r="P56" s="14"/>
      <c r="Q56" s="14"/>
      <c r="R56" s="10"/>
      <c r="S56" s="10"/>
    </row>
    <row r="57" spans="1:21" x14ac:dyDescent="0.3">
      <c r="A57" s="81"/>
      <c r="B57" s="90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5"/>
      <c r="N57" s="14"/>
      <c r="O57" s="9"/>
      <c r="P57" s="14"/>
      <c r="Q57" s="14"/>
      <c r="R57" s="10"/>
      <c r="S57" s="10"/>
    </row>
    <row r="58" spans="1:21" ht="14.55" thickBot="1" x14ac:dyDescent="0.35">
      <c r="A58" s="81"/>
      <c r="B58" s="91"/>
      <c r="C58" s="12"/>
      <c r="D58" s="12"/>
      <c r="E58" s="12"/>
      <c r="F58" s="36"/>
      <c r="G58" s="7"/>
      <c r="H58" s="5" t="s">
        <v>25</v>
      </c>
      <c r="J58" s="40"/>
      <c r="K58" s="13"/>
      <c r="L58" s="13"/>
      <c r="M58" s="65"/>
      <c r="N58" s="14"/>
      <c r="O58" s="9"/>
      <c r="P58" s="14"/>
      <c r="Q58" s="14"/>
      <c r="R58" s="10"/>
      <c r="S58" s="10"/>
    </row>
    <row r="59" spans="1:21" ht="14.55" thickTop="1" x14ac:dyDescent="0.3">
      <c r="A59" s="81"/>
      <c r="B59" s="92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5"/>
      <c r="N59" s="14"/>
      <c r="O59" s="9"/>
      <c r="P59" s="14"/>
      <c r="Q59" s="14"/>
      <c r="R59" s="10"/>
      <c r="S59" s="10"/>
    </row>
    <row r="60" spans="1:21" ht="14.55" thickBot="1" x14ac:dyDescent="0.35">
      <c r="A60" s="81"/>
      <c r="B60" s="90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5"/>
      <c r="N60" s="42"/>
      <c r="O60" s="9"/>
      <c r="P60" s="42"/>
      <c r="Q60" s="42"/>
      <c r="R60" s="43"/>
      <c r="S60" s="43"/>
      <c r="T60" s="44"/>
      <c r="U60" s="44"/>
    </row>
    <row r="61" spans="1:21" ht="14.55" thickBot="1" x14ac:dyDescent="0.35">
      <c r="A61" s="81"/>
      <c r="B61" s="9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5"/>
      <c r="N61" s="14"/>
      <c r="O61" s="9"/>
      <c r="P61" s="14"/>
      <c r="Q61" s="14"/>
      <c r="R61" s="10"/>
      <c r="S61" s="10"/>
    </row>
    <row r="62" spans="1:21" ht="14.55" thickTop="1" x14ac:dyDescent="0.3">
      <c r="A62" s="81"/>
      <c r="B62" s="92"/>
      <c r="C62" s="30"/>
      <c r="D62" s="8"/>
      <c r="E62" s="8"/>
      <c r="F62" s="34"/>
      <c r="G62" s="7"/>
      <c r="H62" s="5" t="s">
        <v>26</v>
      </c>
      <c r="J62" s="40"/>
      <c r="K62" s="13"/>
      <c r="L62" s="13"/>
      <c r="M62" s="65"/>
      <c r="N62" s="14"/>
      <c r="O62" s="9"/>
      <c r="P62" s="14"/>
      <c r="Q62" s="14"/>
      <c r="R62" s="10"/>
      <c r="S62" s="10"/>
    </row>
    <row r="63" spans="1:21" x14ac:dyDescent="0.3">
      <c r="A63" s="81"/>
      <c r="B63" s="90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5"/>
      <c r="N63" s="14"/>
      <c r="O63" s="9"/>
      <c r="P63" s="14"/>
      <c r="Q63" s="14"/>
      <c r="R63" s="10"/>
      <c r="S63" s="10"/>
    </row>
    <row r="64" spans="1:21" ht="14.55" thickBot="1" x14ac:dyDescent="0.35">
      <c r="A64" s="82"/>
      <c r="B64" s="93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5"/>
      <c r="N64" s="14"/>
      <c r="O64" s="9"/>
      <c r="P64" s="14"/>
      <c r="Q64" s="14"/>
      <c r="R64" s="10"/>
      <c r="S64" s="10"/>
    </row>
    <row r="65" spans="1:19" ht="14.55" thickTop="1" x14ac:dyDescent="0.3">
      <c r="A65" s="88"/>
      <c r="B65" s="89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5"/>
      <c r="N65" s="14"/>
      <c r="O65" s="9"/>
      <c r="P65" s="14"/>
      <c r="Q65" s="14"/>
      <c r="R65" s="10"/>
      <c r="S65" s="10"/>
    </row>
    <row r="66" spans="1:19" x14ac:dyDescent="0.3">
      <c r="A66" s="81"/>
      <c r="B66" s="90"/>
      <c r="C66" s="11"/>
      <c r="D66" s="11"/>
      <c r="E66" s="11"/>
      <c r="F66" s="32"/>
      <c r="G66" s="7"/>
      <c r="H66" s="5" t="s">
        <v>27</v>
      </c>
      <c r="J66" s="40"/>
      <c r="K66" s="13"/>
      <c r="L66" s="13"/>
      <c r="M66" s="65"/>
      <c r="N66" s="14"/>
      <c r="O66" s="9"/>
      <c r="P66" s="14"/>
      <c r="Q66" s="14"/>
      <c r="R66" s="10"/>
      <c r="S66" s="10"/>
    </row>
    <row r="67" spans="1:19" ht="14.55" thickBot="1" x14ac:dyDescent="0.35">
      <c r="A67" s="81"/>
      <c r="B67" s="9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5"/>
      <c r="N67" s="14"/>
      <c r="O67" s="9"/>
      <c r="P67" s="14"/>
      <c r="Q67" s="14"/>
      <c r="R67" s="10"/>
      <c r="S67" s="10"/>
    </row>
    <row r="68" spans="1:19" ht="14.55" thickTop="1" x14ac:dyDescent="0.3">
      <c r="A68" s="81"/>
      <c r="B68" s="92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5"/>
      <c r="N68" s="14"/>
      <c r="O68" s="9"/>
      <c r="P68" s="14"/>
      <c r="Q68" s="14"/>
      <c r="R68" s="10"/>
      <c r="S68" s="10"/>
    </row>
    <row r="69" spans="1:19" x14ac:dyDescent="0.3">
      <c r="A69" s="81"/>
      <c r="B69" s="90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5"/>
      <c r="N69" s="14"/>
      <c r="O69" s="9"/>
      <c r="P69" s="14"/>
      <c r="Q69" s="14"/>
      <c r="R69" s="10"/>
      <c r="S69" s="10"/>
    </row>
    <row r="70" spans="1:19" ht="14.55" thickBot="1" x14ac:dyDescent="0.35">
      <c r="A70" s="81"/>
      <c r="B70" s="91"/>
      <c r="C70" s="12"/>
      <c r="D70" s="12"/>
      <c r="E70" s="12"/>
      <c r="F70" s="36"/>
      <c r="G70" s="7"/>
      <c r="H70" s="5" t="s">
        <v>28</v>
      </c>
      <c r="J70" s="40"/>
      <c r="K70" s="13"/>
      <c r="L70" s="13"/>
      <c r="M70" s="65"/>
      <c r="N70" s="14"/>
      <c r="O70" s="9"/>
      <c r="P70" s="14"/>
      <c r="Q70" s="14"/>
      <c r="R70" s="10"/>
      <c r="S70" s="10"/>
    </row>
    <row r="71" spans="1:19" ht="14.55" thickTop="1" x14ac:dyDescent="0.3">
      <c r="A71" s="81"/>
      <c r="B71" s="92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5"/>
      <c r="N71" s="14"/>
      <c r="O71" s="9"/>
      <c r="P71" s="14"/>
      <c r="Q71" s="14"/>
      <c r="R71" s="10"/>
      <c r="S71" s="10"/>
    </row>
    <row r="72" spans="1:19" x14ac:dyDescent="0.3">
      <c r="A72" s="81"/>
      <c r="B72" s="90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5"/>
      <c r="N72" s="14"/>
      <c r="O72" s="9"/>
      <c r="P72" s="14"/>
      <c r="Q72" s="14"/>
      <c r="R72" s="10"/>
      <c r="S72" s="10"/>
    </row>
    <row r="73" spans="1:19" ht="14.55" thickBot="1" x14ac:dyDescent="0.35">
      <c r="A73" s="82"/>
      <c r="B73" s="93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5"/>
      <c r="N73" s="14"/>
      <c r="O73" s="9"/>
      <c r="P73" s="14"/>
      <c r="Q73" s="14"/>
      <c r="R73" s="10"/>
      <c r="S73" s="10"/>
    </row>
    <row r="74" spans="1:19" ht="14.55" thickTop="1" x14ac:dyDescent="0.3">
      <c r="A74" s="88"/>
      <c r="B74" s="89"/>
      <c r="C74" s="30"/>
      <c r="D74" s="30"/>
      <c r="E74" s="30"/>
      <c r="F74" s="34"/>
      <c r="G74" s="7"/>
      <c r="H74" s="5" t="s">
        <v>29</v>
      </c>
      <c r="J74" s="40"/>
      <c r="K74" s="13"/>
      <c r="L74" s="13"/>
      <c r="M74" s="65"/>
      <c r="N74" s="14"/>
      <c r="O74" s="9"/>
      <c r="P74" s="14"/>
      <c r="Q74" s="14"/>
      <c r="R74" s="10"/>
      <c r="S74" s="10"/>
    </row>
    <row r="75" spans="1:19" x14ac:dyDescent="0.3">
      <c r="A75" s="81"/>
      <c r="B75" s="90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5"/>
      <c r="N75" s="14"/>
      <c r="O75" s="9"/>
      <c r="P75" s="14"/>
      <c r="Q75" s="14"/>
      <c r="R75" s="10"/>
      <c r="S75" s="10"/>
    </row>
    <row r="76" spans="1:19" ht="14.55" thickBot="1" x14ac:dyDescent="0.35">
      <c r="A76" s="81"/>
      <c r="B76" s="91"/>
      <c r="C76" s="12"/>
      <c r="D76" s="12"/>
      <c r="E76" s="12"/>
      <c r="F76" s="36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5"/>
      <c r="N76" s="14"/>
      <c r="O76" s="9"/>
      <c r="P76" s="14"/>
      <c r="Q76" s="14"/>
      <c r="R76" s="10"/>
      <c r="S76" s="10"/>
    </row>
    <row r="77" spans="1:19" ht="14.55" thickTop="1" x14ac:dyDescent="0.3">
      <c r="A77" s="81"/>
      <c r="B77" s="92"/>
      <c r="C77" s="30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5"/>
      <c r="N77" s="14"/>
      <c r="O77" s="9"/>
      <c r="P77" s="14"/>
      <c r="Q77" s="14"/>
      <c r="R77" s="10"/>
      <c r="S77" s="10"/>
    </row>
    <row r="78" spans="1:19" x14ac:dyDescent="0.3">
      <c r="A78" s="81"/>
      <c r="B78" s="90"/>
      <c r="C78" s="11"/>
      <c r="D78" s="11"/>
      <c r="E78" s="11"/>
      <c r="F78" s="32"/>
      <c r="G78" s="7"/>
      <c r="H78" s="5" t="s">
        <v>30</v>
      </c>
      <c r="J78" s="40"/>
      <c r="K78" s="13"/>
      <c r="L78" s="13"/>
      <c r="M78" s="65"/>
      <c r="N78" s="14"/>
      <c r="O78" s="9"/>
      <c r="P78" s="14"/>
      <c r="Q78" s="14"/>
      <c r="R78" s="10"/>
      <c r="S78" s="10"/>
    </row>
    <row r="79" spans="1:19" ht="14.55" thickBot="1" x14ac:dyDescent="0.35">
      <c r="A79" s="81"/>
      <c r="B79" s="91"/>
      <c r="C79" s="12"/>
      <c r="D79" s="12"/>
      <c r="E79" s="12"/>
      <c r="F79" s="36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5"/>
      <c r="N79" s="14"/>
      <c r="O79" s="9"/>
      <c r="P79" s="14"/>
      <c r="Q79" s="14"/>
      <c r="R79" s="10"/>
      <c r="S79" s="10"/>
    </row>
    <row r="80" spans="1:19" ht="14.55" thickTop="1" x14ac:dyDescent="0.3">
      <c r="A80" s="81"/>
      <c r="B80" s="92"/>
      <c r="C80" s="30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5"/>
      <c r="N80" s="14"/>
      <c r="O80" s="9"/>
      <c r="P80" s="14"/>
      <c r="Q80" s="14"/>
      <c r="R80" s="10"/>
      <c r="S80" s="10"/>
    </row>
    <row r="81" spans="1:22" x14ac:dyDescent="0.3">
      <c r="A81" s="81"/>
      <c r="B81" s="90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5"/>
      <c r="N81" s="14"/>
      <c r="O81" s="9"/>
      <c r="P81" s="14"/>
      <c r="Q81" s="14"/>
      <c r="R81" s="10"/>
      <c r="S81" s="10"/>
    </row>
    <row r="82" spans="1:22" ht="14.55" thickBot="1" x14ac:dyDescent="0.35">
      <c r="A82" s="82"/>
      <c r="B82" s="93"/>
      <c r="C82" s="12"/>
      <c r="D82" s="35"/>
      <c r="E82" s="35"/>
      <c r="F82" s="36"/>
      <c r="G82" s="7"/>
      <c r="J82" s="40"/>
      <c r="K82" s="13"/>
      <c r="L82" s="13"/>
      <c r="M82" s="65"/>
      <c r="N82" s="14"/>
      <c r="O82" s="9"/>
      <c r="P82" s="14"/>
      <c r="Q82" s="14"/>
      <c r="R82" s="10"/>
      <c r="S82" s="10"/>
    </row>
    <row r="83" spans="1:22" ht="14.5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5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5"/>
      <c r="N84" s="14"/>
      <c r="O84" s="9"/>
      <c r="P84" s="14"/>
      <c r="Q84" s="14"/>
      <c r="R84" s="10"/>
      <c r="S84" s="10"/>
    </row>
    <row r="85" spans="1:22" ht="14.5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5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5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5"/>
      <c r="N87" s="14"/>
      <c r="O87" s="9"/>
      <c r="P87" s="14"/>
      <c r="Q87" s="14"/>
      <c r="R87" s="10"/>
      <c r="S87" s="10"/>
    </row>
    <row r="88" spans="1:22" ht="14.5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5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5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5"/>
      <c r="N90" s="14"/>
      <c r="O90" s="9"/>
      <c r="P90" s="14"/>
      <c r="Q90" s="14"/>
      <c r="R90" s="10"/>
      <c r="S90" s="10"/>
    </row>
    <row r="91" spans="1:22" ht="14.5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5"/>
      <c r="N91" s="14"/>
      <c r="O91" s="9"/>
      <c r="P91" s="14"/>
      <c r="Q91" s="14"/>
      <c r="R91" s="10"/>
      <c r="S91" s="10"/>
    </row>
    <row r="92" spans="1:22" ht="14.5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5"/>
      <c r="N92" s="14"/>
      <c r="O92" s="9"/>
      <c r="P92" s="14"/>
      <c r="Q92" s="14"/>
      <c r="R92" s="10"/>
      <c r="S92" s="10"/>
    </row>
    <row r="93" spans="1:22" ht="14.5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5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4.5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5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5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5"/>
      <c r="N96" s="14"/>
      <c r="O96" s="9"/>
      <c r="P96" s="14"/>
      <c r="Q96" s="14"/>
      <c r="R96" s="10"/>
      <c r="S96" s="10"/>
    </row>
    <row r="97" spans="1:19" ht="14.5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5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5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5"/>
      <c r="N99" s="14"/>
      <c r="O99" s="9"/>
      <c r="P99" s="14"/>
      <c r="Q99" s="14"/>
      <c r="R99" s="10"/>
      <c r="S99" s="10"/>
    </row>
    <row r="100" spans="1:19" ht="14.5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5"/>
      <c r="N100" s="14"/>
      <c r="O100" s="9"/>
      <c r="P100" s="14"/>
      <c r="Q100" s="14"/>
      <c r="R100" s="10"/>
      <c r="S100" s="10"/>
    </row>
    <row r="101" spans="1:19" ht="14.5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5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5"/>
      <c r="N102" s="14"/>
      <c r="O102" s="9"/>
      <c r="P102" s="14"/>
      <c r="Q102" s="14"/>
      <c r="R102" s="10"/>
      <c r="S102" s="10"/>
    </row>
    <row r="103" spans="1:19" ht="14.5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5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5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5"/>
      <c r="N105" s="14"/>
      <c r="O105" s="9"/>
      <c r="P105" s="14"/>
      <c r="Q105" s="14"/>
      <c r="R105" s="10"/>
      <c r="S105" s="10"/>
    </row>
    <row r="106" spans="1:19" ht="14.5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5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5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5"/>
      <c r="N108" s="14"/>
      <c r="O108" s="9"/>
      <c r="P108" s="14"/>
      <c r="Q108" s="14"/>
      <c r="R108" s="10"/>
      <c r="S108" s="10"/>
    </row>
    <row r="109" spans="1:19" ht="14.5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5"/>
      <c r="N109" s="14"/>
      <c r="O109" s="9"/>
      <c r="P109" s="14"/>
      <c r="Q109" s="14"/>
      <c r="R109" s="10"/>
      <c r="S109" s="10"/>
    </row>
    <row r="110" spans="1:19" ht="14.5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5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5"/>
      <c r="N111" s="14"/>
      <c r="O111" s="9"/>
      <c r="P111" s="14"/>
      <c r="Q111" s="14"/>
      <c r="R111" s="10"/>
      <c r="S111" s="10"/>
    </row>
    <row r="112" spans="1:19" ht="14.5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5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5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5"/>
      <c r="N114" s="14"/>
      <c r="O114" s="9"/>
      <c r="P114" s="14"/>
      <c r="Q114" s="14"/>
      <c r="R114" s="10"/>
      <c r="S114" s="10"/>
    </row>
    <row r="115" spans="1:19" ht="14.5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5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5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5"/>
      <c r="N117" s="14"/>
      <c r="O117" s="9"/>
      <c r="P117" s="14"/>
      <c r="Q117" s="14"/>
      <c r="R117" s="10"/>
      <c r="S117" s="10"/>
    </row>
    <row r="118" spans="1:19" ht="14.5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5"/>
      <c r="N118" s="14"/>
      <c r="O118" s="9"/>
      <c r="P118" s="14"/>
      <c r="Q118" s="14"/>
      <c r="R118" s="10"/>
      <c r="S118" s="10"/>
    </row>
    <row r="119" spans="1:19" ht="14.5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5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5"/>
      <c r="N120" s="14"/>
      <c r="O120" s="9"/>
      <c r="P120" s="14"/>
      <c r="Q120" s="14"/>
      <c r="R120" s="10"/>
      <c r="S120" s="10"/>
    </row>
    <row r="121" spans="1:19" ht="14.5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5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5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5"/>
      <c r="N123" s="14"/>
      <c r="O123" s="9"/>
      <c r="P123" s="14"/>
      <c r="Q123" s="14"/>
      <c r="R123" s="10"/>
      <c r="S123" s="10"/>
    </row>
    <row r="124" spans="1:19" ht="14.5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5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5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5"/>
      <c r="N126" s="14"/>
      <c r="O126" s="9"/>
      <c r="P126" s="14"/>
      <c r="Q126" s="14"/>
      <c r="R126" s="10"/>
      <c r="S126" s="10"/>
    </row>
    <row r="127" spans="1:19" ht="14.5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5"/>
      <c r="N127" s="14"/>
      <c r="O127" s="9"/>
      <c r="P127" s="14"/>
      <c r="Q127" s="14"/>
      <c r="R127" s="10"/>
      <c r="S127" s="10"/>
    </row>
    <row r="128" spans="1:19" ht="14.5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5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5"/>
      <c r="N129" s="14"/>
      <c r="O129" s="9"/>
      <c r="P129" s="14"/>
      <c r="Q129" s="14"/>
      <c r="R129" s="10"/>
      <c r="S129" s="10"/>
    </row>
    <row r="130" spans="1:19" ht="14.5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5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5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5"/>
      <c r="N132" s="14"/>
      <c r="O132" s="9"/>
      <c r="P132" s="14"/>
      <c r="Q132" s="14"/>
      <c r="R132" s="10"/>
      <c r="S132" s="10"/>
    </row>
    <row r="133" spans="1:19" ht="14.5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5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5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5"/>
      <c r="N135" s="14"/>
      <c r="O135" s="9"/>
      <c r="P135" s="14"/>
      <c r="Q135" s="14"/>
      <c r="R135" s="10"/>
      <c r="S135" s="10"/>
    </row>
    <row r="136" spans="1:19" ht="14.5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5"/>
      <c r="N136" s="14"/>
      <c r="O136" s="9"/>
      <c r="P136" s="14"/>
      <c r="Q136" s="14"/>
      <c r="R136" s="10"/>
      <c r="S136" s="10"/>
    </row>
    <row r="137" spans="1:19" ht="14.5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5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5"/>
      <c r="N138" s="14"/>
      <c r="O138" s="9"/>
      <c r="P138" s="14"/>
      <c r="Q138" s="14"/>
      <c r="R138" s="10"/>
      <c r="S138" s="10"/>
    </row>
    <row r="139" spans="1:19" ht="14.5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5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5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5"/>
      <c r="N141" s="14"/>
      <c r="O141" s="9"/>
      <c r="P141" s="14"/>
      <c r="Q141" s="14"/>
      <c r="R141" s="10"/>
      <c r="S141" s="10"/>
    </row>
    <row r="142" spans="1:19" ht="14.5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5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5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5"/>
      <c r="N144" s="14"/>
      <c r="O144" s="9"/>
      <c r="P144" s="14"/>
      <c r="Q144" s="14"/>
      <c r="R144" s="10"/>
      <c r="S144" s="10"/>
    </row>
    <row r="145" spans="1:19" ht="14.5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5"/>
      <c r="N145" s="14"/>
      <c r="O145" s="9"/>
      <c r="P145" s="14"/>
      <c r="Q145" s="14"/>
      <c r="R145" s="10"/>
      <c r="S145" s="10"/>
    </row>
    <row r="146" spans="1:19" ht="14.5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5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5"/>
      <c r="N147" s="14"/>
      <c r="O147" s="9"/>
      <c r="P147" s="14"/>
      <c r="Q147" s="14"/>
      <c r="R147" s="10"/>
      <c r="S147" s="10"/>
    </row>
    <row r="148" spans="1:19" ht="14.5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5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5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5"/>
      <c r="N150" s="14"/>
      <c r="O150" s="9"/>
      <c r="P150" s="14"/>
      <c r="Q150" s="14"/>
      <c r="R150" s="10"/>
      <c r="S150" s="10"/>
    </row>
    <row r="151" spans="1:19" ht="14.5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5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5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5"/>
      <c r="N153" s="14"/>
      <c r="O153" s="9"/>
      <c r="P153" s="14"/>
      <c r="Q153" s="14"/>
      <c r="R153" s="10"/>
      <c r="S153" s="10"/>
    </row>
    <row r="154" spans="1:19" ht="14.5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5"/>
      <c r="N154" s="14"/>
      <c r="O154" s="9"/>
      <c r="P154" s="14"/>
      <c r="Q154" s="14"/>
      <c r="R154" s="10"/>
      <c r="S154" s="10"/>
    </row>
    <row r="155" spans="1:19" ht="14.5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5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5"/>
      <c r="N156" s="14"/>
      <c r="O156" s="9"/>
      <c r="P156" s="14"/>
      <c r="Q156" s="14"/>
      <c r="R156" s="10"/>
      <c r="S156" s="10"/>
    </row>
    <row r="157" spans="1:19" ht="14.5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5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5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5"/>
      <c r="N159" s="14"/>
      <c r="O159" s="9"/>
      <c r="P159" s="14"/>
      <c r="Q159" s="14"/>
      <c r="R159" s="10"/>
      <c r="S159" s="10"/>
    </row>
    <row r="160" spans="1:19" ht="14.5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5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5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5"/>
      <c r="N162" s="14"/>
      <c r="O162" s="9"/>
      <c r="P162" s="14"/>
      <c r="Q162" s="14"/>
      <c r="R162" s="10"/>
      <c r="S162" s="10"/>
    </row>
    <row r="163" spans="1:19" ht="14.5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5"/>
      <c r="N163" s="14"/>
      <c r="O163" s="9"/>
      <c r="P163" s="14"/>
      <c r="Q163" s="14"/>
      <c r="R163" s="10"/>
      <c r="S163" s="10"/>
    </row>
    <row r="164" spans="1:19" ht="14.5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5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5"/>
      <c r="N165" s="14"/>
      <c r="O165" s="9"/>
      <c r="P165" s="21"/>
      <c r="Q165" s="21"/>
      <c r="R165" s="10"/>
      <c r="S165" s="10"/>
    </row>
    <row r="166" spans="1:19" ht="14.5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5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5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5"/>
      <c r="N168" s="14"/>
      <c r="O168" s="9"/>
      <c r="P168" s="21"/>
      <c r="Q168" s="21"/>
      <c r="R168" s="10"/>
      <c r="S168" s="10"/>
    </row>
    <row r="169" spans="1:19" ht="14.5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5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5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5"/>
      <c r="N171" s="14"/>
      <c r="O171" s="9"/>
      <c r="P171" s="21"/>
      <c r="Q171" s="21"/>
      <c r="R171" s="10"/>
      <c r="S171" s="10"/>
    </row>
    <row r="172" spans="1:19" ht="14.5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5"/>
      <c r="N172" s="14"/>
      <c r="O172" s="9"/>
      <c r="P172" s="21"/>
      <c r="Q172" s="21"/>
      <c r="R172" s="10"/>
      <c r="S172" s="10"/>
    </row>
    <row r="173" spans="1:19" ht="14.5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6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6"/>
      <c r="O174" s="9"/>
      <c r="P174" s="21"/>
      <c r="Q174" s="21"/>
      <c r="R174" s="10"/>
      <c r="S174" s="10"/>
    </row>
    <row r="175" spans="1:19" ht="14.5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6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6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6"/>
      <c r="O177" s="9"/>
      <c r="P177" s="21"/>
      <c r="Q177" s="21"/>
    </row>
    <row r="178" spans="1:17" ht="14.5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6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6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6"/>
      <c r="O180" s="9"/>
      <c r="P180" s="21"/>
      <c r="Q180" s="21"/>
    </row>
    <row r="181" spans="1:17" ht="14.5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6"/>
      <c r="O181" s="9"/>
      <c r="P181" s="21"/>
      <c r="Q181" s="21"/>
    </row>
    <row r="182" spans="1:17" ht="14.55" thickTop="1" x14ac:dyDescent="0.3">
      <c r="G182" s="28"/>
      <c r="O182" s="9"/>
    </row>
  </sheetData>
  <mergeCells count="36">
    <mergeCell ref="A74:A82"/>
    <mergeCell ref="B74:B76"/>
    <mergeCell ref="B77:B79"/>
    <mergeCell ref="B80:B82"/>
    <mergeCell ref="A56:A64"/>
    <mergeCell ref="B56:B58"/>
    <mergeCell ref="B59:B61"/>
    <mergeCell ref="B62:B64"/>
    <mergeCell ref="A65:A73"/>
    <mergeCell ref="B65:B67"/>
    <mergeCell ref="B68:B70"/>
    <mergeCell ref="B71:B73"/>
    <mergeCell ref="A38:A46"/>
    <mergeCell ref="B38:B40"/>
    <mergeCell ref="B41:B43"/>
    <mergeCell ref="B44:B46"/>
    <mergeCell ref="A47:A55"/>
    <mergeCell ref="B47:B49"/>
    <mergeCell ref="B50:B52"/>
    <mergeCell ref="B53:B55"/>
    <mergeCell ref="A20:A28"/>
    <mergeCell ref="B20:B22"/>
    <mergeCell ref="B23:B25"/>
    <mergeCell ref="B26:B28"/>
    <mergeCell ref="A29:A37"/>
    <mergeCell ref="B29:B31"/>
    <mergeCell ref="B32:B34"/>
    <mergeCell ref="B35:B37"/>
    <mergeCell ref="A2:A10"/>
    <mergeCell ref="B2:B4"/>
    <mergeCell ref="B5:B7"/>
    <mergeCell ref="B8:B10"/>
    <mergeCell ref="A11:A19"/>
    <mergeCell ref="B11:B13"/>
    <mergeCell ref="B14:B16"/>
    <mergeCell ref="B17:B19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4E2B-F204-42ED-9D0C-08854455F316}">
  <dimension ref="A1:V182"/>
  <sheetViews>
    <sheetView tabSelected="1" topLeftCell="I31" zoomScaleNormal="100" workbookViewId="0">
      <selection activeCell="N4" sqref="N4:Q6"/>
    </sheetView>
  </sheetViews>
  <sheetFormatPr defaultColWidth="9.19921875" defaultRowHeight="14" x14ac:dyDescent="0.3"/>
  <cols>
    <col min="1" max="1" width="10.69921875" style="23" customWidth="1"/>
    <col min="2" max="2" width="10.69921875" style="24" customWidth="1"/>
    <col min="3" max="3" width="12.69921875" style="25" bestFit="1" customWidth="1"/>
    <col min="4" max="4" width="20.296875" style="25" customWidth="1"/>
    <col min="5" max="5" width="21" style="25" customWidth="1"/>
    <col min="6" max="6" width="11.5" style="5" customWidth="1"/>
    <col min="7" max="7" width="11.5" style="29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7" customWidth="1"/>
    <col min="14" max="15" width="12.69921875" style="21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7" customWidth="1"/>
    <col min="23" max="16384" width="9.19921875" style="7"/>
  </cols>
  <sheetData>
    <row r="1" spans="1:22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7" t="s">
        <v>10</v>
      </c>
      <c r="H1" s="26" t="s">
        <v>31</v>
      </c>
      <c r="I1" s="26" t="s">
        <v>32</v>
      </c>
      <c r="J1" s="26" t="s">
        <v>9</v>
      </c>
      <c r="K1" s="26" t="s">
        <v>33</v>
      </c>
      <c r="L1" s="26" t="s">
        <v>34</v>
      </c>
      <c r="M1" s="6"/>
      <c r="N1" s="48" t="s">
        <v>54</v>
      </c>
      <c r="O1" s="48" t="s">
        <v>55</v>
      </c>
      <c r="P1" s="48" t="s">
        <v>56</v>
      </c>
      <c r="Q1" s="48" t="s">
        <v>57</v>
      </c>
      <c r="R1" s="48" t="s">
        <v>58</v>
      </c>
      <c r="S1" s="48" t="s">
        <v>59</v>
      </c>
      <c r="T1" s="45" t="s">
        <v>60</v>
      </c>
      <c r="U1" s="45" t="s">
        <v>61</v>
      </c>
      <c r="V1" s="6"/>
    </row>
    <row r="2" spans="1:22" ht="15.75" customHeight="1" thickTop="1" x14ac:dyDescent="0.3">
      <c r="A2" s="80" t="s">
        <v>65</v>
      </c>
      <c r="B2" s="83">
        <v>1</v>
      </c>
      <c r="C2" s="30" t="s">
        <v>4</v>
      </c>
      <c r="D2" s="58"/>
      <c r="E2" s="58"/>
      <c r="F2" s="72" t="e">
        <f>(AVERAGEIF(D2:E2,"&gt;0",D2:E2))*10^3*100/8</f>
        <v>#DIV/0!</v>
      </c>
      <c r="G2" s="7"/>
      <c r="H2" s="5" t="s">
        <v>11</v>
      </c>
      <c r="J2" s="38"/>
      <c r="K2" s="41">
        <f t="array" ref="K2">IFERROR(INDEX($I$2:$I$81,SMALL(IF(ISNUMBER($I$2:$I$81),ROW($A$1:$A$80),""),ROW(A1))),"")</f>
        <v>28333333.333333332</v>
      </c>
      <c r="L2" s="41">
        <f t="array" ref="L2">IFERROR(INDEX($J$2:$J$81,SMALL(IF(ISNUMBER($J$2:$J$81),ROW($A$1:$A$80),""),ROW(A1))),"")</f>
        <v>2953634.7664078805</v>
      </c>
      <c r="M2" s="63" t="s">
        <v>51</v>
      </c>
      <c r="N2" s="60">
        <v>1</v>
      </c>
      <c r="O2" s="60">
        <v>2</v>
      </c>
      <c r="P2" s="7">
        <v>3</v>
      </c>
      <c r="Q2" s="7">
        <v>4</v>
      </c>
      <c r="R2" s="61">
        <v>5</v>
      </c>
      <c r="S2" s="62">
        <v>6</v>
      </c>
      <c r="T2">
        <v>7</v>
      </c>
      <c r="U2">
        <v>8</v>
      </c>
    </row>
    <row r="3" spans="1:22" x14ac:dyDescent="0.3">
      <c r="A3" s="81"/>
      <c r="B3" s="84"/>
      <c r="C3" s="11" t="s">
        <v>2</v>
      </c>
      <c r="D3" s="11"/>
      <c r="E3" s="11"/>
      <c r="F3" s="73" t="e">
        <f>(AVERAGEIF(D3:E3,"&gt;0",D3:E3))*10^4*100/8</f>
        <v>#DIV/0!</v>
      </c>
      <c r="G3" s="7"/>
      <c r="H3" s="5">
        <f t="array" ref="H3">IFERROR(INDEX($F$2:$F$181,SMALL(IF($G$2:$G$181=1,ROW($A$1:$A$163),""),ROW(A1))),"")</f>
        <v>30625000</v>
      </c>
      <c r="J3" s="39"/>
      <c r="K3" s="41">
        <f t="array" ref="K3">IFERROR(INDEX($I$2:$I$81,SMALL(IF(ISNUMBER($I$2:$I$81),ROW($A$1:$A$80),""),ROW(A2))),"")</f>
        <v>5500000</v>
      </c>
      <c r="L3" s="41">
        <f t="array" ref="L3">IFERROR(INDEX($J$2:$J$81,SMALL(IF(ISNUMBER($J$2:$J$81),ROW($A$1:$A$80),""),ROW(A2))),"")</f>
        <v>2352691.278089839</v>
      </c>
      <c r="M3" s="63" t="s">
        <v>52</v>
      </c>
      <c r="N3" s="60">
        <v>1</v>
      </c>
      <c r="O3" s="60">
        <v>2</v>
      </c>
      <c r="P3" s="7">
        <v>3</v>
      </c>
      <c r="Q3" s="7">
        <v>4</v>
      </c>
      <c r="R3" s="61">
        <v>5</v>
      </c>
      <c r="S3" s="62">
        <v>6</v>
      </c>
      <c r="T3">
        <v>7</v>
      </c>
      <c r="U3">
        <v>8</v>
      </c>
    </row>
    <row r="4" spans="1:22" ht="14.55" thickBot="1" x14ac:dyDescent="0.35">
      <c r="A4" s="81"/>
      <c r="B4" s="85"/>
      <c r="C4" s="12" t="s">
        <v>3</v>
      </c>
      <c r="D4" s="12">
        <v>23</v>
      </c>
      <c r="E4" s="12">
        <v>26</v>
      </c>
      <c r="F4" s="74">
        <f>(AVERAGEIF(D4:E4,"&gt;0",D4:E4))*10^5*100/8</f>
        <v>30625000</v>
      </c>
      <c r="G4" s="7">
        <v>1</v>
      </c>
      <c r="H4" s="5">
        <f t="array" ref="H4">IFERROR(INDEX($F$2:$F$181,SMALL(IF($G$2:$G$181=1,ROW($A$1:$A$163),""),ROW(A2))),"")</f>
        <v>29375000</v>
      </c>
      <c r="J4" s="39"/>
      <c r="K4" s="41">
        <f t="array" ref="K4">IFERROR(INDEX($I$2:$I$81,SMALL(IF(ISNUMBER($I$2:$I$81),ROW($A$1:$A$80),""),ROW(A3))),"")</f>
        <v>9416666.666666666</v>
      </c>
      <c r="L4" s="41">
        <f t="array" ref="L4">IFERROR(INDEX($J$2:$J$81,SMALL(IF(ISNUMBER($J$2:$J$81),ROW($A$1:$A$80),""),ROW(A3))),"")</f>
        <v>1508223.9831448537</v>
      </c>
      <c r="M4" s="64"/>
      <c r="N4" s="9">
        <f t="array" ref="N4">IFERROR(INDEX($F$2:$F$181,SMALL(_xlfn.IFS($G$2:$G$181&lt;$N$2,"",$G$2:$G$181&gt;$N$3,"",ISNUMBER($G$2:$G$181),ROW($A$1:$A$180)),ROW(A1))),"")</f>
        <v>30625000</v>
      </c>
      <c r="O4" s="9">
        <f t="array" ref="O4">IFERROR(INDEX($F$2:$F$181,SMALL(_xlfn.IFS($G$2:$G$181&lt;$O$2,"",$G$2:$G$181&gt;$O$3,"",ISNUMBER($G$2:$G$181),ROW($A$1:$A$180)),ROW(A1))),"")</f>
        <v>3437500</v>
      </c>
      <c r="P4" s="9">
        <f t="array" ref="P4">IFERROR(INDEX($F$2:$F$181,SMALL(_xlfn.IFS($G$2:$G$181&lt;$P$2,"",$G$2:$G$181&gt;$P$3,"",ISNUMBER($G$2:$G$181),ROW($A$1:$A$180)),ROW(A1))),"")</f>
        <v>10687500</v>
      </c>
      <c r="Q4" s="9">
        <f t="array" ref="Q4">IFERROR(INDEX($F$2:$F$181,SMALL(_xlfn.IFS($G$2:$G$181&lt;$Q$2,"",$G$2:$G$181&gt;$Q$3,"",ISNUMBER($G$2:$G$181),ROW($A$1:$A$180)),ROW(A1))),"")</f>
        <v>412500</v>
      </c>
      <c r="R4" s="9" t="str">
        <f t="array" ref="R4">IFERROR(INDEX($F$2:$F$181,SMALL(_xlfn.IFS($G$2:$G$181&lt;$R$2,"",$G$2:$G$181&gt;$R$3,"",ISNUMBER($G$2:$G$181),ROW($A$1:$A$180)),ROW(A1))),"")</f>
        <v/>
      </c>
      <c r="S4" s="10" t="str">
        <f t="array" ref="S4">IFERROR(INDEX($F$2:$F$181,SMALL(_xlfn.IFS($G$2:$G$181&lt;$S$2,"",$G$2:$G$181&gt;$S$3,"",ISNUMBER($G$2:$G$181),ROW($A$1:$A$180)),ROW(A1))),"")</f>
        <v/>
      </c>
      <c r="T4" s="5" t="str">
        <f t="array" ref="T4">IFERROR(INDEX($F$2:$F$181,SMALL(_xlfn.IFS($G$2:$G$181&lt;$T$2,"",$G$2:$G$181&gt;$T$3,"",ISNUMBER($G$2:$G$181),ROW($A$1:$A$180)),ROW(A1))),"")</f>
        <v/>
      </c>
      <c r="U4" s="5" t="str">
        <f t="array" ref="U4">IFERROR(INDEX($F$2:$F$181,SMALL(_xlfn.IFS($G$2:$G$181&lt;$U$2,"",$G$2:$G$181&gt;$U$3,"",ISNUMBER($G$2:$G$181),ROW($A$1:$A$180)),ROW(A1))),"")</f>
        <v/>
      </c>
    </row>
    <row r="5" spans="1:22" ht="14.55" thickTop="1" x14ac:dyDescent="0.3">
      <c r="A5" s="81"/>
      <c r="B5" s="86">
        <v>2</v>
      </c>
      <c r="C5" s="8" t="s">
        <v>4</v>
      </c>
      <c r="D5" s="59"/>
      <c r="E5" s="59"/>
      <c r="F5" s="72" t="e">
        <f t="shared" ref="F5" si="0">(AVERAGEIF(D5:E5,"&gt;0",D5:E5))*10^3*100/8</f>
        <v>#DIV/0!</v>
      </c>
      <c r="G5" s="7"/>
      <c r="H5" s="5">
        <f t="array" ref="H5">IFERROR(INDEX($F$2:$F$181,SMALL(IF($G$2:$G$181=1,ROW($A$1:$A$163),""),ROW(A3))),"")</f>
        <v>25000000</v>
      </c>
      <c r="I5" s="5">
        <f>AVERAGE(H3:H5)</f>
        <v>28333333.333333332</v>
      </c>
      <c r="J5" s="39">
        <f>STDEV(H3:H5)</f>
        <v>2953634.7664078805</v>
      </c>
      <c r="K5" s="41">
        <f t="array" ref="K5">IFERROR(INDEX($I$2:$I$81,SMALL(IF(ISNUMBER($I$2:$I$81),ROW($A$1:$A$80),""),ROW(A4))),"")</f>
        <v>391666.66666666669</v>
      </c>
      <c r="L5" s="41">
        <f t="array" ref="L5">IFERROR(INDEX($J$2:$J$81,SMALL(IF(ISNUMBER($J$2:$J$81),ROW($A$1:$A$80),""),ROW(A4))),"")</f>
        <v>269354.93931489979</v>
      </c>
      <c r="M5" s="64"/>
      <c r="N5" s="9">
        <f t="array" ref="N5">IFERROR(INDEX($F$2:$F$181,SMALL(_xlfn.IFS($G$2:$G$181&lt;$N$2,"",$G$2:$G$181&gt;$N$3,"",ISNUMBER($G$2:$G$181),ROW($A$1:$A$180)),ROW(A2))),"")</f>
        <v>29375000</v>
      </c>
      <c r="O5" s="9">
        <f t="array" ref="O5">IFERROR(INDEX($F$2:$F$181,SMALL(_xlfn.IFS($G$2:$G$181&lt;$O$2,"",$G$2:$G$181&gt;$O$3,"",ISNUMBER($G$2:$G$181),ROW($A$1:$A$180)),ROW(A2))),"")</f>
        <v>5000000</v>
      </c>
      <c r="P5" s="9">
        <f t="array" ref="P5">IFERROR(INDEX($F$2:$F$181,SMALL(_xlfn.IFS($G$2:$G$181&lt;$P$2,"",$G$2:$G$181&gt;$P$3,"",ISNUMBER($G$2:$G$181),ROW($A$1:$A$180)),ROW(A2))),"")</f>
        <v>7750000</v>
      </c>
      <c r="Q5" s="9">
        <f t="array" ref="Q5">IFERROR(INDEX($F$2:$F$181,SMALL(_xlfn.IFS($G$2:$G$181&lt;$Q$2,"",$G$2:$G$181&gt;$Q$3,"",ISNUMBER($G$2:$G$181),ROW($A$1:$A$180)),ROW(A2))),"")</f>
        <v>112500</v>
      </c>
      <c r="R5" s="9" t="str">
        <f t="array" ref="R5">IFERROR(INDEX($F$2:$F$181,SMALL(_xlfn.IFS($G$2:$G$181&lt;$R$2,"",$G$2:$G$181&gt;$R$3,"",ISNUMBER($G$2:$G$181),ROW($A$1:$A$180)),ROW(A2))),"")</f>
        <v/>
      </c>
      <c r="S5" s="10" t="str">
        <f t="array" ref="S5">IFERROR(INDEX($F$2:$F$181,SMALL(_xlfn.IFS($G$2:$G$181&lt;$S$2,"",$G$2:$G$181&gt;$S$3,"",ISNUMBER($G$2:$G$181),ROW($A$1:$A$180)),ROW(A2))),"")</f>
        <v/>
      </c>
      <c r="T5" s="5" t="str">
        <f t="array" ref="T5">IFERROR(INDEX($F$2:$F$181,SMALL(_xlfn.IFS($G$2:$G$181&lt;$T$2,"",$G$2:$G$181&gt;$T$3,"",ISNUMBER($G$2:$G$181),ROW($A$1:$A$180)),ROW(A2))),"")</f>
        <v/>
      </c>
      <c r="U5" s="5" t="str">
        <f t="array" ref="U5">IFERROR(INDEX($F$2:$F$181,SMALL(_xlfn.IFS($G$2:$G$181&lt;$U$2,"",$G$2:$G$181&gt;$U$3,"",ISNUMBER($G$2:$G$181),ROW($A$1:$A$180)),ROW(A2))),"")</f>
        <v/>
      </c>
    </row>
    <row r="6" spans="1:22" x14ac:dyDescent="0.3">
      <c r="A6" s="81"/>
      <c r="B6" s="84"/>
      <c r="C6" s="11" t="s">
        <v>2</v>
      </c>
      <c r="D6" s="11"/>
      <c r="E6" s="11"/>
      <c r="F6" s="73" t="e">
        <f t="shared" ref="F6" si="1">(AVERAGEIF(D6:E6,"&gt;0",D6:E6))*10^4*100/8</f>
        <v>#DIV/0!</v>
      </c>
      <c r="G6" s="7"/>
      <c r="H6" s="5" t="s">
        <v>12</v>
      </c>
      <c r="J6" s="39"/>
      <c r="K6" s="41" t="str">
        <f t="array" ref="K6">IFERROR(INDEX($I$2:$I$81,SMALL(IF(ISNUMBER($I$2:$I$81),ROW($A$1:$A$80),""),ROW(A5))),"")</f>
        <v/>
      </c>
      <c r="L6" s="41" t="str">
        <f t="array" ref="L6">IFERROR(INDEX($J$2:$J$81,SMALL(IF(ISNUMBER($J$2:$J$81),ROW($A$1:$A$80),""),ROW(A5))),"")</f>
        <v/>
      </c>
      <c r="M6" s="64"/>
      <c r="N6" s="9">
        <f t="array" ref="N6">IFERROR(INDEX($F$2:$F$181,SMALL(_xlfn.IFS($G$2:$G$181&lt;$N$2,"",$G$2:$G$181&gt;$N$3,"",ISNUMBER($G$2:$G$181),ROW($A$1:$A$180)),ROW(A3))),"")</f>
        <v>25000000</v>
      </c>
      <c r="O6" s="9">
        <f t="array" ref="O6">IFERROR(INDEX($F$2:$F$181,SMALL(_xlfn.IFS($G$2:$G$181&lt;$O$2,"",$G$2:$G$181&gt;$O$3,"",ISNUMBER($G$2:$G$181),ROW($A$1:$A$180)),ROW(A3))),"")</f>
        <v>8062500</v>
      </c>
      <c r="P6" s="9">
        <f t="array" ref="P6">IFERROR(INDEX($F$2:$F$181,SMALL(_xlfn.IFS($G$2:$G$181&lt;$P$2,"",$G$2:$G$181&gt;$P$3,"",ISNUMBER($G$2:$G$181),ROW($A$1:$A$180)),ROW(A3))),"")</f>
        <v>9812500</v>
      </c>
      <c r="Q6" s="9">
        <f t="array" ref="Q6">IFERROR(INDEX($F$2:$F$181,SMALL(_xlfn.IFS($G$2:$G$181&lt;$Q$2,"",$G$2:$G$181&gt;$Q$3,"",ISNUMBER($G$2:$G$181),ROW($A$1:$A$180)),ROW(A3))),"")</f>
        <v>650000</v>
      </c>
      <c r="R6" s="9" t="str">
        <f t="array" ref="R6">IFERROR(INDEX($F$2:$F$181,SMALL(_xlfn.IFS($G$2:$G$181&lt;$R$2,"",$G$2:$G$181&gt;$R$3,"",ISNUMBER($G$2:$G$181),ROW($A$1:$A$180)),ROW(A3))),"")</f>
        <v/>
      </c>
      <c r="S6" s="10" t="str">
        <f t="array" ref="S6">IFERROR(INDEX($F$2:$F$181,SMALL(_xlfn.IFS($G$2:$G$181&lt;$S$2,"",$G$2:$G$181&gt;$S$3,"",ISNUMBER($G$2:$G$181),ROW($A$1:$A$180)),ROW(A3))),"")</f>
        <v/>
      </c>
      <c r="T6" s="5" t="str">
        <f t="array" ref="T6">IFERROR(INDEX($F$2:$F$181,SMALL(_xlfn.IFS($G$2:$G$181&lt;$T$2,"",$G$2:$G$181&gt;$T$3,"",ISNUMBER($G$2:$G$181),ROW($A$1:$A$180)),ROW(A3))),"")</f>
        <v/>
      </c>
      <c r="U6" s="5" t="str">
        <f t="array" ref="U6">IFERROR(INDEX($F$2:$F$181,SMALL(_xlfn.IFS($G$2:$G$181&lt;$U$2,"",$G$2:$G$181&gt;$U$3,"",ISNUMBER($G$2:$G$181),ROW($A$1:$A$180)),ROW(A3))),"")</f>
        <v/>
      </c>
    </row>
    <row r="7" spans="1:22" ht="14.55" thickBot="1" x14ac:dyDescent="0.35">
      <c r="A7" s="81"/>
      <c r="B7" s="85"/>
      <c r="C7" s="12" t="s">
        <v>3</v>
      </c>
      <c r="D7" s="12">
        <v>22</v>
      </c>
      <c r="E7" s="12">
        <v>25</v>
      </c>
      <c r="F7" s="74">
        <f t="shared" ref="F7" si="2">(AVERAGEIF(D7:E7,"&gt;0",D7:E7))*10^5*100/8</f>
        <v>29375000</v>
      </c>
      <c r="G7" s="7">
        <v>1</v>
      </c>
      <c r="H7" s="5">
        <f t="array" ref="H7">IFERROR(INDEX($F$2:$F$181,SMALL(IF($G$2:$G$181=2,ROW($A$1:$A$163),""),ROW(A1))),"")</f>
        <v>3437500</v>
      </c>
      <c r="J7" s="39"/>
      <c r="K7" s="41" t="str">
        <f t="array" ref="K7">IFERROR(INDEX($I$2:$I$81,SMALL(IF(ISNUMBER($I$2:$I$81),ROW($A$1:$A$80),""),ROW(A6))),"")</f>
        <v/>
      </c>
      <c r="L7" s="41" t="str">
        <f t="array" ref="L7">IFERROR(INDEX($J$2:$J$81,SMALL(IF(ISNUMBER($J$2:$J$81),ROW($A$1:$A$80),""),ROW(A6))),"")</f>
        <v/>
      </c>
      <c r="M7" s="64"/>
      <c r="N7" s="9" t="str">
        <f t="array" ref="N7">IFERROR(INDEX($F$2:$F$181,SMALL(_xlfn.IFS($G$2:$G$181&lt;$N$2,"",$G$2:$G$181&gt;$N$3,"",ISNUMBER($G$2:$G$181),ROW($A$1:$A$180)),ROW(A4))),"")</f>
        <v/>
      </c>
      <c r="O7" s="9" t="str">
        <f t="array" ref="O7">IFERROR(INDEX($F$2:$F$181,SMALL(_xlfn.IFS($G$2:$G$181&lt;$O$2,"",$G$2:$G$181&gt;$O$3,"",ISNUMBER($G$2:$G$181),ROW($A$1:$A$180)),ROW(A4))),"")</f>
        <v/>
      </c>
      <c r="P7" s="9" t="str">
        <f t="array" ref="P7">IFERROR(INDEX($F$2:$F$181,SMALL(_xlfn.IFS($G$2:$G$181&lt;$P$2,"",$G$2:$G$181&gt;$P$3,"",ISNUMBER($G$2:$G$181),ROW($A$1:$A$180)),ROW(A4))),"")</f>
        <v/>
      </c>
      <c r="Q7" s="9" t="str">
        <f t="array" ref="Q7">IFERROR(INDEX($F$2:$F$181,SMALL(_xlfn.IFS($G$2:$G$181&lt;$Q$2,"",$G$2:$G$181&gt;$Q$3,"",ISNUMBER($G$2:$G$181),ROW($A$1:$A$180)),ROW(A4))),"")</f>
        <v/>
      </c>
      <c r="R7" s="9" t="str">
        <f t="array" ref="R7">IFERROR(INDEX($F$2:$F$181,SMALL(_xlfn.IFS($G$2:$G$181&lt;$R$2,"",$G$2:$G$181&gt;$R$3,"",ISNUMBER($G$2:$G$181),ROW($A$1:$A$180)),ROW(A4))),"")</f>
        <v/>
      </c>
      <c r="S7" s="10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</row>
    <row r="8" spans="1:22" ht="14.55" thickTop="1" x14ac:dyDescent="0.3">
      <c r="A8" s="81"/>
      <c r="B8" s="86">
        <v>3</v>
      </c>
      <c r="C8" s="8" t="s">
        <v>4</v>
      </c>
      <c r="D8" s="59"/>
      <c r="E8" s="59"/>
      <c r="F8" s="72" t="e">
        <f t="shared" ref="F8" si="3">(AVERAGEIF(D8:E8,"&gt;0",D8:E8))*10^3*100/8</f>
        <v>#DIV/0!</v>
      </c>
      <c r="G8" s="7"/>
      <c r="H8" s="5">
        <f t="array" ref="H8">IFERROR(INDEX($F$2:$F$181,SMALL(IF($G$2:$G$181=2,ROW($A$1:$A$163),""),ROW(A2))),"")</f>
        <v>5000000</v>
      </c>
      <c r="J8" s="39"/>
      <c r="K8" s="41" t="str">
        <f t="array" ref="K8">IFERROR(INDEX($I$2:$I$81,SMALL(IF(ISNUMBER($I$2:$I$81),ROW($A$1:$A$80),""),ROW(A7))),"")</f>
        <v/>
      </c>
      <c r="L8" s="41" t="str">
        <f t="array" ref="L8">IFERROR(INDEX($J$2:$J$81,SMALL(IF(ISNUMBER($J$2:$J$81),ROW($A$1:$A$80),""),ROW(A7))),"")</f>
        <v/>
      </c>
      <c r="M8" s="64"/>
      <c r="N8" s="9" t="str">
        <f t="array" ref="N8">IFERROR(INDEX($F$2:$F$181,SMALL(_xlfn.IFS($G$2:$G$181&lt;$N$2,"",$G$2:$G$181&gt;$N$3,"",ISNUMBER($G$2:$G$181),ROW($A$1:$A$180)),ROW(A5))),"")</f>
        <v/>
      </c>
      <c r="O8" s="9" t="str">
        <f t="array" ref="O8">IFERROR(INDEX($F$2:$F$181,SMALL(_xlfn.IFS($G$2:$G$181&lt;$O$2,"",$G$2:$G$181&gt;$O$3,"",ISNUMBER($G$2:$G$181),ROW($A$1:$A$180)),ROW(A5))),"")</f>
        <v/>
      </c>
      <c r="P8" s="9" t="str">
        <f t="array" ref="P8">IFERROR(INDEX($F$2:$F$181,SMALL(_xlfn.IFS($G$2:$G$181&lt;$P$2,"",$G$2:$G$181&gt;$P$3,"",ISNUMBER($G$2:$G$181),ROW($A$1:$A$180)),ROW(A5))),"")</f>
        <v/>
      </c>
      <c r="Q8" s="9" t="str">
        <f t="array" ref="Q8">IFERROR(INDEX($F$2:$F$181,SMALL(_xlfn.IFS($G$2:$G$181&lt;$Q$2,"",$G$2:$G$181&gt;$Q$3,"",ISNUMBER($G$2:$G$181),ROW($A$1:$A$180)),ROW(A5))),"")</f>
        <v/>
      </c>
      <c r="R8" s="9" t="str">
        <f t="array" ref="R8">IFERROR(INDEX($F$2:$F$181,SMALL(_xlfn.IFS($G$2:$G$181&lt;$R$2,"",$G$2:$G$181&gt;$R$3,"",ISNUMBER($G$2:$G$181),ROW($A$1:$A$180)),ROW(A5))),"")</f>
        <v/>
      </c>
      <c r="S8" s="10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</row>
    <row r="9" spans="1:22" x14ac:dyDescent="0.3">
      <c r="A9" s="81"/>
      <c r="B9" s="84"/>
      <c r="C9" s="11" t="s">
        <v>2</v>
      </c>
      <c r="D9" s="11"/>
      <c r="E9" s="11"/>
      <c r="F9" s="73" t="e">
        <f t="shared" ref="F9" si="4">(AVERAGEIF(D9:E9,"&gt;0",D9:E9))*10^4*100/8</f>
        <v>#DIV/0!</v>
      </c>
      <c r="G9" s="7"/>
      <c r="H9" s="5">
        <f t="array" ref="H9">IFERROR(INDEX($F$2:$F$181,SMALL(IF($G$2:$G$181=2,ROW($A$1:$A$163),""),ROW(A3))),"")</f>
        <v>8062500</v>
      </c>
      <c r="I9" s="5">
        <f>AVERAGE(H7:H9)</f>
        <v>5500000</v>
      </c>
      <c r="J9" s="39">
        <f>STDEV(H7:H9)</f>
        <v>2352691.278089839</v>
      </c>
      <c r="K9" s="41" t="str">
        <f t="array" ref="K9">IFERROR(INDEX($I$2:$I$81,SMALL(IF(ISNUMBER($I$2:$I$81),ROW($A$1:$A$80),""),ROW(A8))),"")</f>
        <v/>
      </c>
      <c r="L9" s="41" t="str">
        <f t="array" ref="L9">IFERROR(INDEX($J$2:$J$81,SMALL(IF(ISNUMBER($J$2:$J$81),ROW($A$1:$A$80),""),ROW(A8))),"")</f>
        <v/>
      </c>
      <c r="M9" s="64"/>
      <c r="N9" s="9" t="str">
        <f t="array" ref="N9">IFERROR(INDEX($F$2:$F$181,SMALL(_xlfn.IFS($G$2:$G$181&lt;$N$2,"",$G$2:$G$181&gt;$N$3,"",ISNUMBER($G$2:$G$181),ROW($A$1:$A$180)),ROW(A6))),"")</f>
        <v/>
      </c>
      <c r="O9" s="9" t="str">
        <f t="array" ref="O9">IFERROR(INDEX($F$2:$F$181,SMALL(_xlfn.IFS($G$2:$G$181&lt;$O$2,"",$G$2:$G$181&gt;$O$3,"",ISNUMBER($G$2:$G$181),ROW($A$1:$A$180)),ROW(A6))),"")</f>
        <v/>
      </c>
      <c r="P9" s="9" t="str">
        <f t="array" ref="P9">IFERROR(INDEX($F$2:$F$181,SMALL(_xlfn.IFS($G$2:$G$181&lt;$P$2,"",$G$2:$G$181&gt;$P$3,"",ISNUMBER($G$2:$G$181),ROW($A$1:$A$180)),ROW(A6))),"")</f>
        <v/>
      </c>
      <c r="Q9" s="9" t="str">
        <f t="array" ref="Q9">IFERROR(INDEX($F$2:$F$181,SMALL(_xlfn.IFS($G$2:$G$181&lt;$Q$2,"",$G$2:$G$181&gt;$Q$3,"",ISNUMBER($G$2:$G$181),ROW($A$1:$A$180)),ROW(A6))),"")</f>
        <v/>
      </c>
      <c r="R9" s="9" t="str">
        <f t="array" ref="R9">IFERROR(INDEX($F$2:$F$181,SMALL(_xlfn.IFS($G$2:$G$181&lt;$R$2,"",$G$2:$G$181&gt;$R$3,"",ISNUMBER($G$2:$G$181),ROW($A$1:$A$180)),ROW(A6))),"")</f>
        <v/>
      </c>
      <c r="S9" s="10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</row>
    <row r="10" spans="1:22" ht="14.55" thickBot="1" x14ac:dyDescent="0.35">
      <c r="A10" s="82"/>
      <c r="B10" s="87"/>
      <c r="C10" s="35" t="s">
        <v>3</v>
      </c>
      <c r="D10" s="35">
        <v>20</v>
      </c>
      <c r="E10" s="35">
        <v>20</v>
      </c>
      <c r="F10" s="74">
        <f t="shared" ref="F10" si="5">(AVERAGEIF(D10:E10,"&gt;0",D10:E10))*10^5*100/8</f>
        <v>25000000</v>
      </c>
      <c r="G10" s="7">
        <v>1</v>
      </c>
      <c r="H10" s="5" t="s">
        <v>13</v>
      </c>
      <c r="J10" s="39"/>
      <c r="K10" s="41" t="str">
        <f t="array" ref="K10">IFERROR(INDEX($I$2:$I$81,SMALL(IF(ISNUMBER($I$2:$I$81),ROW($A$1:$A$80),""),ROW(A9))),"")</f>
        <v/>
      </c>
      <c r="L10" s="41" t="str">
        <f t="array" ref="L10">IFERROR(INDEX($J$2:$J$81,SMALL(IF(ISNUMBER($J$2:$J$81),ROW($A$1:$A$80),""),ROW(A9))),"")</f>
        <v/>
      </c>
      <c r="M10" s="64"/>
      <c r="N10" s="9" t="str">
        <f t="array" ref="N10">IFERROR(INDEX($F$2:$F$181,SMALL(_xlfn.IFS($G$2:$G$181&lt;$N$2,"",$G$2:$G$181&gt;$N$3,"",ISNUMBER($G$2:$G$181),ROW($A$1:$A$180)),ROW(A7))),"")</f>
        <v/>
      </c>
      <c r="O10" s="9" t="str">
        <f t="array" ref="O10">IFERROR(INDEX($F$2:$F$181,SMALL(_xlfn.IFS($G$2:$G$181&lt;$O$2,"",$G$2:$G$181&gt;$O$3,"",ISNUMBER($G$2:$G$181),ROW($A$1:$A$180)),ROW(A7))),"")</f>
        <v/>
      </c>
      <c r="P10" s="9" t="str">
        <f t="array" ref="P10">IFERROR(INDEX($F$2:$F$181,SMALL(_xlfn.IFS($G$2:$G$181&lt;$P$2,"",$G$2:$G$181&gt;$P$3,"",ISNUMBER($G$2:$G$181),ROW($A$1:$A$180)),ROW(A7))),"")</f>
        <v/>
      </c>
      <c r="Q10" s="9" t="str">
        <f t="array" ref="Q10">IFERROR(INDEX($F$2:$F$181,SMALL(_xlfn.IFS($G$2:$G$181&lt;$Q$2,"",$G$2:$G$181&gt;$Q$3,"",ISNUMBER($G$2:$G$181),ROW($A$1:$A$180)),ROW(A7))),"")</f>
        <v/>
      </c>
      <c r="R10" s="9" t="str">
        <f t="array" ref="R10">IFERROR(INDEX($F$2:$F$181,SMALL(_xlfn.IFS($G$2:$G$181&lt;$R$2,"",$G$2:$G$181&gt;$R$3,"",ISNUMBER($G$2:$G$181),ROW($A$1:$A$180)),ROW(A7))),"")</f>
        <v/>
      </c>
      <c r="S10" s="10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</row>
    <row r="11" spans="1:22" ht="16.55" customHeight="1" thickTop="1" x14ac:dyDescent="0.3">
      <c r="A11" s="80" t="s">
        <v>66</v>
      </c>
      <c r="B11" s="83">
        <v>1</v>
      </c>
      <c r="C11" s="30" t="s">
        <v>4</v>
      </c>
      <c r="D11" s="30"/>
      <c r="E11" s="30"/>
      <c r="F11" s="31" t="e">
        <f t="shared" ref="F11" si="6">(AVERAGEIF(D11:E11,"&gt;0",D11:E11))*10^3*100/8</f>
        <v>#DIV/0!</v>
      </c>
      <c r="G11" s="7"/>
      <c r="H11" s="5">
        <f t="array" ref="H11">IFERROR(INDEX($F$2:$F$181,SMALL(IF($G$2:$G$181=3,ROW($A$1:$A$163),""),ROW(A1))),"")</f>
        <v>10687500</v>
      </c>
      <c r="J11" s="39"/>
      <c r="K11" s="41" t="str">
        <f t="array" ref="K11">IFERROR(INDEX($I$2:$I$81,SMALL(IF(ISNUMBER($I$2:$I$81),ROW($A$1:$A$80),""),ROW(A10))),"")</f>
        <v/>
      </c>
      <c r="L11" s="41" t="str">
        <f t="array" ref="L11">IFERROR(INDEX($J$2:$J$81,SMALL(IF(ISNUMBER($J$2:$J$81),ROW($A$1:$A$80),""),ROW(A10))),"")</f>
        <v/>
      </c>
      <c r="M11" s="64"/>
      <c r="N11" s="9" t="str">
        <f t="array" ref="N11">IFERROR(INDEX($F$2:$F$181,SMALL(_xlfn.IFS($G$2:$G$181&lt;$N$2,"",$G$2:$G$181&gt;$N$3,"",ISNUMBER($G$2:$G$181),ROW($A$1:$A$180)),ROW(A8))),"")</f>
        <v/>
      </c>
      <c r="O11" s="9" t="str">
        <f t="array" ref="O11">IFERROR(INDEX($F$2:$F$181,SMALL(_xlfn.IFS($G$2:$G$181&lt;$O$2,"",$G$2:$G$181&gt;$O$3,"",ISNUMBER($G$2:$G$181),ROW($A$1:$A$180)),ROW(A8))),"")</f>
        <v/>
      </c>
      <c r="P11" s="9" t="str">
        <f t="array" ref="P11">IFERROR(INDEX($F$2:$F$181,SMALL(_xlfn.IFS($G$2:$G$181&lt;$P$2,"",$G$2:$G$181&gt;$P$3,"",ISNUMBER($G$2:$G$181),ROW($A$1:$A$180)),ROW(A8))),"")</f>
        <v/>
      </c>
      <c r="Q11" s="9" t="str">
        <f t="array" ref="Q11">IFERROR(INDEX($F$2:$F$181,SMALL(_xlfn.IFS($G$2:$G$181&lt;$Q$2,"",$G$2:$G$181&gt;$Q$3,"",ISNUMBER($G$2:$G$181),ROW($A$1:$A$180)),ROW(A8))),"")</f>
        <v/>
      </c>
      <c r="R11" s="9" t="str">
        <f t="array" ref="R11">IFERROR(INDEX($F$2:$F$181,SMALL(_xlfn.IFS($G$2:$G$181&lt;$R$2,"",$G$2:$G$181&gt;$R$3,"",ISNUMBER($G$2:$G$181),ROW($A$1:$A$180)),ROW(A8))),"")</f>
        <v/>
      </c>
      <c r="S11" s="10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</row>
    <row r="12" spans="1:22" x14ac:dyDescent="0.3">
      <c r="A12" s="81"/>
      <c r="B12" s="84"/>
      <c r="C12" s="11" t="s">
        <v>2</v>
      </c>
      <c r="D12" s="11">
        <v>31</v>
      </c>
      <c r="E12" s="11">
        <v>24</v>
      </c>
      <c r="F12" s="32">
        <f t="shared" ref="F12" si="7">(AVERAGEIF(D12:E12,"&gt;0",D12:E12))*10^4*100/8</f>
        <v>3437500</v>
      </c>
      <c r="G12" s="7">
        <v>2</v>
      </c>
      <c r="H12" s="5">
        <f t="array" ref="H12">IFERROR(INDEX($F$2:$F$181,SMALL(IF($G$2:$G$181=3,ROW($A$1:$A$163),""),ROW(A2))),"")</f>
        <v>7750000</v>
      </c>
      <c r="J12" s="39"/>
      <c r="K12" s="41" t="str">
        <f t="array" ref="K12">IFERROR(INDEX($I$2:$I$81,SMALL(IF(ISNUMBER($I$2:$I$81),ROW($A$1:$A$80),""),ROW(A11))),"")</f>
        <v/>
      </c>
      <c r="L12" s="41" t="str">
        <f t="array" ref="L12">IFERROR(INDEX($J$2:$J$81,SMALL(IF(ISNUMBER($J$2:$J$81),ROW($A$1:$A$80),""),ROW(A11))),"")</f>
        <v/>
      </c>
      <c r="M12" s="64"/>
      <c r="N12" s="9" t="str">
        <f t="array" ref="N12">IFERROR(INDEX($F$2:$F$181,SMALL(_xlfn.IFS($G$2:$G$181&lt;$N$2,"",$G$2:$G$181&gt;$N$3,"",ISNUMBER($G$2:$G$181),ROW($A$1:$A$180)),ROW(A9))),"")</f>
        <v/>
      </c>
      <c r="O12" s="9" t="str">
        <f t="array" ref="O12">IFERROR(INDEX($F$2:$F$181,SMALL(_xlfn.IFS($G$2:$G$181&lt;$O$2,"",$G$2:$G$181&gt;$O$3,"",ISNUMBER($G$2:$G$181),ROW($A$1:$A$180)),ROW(A9))),"")</f>
        <v/>
      </c>
      <c r="P12" s="9" t="str">
        <f t="array" ref="P12">IFERROR(INDEX($F$2:$F$181,SMALL(_xlfn.IFS($G$2:$G$181&lt;$P$2,"",$G$2:$G$181&gt;$P$3,"",ISNUMBER($G$2:$G$181),ROW($A$1:$A$180)),ROW(A9))),"")</f>
        <v/>
      </c>
      <c r="Q12" s="9" t="str">
        <f t="array" ref="Q12">IFERROR(INDEX($F$2:$F$181,SMALL(_xlfn.IFS($G$2:$G$181&lt;$Q$2,"",$G$2:$G$181&gt;$Q$3,"",ISNUMBER($G$2:$G$181),ROW($A$1:$A$180)),ROW(A9))),"")</f>
        <v/>
      </c>
      <c r="R12" s="9" t="str">
        <f t="array" ref="R12">IFERROR(INDEX($F$2:$F$181,SMALL(_xlfn.IFS($G$2:$G$181&lt;$R$2,"",$G$2:$G$181&gt;$R$3,"",ISNUMBER($G$2:$G$181),ROW($A$1:$A$180)),ROW(A9))),"")</f>
        <v/>
      </c>
      <c r="S12" s="10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</row>
    <row r="13" spans="1:22" ht="14.55" thickBot="1" x14ac:dyDescent="0.35">
      <c r="A13" s="81"/>
      <c r="B13" s="85"/>
      <c r="C13" s="12" t="s">
        <v>3</v>
      </c>
      <c r="D13" s="12">
        <v>0</v>
      </c>
      <c r="E13" s="12">
        <v>3</v>
      </c>
      <c r="F13" s="33">
        <f t="shared" ref="F13" si="8">(AVERAGEIF(D13:E13,"&gt;0",D13:E13))*10^5*100/8</f>
        <v>3750000</v>
      </c>
      <c r="G13" s="7"/>
      <c r="H13" s="5">
        <f t="array" ref="H13">IFERROR(INDEX($F$2:$F$181,SMALL(IF($G$2:$G$181=3,ROW($A$1:$A$163),""),ROW(A3))),"")</f>
        <v>9812500</v>
      </c>
      <c r="I13" s="5">
        <f>AVERAGE(H11:H13)</f>
        <v>9416666.666666666</v>
      </c>
      <c r="J13" s="39">
        <f>STDEV(H11:H13)</f>
        <v>1508223.9831448537</v>
      </c>
      <c r="K13" s="41" t="str">
        <f t="array" ref="K13">IFERROR(INDEX($I$2:$I$81,SMALL(IF(ISNUMBER($I$2:$I$81),ROW($A$1:$A$80),""),ROW(A12))),"")</f>
        <v/>
      </c>
      <c r="L13" s="41" t="str">
        <f t="array" ref="L13">IFERROR(INDEX($J$2:$J$81,SMALL(IF(ISNUMBER($J$2:$J$81),ROW($A$1:$A$80),""),ROW(A12))),"")</f>
        <v/>
      </c>
      <c r="M13" s="64"/>
      <c r="N13" s="9" t="str">
        <f t="array" ref="N13">IFERROR(INDEX($F$2:$F$181,SMALL(_xlfn.IFS($G$2:$G$181&lt;$N$2,"",$G$2:$G$181&gt;$N$3,"",ISNUMBER($G$2:$G$181),ROW($A$1:$A$180)),ROW(A10))),"")</f>
        <v/>
      </c>
      <c r="O13" s="9" t="str">
        <f t="array" ref="O13">IFERROR(INDEX($F$2:$F$181,SMALL(_xlfn.IFS($G$2:$G$181&lt;$O$2,"",$G$2:$G$181&gt;$O$3,"",ISNUMBER($G$2:$G$181),ROW($A$1:$A$180)),ROW(A10))),"")</f>
        <v/>
      </c>
      <c r="P13" s="9" t="str">
        <f t="array" ref="P13">IFERROR(INDEX($F$2:$F$181,SMALL(_xlfn.IFS($G$2:$G$181&lt;$P$2,"",$G$2:$G$181&gt;$P$3,"",ISNUMBER($G$2:$G$181),ROW($A$1:$A$180)),ROW(A10))),"")</f>
        <v/>
      </c>
      <c r="Q13" s="9" t="str">
        <f t="array" ref="Q13">IFERROR(INDEX($F$2:$F$181,SMALL(_xlfn.IFS($G$2:$G$181&lt;$Q$2,"",$G$2:$G$181&gt;$Q$3,"",ISNUMBER($G$2:$G$181),ROW($A$1:$A$180)),ROW(A10))),"")</f>
        <v/>
      </c>
      <c r="R13" s="9" t="str">
        <f t="array" ref="R13">IFERROR(INDEX($F$2:$F$181,SMALL(_xlfn.IFS($G$2:$G$181&lt;$R$2,"",$G$2:$G$181&gt;$R$3,"",ISNUMBER($G$2:$G$181),ROW($A$1:$A$180)),ROW(A10))),"")</f>
        <v/>
      </c>
      <c r="S13" s="10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</row>
    <row r="14" spans="1:22" x14ac:dyDescent="0.3">
      <c r="A14" s="81"/>
      <c r="B14" s="86">
        <v>2</v>
      </c>
      <c r="C14" s="8" t="s">
        <v>4</v>
      </c>
      <c r="D14" s="8"/>
      <c r="E14" s="8"/>
      <c r="F14" s="34" t="e">
        <f t="shared" ref="F14" si="9">(AVERAGEIF(D14:E14,"&gt;0",D14:E14))*10^3*100/8</f>
        <v>#DIV/0!</v>
      </c>
      <c r="G14" s="7"/>
      <c r="H14" s="5" t="s">
        <v>14</v>
      </c>
      <c r="J14" s="40"/>
      <c r="K14" s="41" t="str">
        <f t="array" ref="K14">IFERROR(INDEX($I$2:$I$81,SMALL(IF(ISNUMBER($I$2:$I$81),ROW($A$1:$A$80),""),ROW(A13))),"")</f>
        <v/>
      </c>
      <c r="L14" s="41" t="str">
        <f t="array" ref="L14">IFERROR(INDEX($J$2:$J$81,SMALL(IF(ISNUMBER($J$2:$J$81),ROW($A$1:$A$80),""),ROW(A13))),"")</f>
        <v/>
      </c>
      <c r="M14" s="64"/>
      <c r="N14" s="9" t="str">
        <f t="array" ref="N14">IFERROR(INDEX($F$2:$F$181,SMALL(_xlfn.IFS($G$2:$G$181&lt;$N$2,"",$G$2:$G$181&gt;$N$3,"",ISNUMBER($G$2:$G$181),ROW($A$1:$A$180)),ROW(A11))),"")</f>
        <v/>
      </c>
      <c r="O14" s="9" t="str">
        <f t="array" ref="O14">IFERROR(INDEX($F$2:$F$181,SMALL(_xlfn.IFS($G$2:$G$181&lt;$O$2,"",$G$2:$G$181&gt;$O$3,"",ISNUMBER($G$2:$G$181),ROW($A$1:$A$180)),ROW(A11))),"")</f>
        <v/>
      </c>
      <c r="P14" s="9" t="str">
        <f t="array" ref="P14">IFERROR(INDEX($F$2:$F$181,SMALL(_xlfn.IFS($G$2:$G$181&lt;$P$2,"",$G$2:$G$181&gt;$P$3,"",ISNUMBER($G$2:$G$181),ROW($A$1:$A$180)),ROW(A11))),"")</f>
        <v/>
      </c>
      <c r="Q14" s="9" t="str">
        <f t="array" ref="Q14">IFERROR(INDEX($F$2:$F$181,SMALL(_xlfn.IFS($G$2:$G$181&lt;$Q$2,"",$G$2:$G$181&gt;$Q$3,"",ISNUMBER($G$2:$G$181),ROW($A$1:$A$180)),ROW(A11))),"")</f>
        <v/>
      </c>
      <c r="R14" s="9" t="str">
        <f t="array" ref="R14">IFERROR(INDEX($F$2:$F$181,SMALL(_xlfn.IFS($G$2:$G$181&lt;$R$2,"",$G$2:$G$181&gt;$R$3,"",ISNUMBER($G$2:$G$181),ROW($A$1:$A$180)),ROW(A11))),"")</f>
        <v/>
      </c>
      <c r="S14" s="10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</row>
    <row r="15" spans="1:22" x14ac:dyDescent="0.3">
      <c r="A15" s="81"/>
      <c r="B15" s="84"/>
      <c r="C15" s="11" t="s">
        <v>2</v>
      </c>
      <c r="D15" s="11">
        <v>42</v>
      </c>
      <c r="E15" s="11">
        <v>38</v>
      </c>
      <c r="F15" s="32">
        <f t="shared" ref="F15" si="10">(AVERAGEIF(D15:E15,"&gt;0",D15:E15))*10^4*100/8</f>
        <v>5000000</v>
      </c>
      <c r="G15" s="7">
        <v>2</v>
      </c>
      <c r="H15" s="5">
        <f t="array" ref="H15">IFERROR(INDEX($F$2:$F$181,SMALL(IF($G$2:$G$181=4,ROW($A$1:$A$163),""),ROW(A1))),"")</f>
        <v>412500</v>
      </c>
      <c r="J15" s="40"/>
      <c r="K15" s="41" t="str">
        <f t="array" ref="K15">IFERROR(INDEX($I$2:$I$81,SMALL(IF(ISNUMBER($I$2:$I$81),ROW($A$1:$A$80),""),ROW(A14))),"")</f>
        <v/>
      </c>
      <c r="L15" s="41" t="str">
        <f t="array" ref="L15">IFERROR(INDEX($J$2:$J$81,SMALL(IF(ISNUMBER($J$2:$J$81),ROW($A$1:$A$80),""),ROW(A14))),"")</f>
        <v/>
      </c>
      <c r="M15" s="64"/>
      <c r="N15" s="9" t="str">
        <f t="array" ref="N15">IFERROR(INDEX($F$2:$F$181,SMALL(_xlfn.IFS($G$2:$G$181&lt;$N$2,"",$G$2:$G$181&gt;$N$3,"",ISNUMBER($G$2:$G$181),ROW($A$1:$A$180)),ROW(A12))),"")</f>
        <v/>
      </c>
      <c r="O15" s="9" t="str">
        <f t="array" ref="O15">IFERROR(INDEX($F$2:$F$181,SMALL(_xlfn.IFS($G$2:$G$181&lt;$O$2,"",$G$2:$G$181&gt;$O$3,"",ISNUMBER($G$2:$G$181),ROW($A$1:$A$180)),ROW(A12))),"")</f>
        <v/>
      </c>
      <c r="P15" s="9" t="str">
        <f t="array" ref="P15">IFERROR(INDEX($F$2:$F$181,SMALL(_xlfn.IFS($G$2:$G$181&lt;$P$2,"",$G$2:$G$181&gt;$P$3,"",ISNUMBER($G$2:$G$181),ROW($A$1:$A$180)),ROW(A12))),"")</f>
        <v/>
      </c>
      <c r="Q15" s="9" t="str">
        <f t="array" ref="Q15">IFERROR(INDEX($F$2:$F$181,SMALL(_xlfn.IFS($G$2:$G$181&lt;$Q$2,"",$G$2:$G$181&gt;$Q$3,"",ISNUMBER($G$2:$G$181),ROW($A$1:$A$180)),ROW(A12))),"")</f>
        <v/>
      </c>
      <c r="R15" s="9" t="str">
        <f t="array" ref="R15">IFERROR(INDEX($F$2:$F$181,SMALL(_xlfn.IFS($G$2:$G$181&lt;$R$2,"",$G$2:$G$181&gt;$R$3,"",ISNUMBER($G$2:$G$181),ROW($A$1:$A$180)),ROW(A12))),"")</f>
        <v/>
      </c>
      <c r="S15" s="10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</row>
    <row r="16" spans="1:22" ht="14.55" thickBot="1" x14ac:dyDescent="0.35">
      <c r="A16" s="81"/>
      <c r="B16" s="85"/>
      <c r="C16" s="12" t="s">
        <v>3</v>
      </c>
      <c r="D16" s="12">
        <v>3</v>
      </c>
      <c r="E16" s="12">
        <v>4</v>
      </c>
      <c r="F16" s="33">
        <f t="shared" ref="F16" si="11">(AVERAGEIF(D16:E16,"&gt;0",D16:E16))*10^5*100/8</f>
        <v>4375000</v>
      </c>
      <c r="G16" s="7"/>
      <c r="H16" s="5">
        <f t="array" ref="H16">IFERROR(INDEX($F$2:$F$181,SMALL(IF($G$2:$G$181=4,ROW($A$1:$A$163),""),ROW(A2))),"")</f>
        <v>112500</v>
      </c>
      <c r="J16" s="40"/>
      <c r="K16" s="41" t="str">
        <f t="array" ref="K16">IFERROR(INDEX($I$2:$I$81,SMALL(IF(ISNUMBER($I$2:$I$81),ROW($A$1:$A$80),""),ROW(A15))),"")</f>
        <v/>
      </c>
      <c r="L16" s="41" t="str">
        <f t="array" ref="L16">IFERROR(INDEX($J$2:$J$81,SMALL(IF(ISNUMBER($J$2:$J$81),ROW($A$1:$A$80),""),ROW(A15))),"")</f>
        <v/>
      </c>
      <c r="M16" s="64"/>
      <c r="N16" s="9" t="str">
        <f t="array" ref="N16">IFERROR(INDEX($F$2:$F$181,SMALL(_xlfn.IFS($G$2:$G$181&lt;$N$2,"",$G$2:$G$181&gt;$N$3,"",ISNUMBER($G$2:$G$181),ROW($A$1:$A$180)),ROW(A13))),"")</f>
        <v/>
      </c>
      <c r="O16" s="9" t="str">
        <f t="array" ref="O16">IFERROR(INDEX($F$2:$F$181,SMALL(_xlfn.IFS($G$2:$G$181&lt;$O$2,"",$G$2:$G$181&gt;$O$3,"",ISNUMBER($G$2:$G$181),ROW($A$1:$A$180)),ROW(A13))),"")</f>
        <v/>
      </c>
      <c r="P16" s="9" t="str">
        <f t="array" ref="P16">IFERROR(INDEX($F$2:$F$181,SMALL(_xlfn.IFS($G$2:$G$181&lt;$P$2,"",$G$2:$G$181&gt;$P$3,"",ISNUMBER($G$2:$G$181),ROW($A$1:$A$180)),ROW(A13))),"")</f>
        <v/>
      </c>
      <c r="Q16" s="9" t="str">
        <f t="array" ref="Q16">IFERROR(INDEX($F$2:$F$181,SMALL(_xlfn.IFS($G$2:$G$181&lt;$Q$2,"",$G$2:$G$181&gt;$Q$3,"",ISNUMBER($G$2:$G$181),ROW($A$1:$A$180)),ROW(A13))),"")</f>
        <v/>
      </c>
      <c r="R16" s="9" t="str">
        <f t="array" ref="R16">IFERROR(INDEX($F$2:$F$181,SMALL(_xlfn.IFS($G$2:$G$181&lt;$R$2,"",$G$2:$G$181&gt;$R$3,"",ISNUMBER($G$2:$G$181),ROW($A$1:$A$180)),ROW(A13))),"")</f>
        <v/>
      </c>
      <c r="S16" s="10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</row>
    <row r="17" spans="1:21" x14ac:dyDescent="0.3">
      <c r="A17" s="81"/>
      <c r="B17" s="86">
        <v>3</v>
      </c>
      <c r="C17" s="8" t="s">
        <v>4</v>
      </c>
      <c r="D17" s="8"/>
      <c r="E17" s="8"/>
      <c r="F17" s="34" t="e">
        <f t="shared" ref="F17" si="12">(AVERAGEIF(D17:E17,"&gt;0",D17:E17))*10^3*100/8</f>
        <v>#DIV/0!</v>
      </c>
      <c r="G17" s="7"/>
      <c r="H17" s="5">
        <f t="array" ref="H17">IFERROR(INDEX($F$2:$F$181,SMALL(IF($G$2:$G$181=4,ROW($A$1:$A$163),""),ROW(A3))),"")</f>
        <v>650000</v>
      </c>
      <c r="I17" s="5">
        <f>AVERAGE(H15:H17)</f>
        <v>391666.66666666669</v>
      </c>
      <c r="J17" s="39">
        <f>STDEV(H15:H17)</f>
        <v>269354.93931489979</v>
      </c>
      <c r="K17" s="41" t="str">
        <f t="array" ref="K17">IFERROR(INDEX($I$2:$I$81,SMALL(IF(ISNUMBER($I$2:$I$81),ROW($A$1:$A$80),""),ROW(A16))),"")</f>
        <v/>
      </c>
      <c r="L17" s="41" t="str">
        <f t="array" ref="L17">IFERROR(INDEX($J$2:$J$81,SMALL(IF(ISNUMBER($J$2:$J$81),ROW($A$1:$A$80),""),ROW(A16))),"")</f>
        <v/>
      </c>
      <c r="M17" s="64"/>
      <c r="N17" s="9" t="str">
        <f t="array" ref="N17">IFERROR(INDEX($F$2:$F$181,SMALL(_xlfn.IFS($G$2:$G$181&lt;$N$2,"",$G$2:$G$181&gt;$N$3,"",ISNUMBER($G$2:$G$181),ROW($A$1:$A$180)),ROW(A14))),"")</f>
        <v/>
      </c>
      <c r="O17" s="9" t="str">
        <f t="array" ref="O17">IFERROR(INDEX($F$2:$F$181,SMALL(_xlfn.IFS($G$2:$G$181&lt;$O$2,"",$G$2:$G$181&gt;$O$3,"",ISNUMBER($G$2:$G$181),ROW($A$1:$A$180)),ROW(A14))),"")</f>
        <v/>
      </c>
      <c r="P17" s="9" t="str">
        <f t="array" ref="P17">IFERROR(INDEX($F$2:$F$181,SMALL(_xlfn.IFS($G$2:$G$181&lt;$P$2,"",$G$2:$G$181&gt;$P$3,"",ISNUMBER($G$2:$G$181),ROW($A$1:$A$180)),ROW(A14))),"")</f>
        <v/>
      </c>
      <c r="Q17" s="9" t="str">
        <f t="array" ref="Q17">IFERROR(INDEX($F$2:$F$181,SMALL(_xlfn.IFS($G$2:$G$181&lt;$Q$2,"",$G$2:$G$181&gt;$Q$3,"",ISNUMBER($G$2:$G$181),ROW($A$1:$A$180)),ROW(A14))),"")</f>
        <v/>
      </c>
      <c r="R17" s="9" t="str">
        <f t="array" ref="R17">IFERROR(INDEX($F$2:$F$181,SMALL(_xlfn.IFS($G$2:$G$181&lt;$R$2,"",$G$2:$G$181&gt;$R$3,"",ISNUMBER($G$2:$G$181),ROW($A$1:$A$180)),ROW(A14))),"")</f>
        <v/>
      </c>
      <c r="S17" s="10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</row>
    <row r="18" spans="1:21" x14ac:dyDescent="0.3">
      <c r="A18" s="81"/>
      <c r="B18" s="84"/>
      <c r="C18" s="11" t="s">
        <v>2</v>
      </c>
      <c r="D18" s="11">
        <v>63</v>
      </c>
      <c r="E18" s="11">
        <v>66</v>
      </c>
      <c r="F18" s="32">
        <f t="shared" ref="F18" si="13">(AVERAGEIF(D18:E18,"&gt;0",D18:E18))*10^4*100/8</f>
        <v>8062500</v>
      </c>
      <c r="G18" s="7">
        <v>2</v>
      </c>
      <c r="H18" s="5" t="s">
        <v>15</v>
      </c>
      <c r="J18" s="40"/>
      <c r="K18" s="41" t="str">
        <f t="array" ref="K18">IFERROR(INDEX($I$2:$I$81,SMALL(IF(ISNUMBER($I$2:$I$81),ROW($A$1:$A$80),""),ROW(A17))),"")</f>
        <v/>
      </c>
      <c r="L18" s="41" t="str">
        <f t="array" ref="L18">IFERROR(INDEX($J$2:$J$81,SMALL(IF(ISNUMBER($J$2:$J$81),ROW($A$1:$A$80),""),ROW(A17))),"")</f>
        <v/>
      </c>
      <c r="M18" s="64"/>
      <c r="N18" s="9" t="str">
        <f t="array" ref="N18">IFERROR(INDEX($F$2:$F$181,SMALL(_xlfn.IFS($G$2:$G$181&lt;$N$2,"",$G$2:$G$181&gt;$N$3,"",ISNUMBER($G$2:$G$181),ROW($A$1:$A$180)),ROW(A15))),"")</f>
        <v/>
      </c>
      <c r="O18" s="9" t="str">
        <f t="array" ref="O18">IFERROR(INDEX($F$2:$F$181,SMALL(_xlfn.IFS($G$2:$G$181&lt;$O$2,"",$G$2:$G$181&gt;$O$3,"",ISNUMBER($G$2:$G$181),ROW($A$1:$A$180)),ROW(A15))),"")</f>
        <v/>
      </c>
      <c r="P18" s="9" t="str">
        <f t="array" ref="P18">IFERROR(INDEX($F$2:$F$181,SMALL(_xlfn.IFS($G$2:$G$181&lt;$P$2,"",$G$2:$G$181&gt;$P$3,"",ISNUMBER($G$2:$G$181),ROW($A$1:$A$180)),ROW(A15))),"")</f>
        <v/>
      </c>
      <c r="Q18" s="9" t="str">
        <f t="array" ref="Q18">IFERROR(INDEX($F$2:$F$181,SMALL(_xlfn.IFS($G$2:$G$181&lt;$Q$2,"",$G$2:$G$181&gt;$Q$3,"",ISNUMBER($G$2:$G$181),ROW($A$1:$A$180)),ROW(A15))),"")</f>
        <v/>
      </c>
      <c r="R18" s="9" t="str">
        <f t="array" ref="R18">IFERROR(INDEX($F$2:$F$181,SMALL(_xlfn.IFS($G$2:$G$181&lt;$R$2,"",$G$2:$G$181&gt;$R$3,"",ISNUMBER($G$2:$G$181),ROW($A$1:$A$180)),ROW(A15))),"")</f>
        <v/>
      </c>
      <c r="S18" s="10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</row>
    <row r="19" spans="1:21" ht="14.55" thickBot="1" x14ac:dyDescent="0.35">
      <c r="A19" s="82"/>
      <c r="B19" s="87"/>
      <c r="C19" s="35" t="s">
        <v>3</v>
      </c>
      <c r="D19" s="35">
        <v>6</v>
      </c>
      <c r="E19" s="35"/>
      <c r="F19" s="36">
        <f t="shared" ref="F19" si="14">(AVERAGEIF(D19:E19,"&gt;0",D19:E19))*10^5*100/8</f>
        <v>7500000</v>
      </c>
      <c r="G19" s="7"/>
      <c r="H19" s="5" t="str">
        <f t="array" ref="H19">IFERROR(INDEX($F$2:$F$181,SMALL(IF($G$2:$G$181=5,ROW($A$1:$A$163),""),ROW(A1))),"")</f>
        <v/>
      </c>
      <c r="J19" s="40"/>
      <c r="K19" s="41" t="str">
        <f t="array" ref="K19">IFERROR(INDEX($I$2:$I$81,SMALL(IF(ISNUMBER($I$2:$I$81),ROW($A$1:$A$80),""),ROW(A18))),"")</f>
        <v/>
      </c>
      <c r="L19" s="41" t="str">
        <f t="array" ref="L19">IFERROR(INDEX($J$2:$J$81,SMALL(IF(ISNUMBER($J$2:$J$81),ROW($A$1:$A$80),""),ROW(A18))),"")</f>
        <v/>
      </c>
      <c r="M19" s="64"/>
      <c r="N19" s="9" t="str">
        <f t="array" ref="N19">IFERROR(INDEX($F$2:$F$181,SMALL(_xlfn.IFS($G$2:$G$181&lt;$N$2,"",$G$2:$G$181&gt;$N$3,"",ISNUMBER($G$2:$G$181),ROW($A$1:$A$180)),ROW(A16))),"")</f>
        <v/>
      </c>
      <c r="O19" s="9" t="str">
        <f t="array" ref="O19">IFERROR(INDEX($F$2:$F$181,SMALL(_xlfn.IFS($G$2:$G$181&lt;$O$2,"",$G$2:$G$181&gt;$O$3,"",ISNUMBER($G$2:$G$181),ROW($A$1:$A$180)),ROW(A16))),"")</f>
        <v/>
      </c>
      <c r="P19" s="9" t="str">
        <f t="array" ref="P19">IFERROR(INDEX($F$2:$F$181,SMALL(_xlfn.IFS($G$2:$G$181&lt;$P$2,"",$G$2:$G$181&gt;$P$3,"",ISNUMBER($G$2:$G$181),ROW($A$1:$A$180)),ROW(A16))),"")</f>
        <v/>
      </c>
      <c r="Q19" s="9" t="str">
        <f t="array" ref="Q19">IFERROR(INDEX($F$2:$F$181,SMALL(_xlfn.IFS($G$2:$G$181&lt;$Q$2,"",$G$2:$G$181&gt;$Q$3,"",ISNUMBER($G$2:$G$181),ROW($A$1:$A$180)),ROW(A16))),"")</f>
        <v/>
      </c>
      <c r="R19" s="9" t="str">
        <f t="array" ref="R19">IFERROR(INDEX($F$2:$F$181,SMALL(_xlfn.IFS($G$2:$G$181&lt;$R$2,"",$G$2:$G$181&gt;$R$3,"",ISNUMBER($G$2:$G$181),ROW($A$1:$A$180)),ROW(A16))),"")</f>
        <v/>
      </c>
      <c r="S19" s="10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</row>
    <row r="20" spans="1:21" ht="14.55" thickTop="1" x14ac:dyDescent="0.3">
      <c r="A20" s="80" t="s">
        <v>67</v>
      </c>
      <c r="B20" s="83">
        <v>1</v>
      </c>
      <c r="C20" s="30" t="s">
        <v>4</v>
      </c>
      <c r="D20" s="58"/>
      <c r="E20" s="58"/>
      <c r="F20" s="31" t="e">
        <f t="shared" ref="F20" si="15">(AVERAGEIF(D20:E20,"&gt;0",D20:E20))*10^3*100/8</f>
        <v>#DIV/0!</v>
      </c>
      <c r="G20" s="7"/>
      <c r="H20" s="5" t="str">
        <f t="array" ref="H20">IFERROR(INDEX($F$2:$F$181,SMALL(IF($G$2:$G$181=5,ROW($A$1:$A$163),""),ROW(A2))),"")</f>
        <v/>
      </c>
      <c r="J20" s="40"/>
      <c r="K20" s="41" t="str">
        <f t="array" ref="K20">IFERROR(INDEX($I$2:$I$81,SMALL(IF(ISNUMBER($I$2:$I$81),ROW($A$1:$A$80),""),ROW(A19))),"")</f>
        <v/>
      </c>
      <c r="L20" s="41" t="str">
        <f t="array" ref="L20">IFERROR(INDEX($J$2:$J$81,SMALL(IF(ISNUMBER($J$2:$J$81),ROW($A$1:$A$80),""),ROW(A19))),"")</f>
        <v/>
      </c>
      <c r="M20" s="64"/>
      <c r="N20" s="9" t="str">
        <f t="array" ref="N20">IFERROR(INDEX($F$2:$F$181,SMALL(_xlfn.IFS($G$2:$G$181&lt;$N$2,"",$G$2:$G$181&gt;$N$3,"",ISNUMBER($G$2:$G$181),ROW($A$1:$A$180)),ROW(A17))),"")</f>
        <v/>
      </c>
      <c r="O20" s="9" t="str">
        <f t="array" ref="O20">IFERROR(INDEX($F$2:$F$181,SMALL(_xlfn.IFS($G$2:$G$181&lt;$O$2,"",$G$2:$G$181&gt;$O$3,"",ISNUMBER($G$2:$G$181),ROW($A$1:$A$180)),ROW(A17))),"")</f>
        <v/>
      </c>
      <c r="P20" s="9" t="str">
        <f t="array" ref="P20">IFERROR(INDEX($F$2:$F$181,SMALL(_xlfn.IFS($G$2:$G$181&lt;$P$2,"",$G$2:$G$181&gt;$P$3,"",ISNUMBER($G$2:$G$181),ROW($A$1:$A$180)),ROW(A17))),"")</f>
        <v/>
      </c>
      <c r="Q20" s="9" t="str">
        <f t="array" ref="Q20">IFERROR(INDEX($F$2:$F$181,SMALL(_xlfn.IFS($G$2:$G$181&lt;$Q$2,"",$G$2:$G$181&gt;$Q$3,"",ISNUMBER($G$2:$G$181),ROW($A$1:$A$180)),ROW(A17))),"")</f>
        <v/>
      </c>
      <c r="R20" s="9" t="str">
        <f t="array" ref="R20">IFERROR(INDEX($F$2:$F$181,SMALL(_xlfn.IFS($G$2:$G$181&lt;$R$2,"",$G$2:$G$181&gt;$R$3,"",ISNUMBER($G$2:$G$181),ROW($A$1:$A$180)),ROW(A17))),"")</f>
        <v/>
      </c>
      <c r="S20" s="10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</row>
    <row r="21" spans="1:21" x14ac:dyDescent="0.3">
      <c r="A21" s="81"/>
      <c r="B21" s="84"/>
      <c r="C21" s="11" t="s">
        <v>2</v>
      </c>
      <c r="D21" s="11">
        <v>74</v>
      </c>
      <c r="E21" s="11">
        <v>97</v>
      </c>
      <c r="F21" s="32">
        <f t="shared" ref="F21" si="16">(AVERAGEIF(D21:E21,"&gt;0",D21:E21))*10^4*100/8</f>
        <v>10687500</v>
      </c>
      <c r="G21" s="7">
        <v>3</v>
      </c>
      <c r="H21" s="5" t="str">
        <f t="array" ref="H21">IFERROR(INDEX($F$2:$F$181,SMALL(IF($G$2:$G$181=5,ROW($A$1:$A$163),""),ROW(A3))),"")</f>
        <v/>
      </c>
      <c r="I21" s="5" t="e">
        <f>AVERAGE(H19:H21)</f>
        <v>#DIV/0!</v>
      </c>
      <c r="J21" s="39" t="e">
        <f>STDEV(H19:H21)</f>
        <v>#DIV/0!</v>
      </c>
      <c r="K21" s="41" t="str">
        <f t="array" ref="K21">IFERROR(INDEX($I$2:$I$81,SMALL(IF(ISNUMBER($I$2:$I$81),ROW($A$1:$A$80),""),ROW(A20))),"")</f>
        <v/>
      </c>
      <c r="L21" s="41" t="str">
        <f t="array" ref="L21">IFERROR(INDEX($J$2:$J$81,SMALL(IF(ISNUMBER($J$2:$J$81),ROW($A$1:$A$80),""),ROW(A20))),"")</f>
        <v/>
      </c>
      <c r="M21" s="64"/>
      <c r="N21" s="9" t="str">
        <f t="array" ref="N21">IFERROR(INDEX($F$2:$F$181,SMALL(_xlfn.IFS($G$2:$G$181&lt;$N$2,"",$G$2:$G$181&gt;$N$3,"",ISNUMBER($G$2:$G$181),ROW($A$1:$A$180)),ROW(A18))),"")</f>
        <v/>
      </c>
      <c r="O21" s="9" t="str">
        <f t="array" ref="O21">IFERROR(INDEX($F$2:$F$181,SMALL(_xlfn.IFS($G$2:$G$181&lt;$O$2,"",$G$2:$G$181&gt;$O$3,"",ISNUMBER($G$2:$G$181),ROW($A$1:$A$180)),ROW(A18))),"")</f>
        <v/>
      </c>
      <c r="P21" s="9" t="str">
        <f t="array" ref="P21">IFERROR(INDEX($F$2:$F$181,SMALL(_xlfn.IFS($G$2:$G$181&lt;$P$2,"",$G$2:$G$181&gt;$P$3,"",ISNUMBER($G$2:$G$181),ROW($A$1:$A$180)),ROW(A18))),"")</f>
        <v/>
      </c>
      <c r="Q21" s="9" t="str">
        <f t="array" ref="Q21">IFERROR(INDEX($F$2:$F$181,SMALL(_xlfn.IFS($G$2:$G$181&lt;$Q$2,"",$G$2:$G$181&gt;$Q$3,"",ISNUMBER($G$2:$G$181),ROW($A$1:$A$180)),ROW(A18))),"")</f>
        <v/>
      </c>
      <c r="R21" s="9" t="str">
        <f t="array" ref="R21">IFERROR(INDEX($F$2:$F$181,SMALL(_xlfn.IFS($G$2:$G$181&lt;$R$2,"",$G$2:$G$181&gt;$R$3,"",ISNUMBER($G$2:$G$181),ROW($A$1:$A$180)),ROW(A18))),"")</f>
        <v/>
      </c>
      <c r="S21" s="10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</row>
    <row r="22" spans="1:21" ht="14.55" thickBot="1" x14ac:dyDescent="0.35">
      <c r="A22" s="81"/>
      <c r="B22" s="85"/>
      <c r="C22" s="12" t="s">
        <v>3</v>
      </c>
      <c r="D22" s="12">
        <v>13</v>
      </c>
      <c r="E22" s="12">
        <v>11</v>
      </c>
      <c r="F22" s="33">
        <f t="shared" ref="F22" si="17">(AVERAGEIF(D22:E22,"&gt;0",D22:E22))*10^5*100/8</f>
        <v>15000000</v>
      </c>
      <c r="G22" s="7"/>
      <c r="H22" s="5" t="s">
        <v>16</v>
      </c>
      <c r="J22" s="40"/>
      <c r="K22" s="41" t="str">
        <f t="array" ref="K22">IFERROR(INDEX($I$2:$I$81,SMALL(IF(ISNUMBER($I$2:$I$81),ROW($A$1:$A$80),""),ROW(A21))),"")</f>
        <v/>
      </c>
      <c r="L22" s="41" t="str">
        <f t="array" ref="L22">IFERROR(INDEX($J$2:$J$81,SMALL(IF(ISNUMBER($J$2:$J$81),ROW($A$1:$A$80),""),ROW(A21))),"")</f>
        <v/>
      </c>
      <c r="M22" s="70">
        <v>3</v>
      </c>
      <c r="N22" s="46" t="s">
        <v>35</v>
      </c>
      <c r="O22" s="46" t="s">
        <v>36</v>
      </c>
      <c r="P22" s="46" t="s">
        <v>37</v>
      </c>
      <c r="Q22" s="46" t="s">
        <v>38</v>
      </c>
      <c r="R22" s="47" t="s">
        <v>39</v>
      </c>
      <c r="S22" s="47" t="s">
        <v>40</v>
      </c>
      <c r="T22" s="45" t="s">
        <v>41</v>
      </c>
      <c r="U22" s="45" t="s">
        <v>42</v>
      </c>
    </row>
    <row r="23" spans="1:21" x14ac:dyDescent="0.3">
      <c r="A23" s="81"/>
      <c r="B23" s="86">
        <v>2</v>
      </c>
      <c r="C23" s="8" t="s">
        <v>4</v>
      </c>
      <c r="D23" s="59"/>
      <c r="E23" s="59"/>
      <c r="F23" s="34" t="e">
        <f t="shared" ref="F23" si="18">(AVERAGEIF(D23:E23,"&gt;0",D23:E23))*10^3*100/8</f>
        <v>#DIV/0!</v>
      </c>
      <c r="G23" s="7"/>
      <c r="H23" s="5" t="str">
        <f t="array" ref="H23">IFERROR(INDEX($F$2:$F$181,SMALL(IF($G$2:$G$181=6,ROW($A$1:$A$163),""),ROW(A1))),"")</f>
        <v/>
      </c>
      <c r="J23" s="40"/>
      <c r="K23" s="41" t="str">
        <f t="array" ref="K23">IFERROR(INDEX($I$2:$I$81,SMALL(IF(ISNUMBER($I$2:$I$81),ROW($A$1:$A$80),""),ROW(A22))),"")</f>
        <v/>
      </c>
      <c r="L23" s="41" t="str">
        <f t="array" ref="L23">IFERROR(INDEX($J$2:$J$81,SMALL(IF(ISNUMBER($J$2:$J$81),ROW($A$1:$A$80),""),ROW(A22))),"")</f>
        <v/>
      </c>
      <c r="M23" s="70">
        <v>4</v>
      </c>
      <c r="N23" s="9">
        <f>AVERAGE(N4:N21)</f>
        <v>28333333.333333332</v>
      </c>
      <c r="O23" s="9">
        <f t="shared" ref="O23:U23" si="19">AVERAGE(O4:O21)</f>
        <v>5500000</v>
      </c>
      <c r="P23" s="9">
        <f t="shared" si="19"/>
        <v>9416666.666666666</v>
      </c>
      <c r="Q23" s="9">
        <f t="shared" si="19"/>
        <v>391666.66666666669</v>
      </c>
      <c r="R23" s="9" t="e">
        <f t="shared" si="19"/>
        <v>#DIV/0!</v>
      </c>
      <c r="S23" s="9" t="e">
        <f t="shared" si="19"/>
        <v>#DIV/0!</v>
      </c>
      <c r="T23" s="9" t="e">
        <f t="shared" si="19"/>
        <v>#DIV/0!</v>
      </c>
      <c r="U23" s="9" t="e">
        <f t="shared" si="19"/>
        <v>#DIV/0!</v>
      </c>
    </row>
    <row r="24" spans="1:21" x14ac:dyDescent="0.3">
      <c r="A24" s="81"/>
      <c r="B24" s="84"/>
      <c r="C24" s="11" t="s">
        <v>2</v>
      </c>
      <c r="D24" s="11">
        <v>67</v>
      </c>
      <c r="E24" s="11">
        <v>57</v>
      </c>
      <c r="F24" s="32">
        <f t="shared" ref="F24" si="20">(AVERAGEIF(D24:E24,"&gt;0",D24:E24))*10^4*100/8</f>
        <v>7750000</v>
      </c>
      <c r="G24" s="7">
        <v>3</v>
      </c>
      <c r="H24" s="5" t="str">
        <f t="array" ref="H24">IFERROR(INDEX($F$2:$F$181,SMALL(IF($G$2:$G$181=6,ROW($A$1:$A$163),""),ROW(A2))),"")</f>
        <v/>
      </c>
      <c r="J24" s="40"/>
      <c r="K24" s="41" t="str">
        <f t="array" ref="K24">IFERROR(INDEX($I$2:$I$81,SMALL(IF(ISNUMBER($I$2:$I$81),ROW($A$1:$A$80),""),ROW(A23))),"")</f>
        <v/>
      </c>
      <c r="L24" s="41" t="str">
        <f t="array" ref="L24">IFERROR(INDEX($J$2:$J$81,SMALL(IF(ISNUMBER($J$2:$J$81),ROW($A$1:$A$80),""),ROW(A23))),"")</f>
        <v/>
      </c>
      <c r="M24" s="70">
        <v>5</v>
      </c>
      <c r="N24" s="46" t="s">
        <v>43</v>
      </c>
      <c r="O24" s="46" t="s">
        <v>44</v>
      </c>
      <c r="P24" s="46" t="s">
        <v>45</v>
      </c>
      <c r="Q24" s="46" t="s">
        <v>46</v>
      </c>
      <c r="R24" s="47" t="s">
        <v>47</v>
      </c>
      <c r="S24" s="47" t="s">
        <v>48</v>
      </c>
      <c r="T24" s="45" t="s">
        <v>50</v>
      </c>
      <c r="U24" s="45" t="s">
        <v>49</v>
      </c>
    </row>
    <row r="25" spans="1:21" ht="14.55" thickBot="1" x14ac:dyDescent="0.35">
      <c r="A25" s="81"/>
      <c r="B25" s="85"/>
      <c r="C25" s="12" t="s">
        <v>3</v>
      </c>
      <c r="D25" s="12">
        <v>4</v>
      </c>
      <c r="E25" s="12">
        <v>7</v>
      </c>
      <c r="F25" s="33">
        <f t="shared" ref="F25" si="21">(AVERAGEIF(D25:E25,"&gt;0",D25:E25))*10^5*100/8</f>
        <v>6875000</v>
      </c>
      <c r="G25" s="7"/>
      <c r="H25" s="5" t="str">
        <f t="array" ref="H25">IFERROR(INDEX($F$2:$F$181,SMALL(IF($G$2:$G$181=6,ROW($A$1:$A$163),""),ROW(A3))),"")</f>
        <v/>
      </c>
      <c r="I25" s="5" t="e">
        <f>AVERAGE(H23:H25)</f>
        <v>#DIV/0!</v>
      </c>
      <c r="J25" s="39" t="e">
        <f>STDEV(H23:H25)</f>
        <v>#DIV/0!</v>
      </c>
      <c r="K25" s="41" t="str">
        <f t="array" ref="K25">IFERROR(INDEX($I$2:$I$81,SMALL(IF(ISNUMBER($I$2:$I$81),ROW($A$1:$A$80),""),ROW(A24))),"")</f>
        <v/>
      </c>
      <c r="L25" s="41" t="str">
        <f t="array" ref="L25">IFERROR(INDEX($J$2:$J$81,SMALL(IF(ISNUMBER($J$2:$J$81),ROW($A$1:$A$80),""),ROW(A24))),"")</f>
        <v/>
      </c>
      <c r="M25" s="70">
        <v>6</v>
      </c>
      <c r="N25" s="14">
        <f t="shared" ref="N25:P25" si="22">STDEV(N4:N21)</f>
        <v>2953634.7664078805</v>
      </c>
      <c r="O25" s="14">
        <f t="shared" si="22"/>
        <v>2352691.278089839</v>
      </c>
      <c r="P25" s="14">
        <f t="shared" si="22"/>
        <v>1508223.9831448537</v>
      </c>
      <c r="Q25" s="14">
        <f>STDEV(Q4:Q21)</f>
        <v>269354.93931489979</v>
      </c>
      <c r="R25" s="14" t="e">
        <f t="shared" ref="R25:U25" si="23">STDEV(R4:R21)</f>
        <v>#DIV/0!</v>
      </c>
      <c r="S25" s="14" t="e">
        <f t="shared" si="23"/>
        <v>#DIV/0!</v>
      </c>
      <c r="T25" s="14" t="e">
        <f t="shared" si="23"/>
        <v>#DIV/0!</v>
      </c>
      <c r="U25" s="14" t="e">
        <f t="shared" si="23"/>
        <v>#DIV/0!</v>
      </c>
    </row>
    <row r="26" spans="1:21" x14ac:dyDescent="0.3">
      <c r="A26" s="81"/>
      <c r="B26" s="86">
        <v>3</v>
      </c>
      <c r="C26" s="8" t="s">
        <v>4</v>
      </c>
      <c r="D26" s="59"/>
      <c r="E26" s="59"/>
      <c r="F26" s="34" t="e">
        <f t="shared" ref="F26" si="24">(AVERAGEIF(D26:E26,"&gt;0",D26:E26))*10^3*100/8</f>
        <v>#DIV/0!</v>
      </c>
      <c r="G26" s="7"/>
      <c r="H26" s="5" t="s">
        <v>17</v>
      </c>
      <c r="J26" s="40"/>
      <c r="K26" s="41" t="str">
        <f t="array" ref="K26">IFERROR(INDEX($I$2:$I$81,SMALL(IF(ISNUMBER($I$2:$I$81),ROW($A$1:$A$80),""),ROW(A25))),"")</f>
        <v/>
      </c>
      <c r="L26" s="41" t="str">
        <f t="array" ref="L26">IFERROR(INDEX($J$2:$J$81,SMALL(IF(ISNUMBER($J$2:$J$81),ROW($A$1:$A$80),""),ROW(A25))),"")</f>
        <v/>
      </c>
      <c r="M26" s="70">
        <v>7</v>
      </c>
      <c r="N26" s="14"/>
      <c r="O26" s="9"/>
      <c r="P26" s="9"/>
      <c r="Q26" s="9"/>
      <c r="R26" s="10"/>
      <c r="S26" s="10"/>
    </row>
    <row r="27" spans="1:21" x14ac:dyDescent="0.3">
      <c r="A27" s="81"/>
      <c r="B27" s="84"/>
      <c r="C27" s="11" t="s">
        <v>2</v>
      </c>
      <c r="D27" s="11">
        <v>68</v>
      </c>
      <c r="E27" s="11">
        <v>89</v>
      </c>
      <c r="F27" s="32">
        <f t="shared" ref="F27" si="25">(AVERAGEIF(D27:E27,"&gt;0",D27:E27))*10^4*100/8</f>
        <v>9812500</v>
      </c>
      <c r="G27" s="7">
        <v>3</v>
      </c>
      <c r="H27" s="5" t="str">
        <f t="array" ref="H27">IFERROR(INDEX($F$2:$F$181,SMALL(IF($G$2:$G$181=7,ROW($A$1:$A$163),""),ROW(A1))),"")</f>
        <v/>
      </c>
      <c r="J27" s="40"/>
      <c r="K27" s="41" t="str">
        <f t="array" ref="K27">IFERROR(INDEX($I$2:$I$81,SMALL(IF(ISNUMBER($I$2:$I$81),ROW($A$1:$A$80),""),ROW(A26))),"")</f>
        <v/>
      </c>
      <c r="L27" s="41" t="str">
        <f t="array" ref="L27">IFERROR(INDEX($J$2:$J$81,SMALL(IF(ISNUMBER($J$2:$J$81),ROW($A$1:$A$80),""),ROW(A26))),"")</f>
        <v/>
      </c>
      <c r="M27" s="64"/>
      <c r="N27" s="14"/>
      <c r="O27" s="9"/>
      <c r="P27" s="9"/>
      <c r="Q27" s="9"/>
      <c r="R27" s="10"/>
      <c r="S27" s="10"/>
    </row>
    <row r="28" spans="1:21" ht="14.55" thickBot="1" x14ac:dyDescent="0.35">
      <c r="A28" s="82"/>
      <c r="B28" s="87"/>
      <c r="C28" s="35" t="s">
        <v>3</v>
      </c>
      <c r="D28" s="35">
        <v>5</v>
      </c>
      <c r="E28" s="35">
        <v>7</v>
      </c>
      <c r="F28" s="36">
        <f t="shared" ref="F28" si="26">(AVERAGEIF(D28:E28,"&gt;0",D28:E28))*10^5*100/8</f>
        <v>7500000</v>
      </c>
      <c r="G28" s="7"/>
      <c r="H28" s="5" t="str">
        <f t="array" ref="H28">IFERROR(INDEX($F$2:$F$181,SMALL(IF($G$2:$G$181=7,ROW($A$1:$A$163),""),ROW(A2))),"")</f>
        <v/>
      </c>
      <c r="J28" s="40"/>
      <c r="K28" s="13"/>
      <c r="L28" s="41" t="str">
        <f t="array" ref="L28">IFERROR(INDEX($J$2:$J$81,SMALL(IF(ISNUMBER($J$2:$J$81),ROW($A$1:$A$80),""),ROW(A27))),"")</f>
        <v/>
      </c>
      <c r="M28" s="64"/>
      <c r="N28" s="14"/>
      <c r="O28" s="9">
        <f>N23/O23</f>
        <v>5.1515151515151514</v>
      </c>
      <c r="P28" s="9">
        <f>$O$23/P23</f>
        <v>0.58407079646017701</v>
      </c>
      <c r="Q28" s="9">
        <f>$O$23/Q23</f>
        <v>14.042553191489361</v>
      </c>
      <c r="R28" s="9" t="e">
        <f>$O$23/R23</f>
        <v>#DIV/0!</v>
      </c>
      <c r="S28" s="9" t="e">
        <f t="shared" ref="S28:U28" si="27">R23/S23</f>
        <v>#DIV/0!</v>
      </c>
      <c r="T28" s="9"/>
      <c r="U28" s="9" t="e">
        <f t="shared" si="27"/>
        <v>#DIV/0!</v>
      </c>
    </row>
    <row r="29" spans="1:21" ht="14.55" thickTop="1" x14ac:dyDescent="0.3">
      <c r="A29" s="80" t="s">
        <v>69</v>
      </c>
      <c r="B29" s="83">
        <v>1</v>
      </c>
      <c r="C29" s="30" t="s">
        <v>53</v>
      </c>
      <c r="D29" s="58"/>
      <c r="E29" s="58"/>
      <c r="F29" s="31" t="e">
        <f>(AVERAGEIF(D29:E29,"&gt;0",D29:E29))*10^2*100/8</f>
        <v>#DIV/0!</v>
      </c>
      <c r="G29" s="7"/>
      <c r="H29" s="5" t="str">
        <f t="array" ref="H29">IFERROR(INDEX($F$2:$F$181,SMALL(IF($G$2:$G$181=7,ROW($A$1:$A$163),""),ROW(A3))),"")</f>
        <v/>
      </c>
      <c r="I29" s="5" t="e">
        <f>AVERAGE(H27:H29)</f>
        <v>#DIV/0!</v>
      </c>
      <c r="J29" s="39" t="e">
        <f>STDEV(H27:H29)</f>
        <v>#DIV/0!</v>
      </c>
      <c r="K29" s="13"/>
      <c r="L29" s="41" t="str">
        <f t="array" ref="L29">IFERROR(INDEX($J$2:$J$81,SMALL(IF(ISNUMBER($J$2:$J$81),ROW($A$1:$A$80),""),ROW(A28))),"")</f>
        <v/>
      </c>
      <c r="M29" s="64"/>
      <c r="N29" s="14"/>
      <c r="O29" s="9"/>
      <c r="P29" s="9"/>
      <c r="Q29" s="9"/>
      <c r="R29" s="10"/>
      <c r="S29" s="10"/>
      <c r="T29" s="14"/>
      <c r="U29" s="14"/>
    </row>
    <row r="30" spans="1:21" x14ac:dyDescent="0.3">
      <c r="A30" s="81"/>
      <c r="B30" s="84"/>
      <c r="C30" s="11" t="s">
        <v>4</v>
      </c>
      <c r="D30" s="11">
        <v>35</v>
      </c>
      <c r="E30" s="11">
        <v>31</v>
      </c>
      <c r="F30" s="32">
        <f>(AVERAGEIF(D30:E30,"&gt;0",D30:E30))*10^3*100/8</f>
        <v>412500</v>
      </c>
      <c r="G30" s="7">
        <v>4</v>
      </c>
      <c r="H30" s="5" t="s">
        <v>18</v>
      </c>
      <c r="J30" s="40"/>
      <c r="K30" s="13"/>
      <c r="L30" s="41" t="str">
        <f t="array" ref="L30">IFERROR(INDEX($J$2:$J$81,SMALL(IF(ISNUMBER($J$2:$J$81),ROW($A$1:$A$80),""),ROW(A29))),"")</f>
        <v/>
      </c>
      <c r="M30" s="41"/>
      <c r="N30" s="14"/>
      <c r="O30" s="9"/>
      <c r="P30" s="9"/>
      <c r="Q30" s="9"/>
      <c r="R30" s="10"/>
      <c r="S30" s="10"/>
    </row>
    <row r="31" spans="1:21" ht="14.55" thickBot="1" x14ac:dyDescent="0.35">
      <c r="A31" s="81"/>
      <c r="B31" s="85"/>
      <c r="C31" s="12" t="s">
        <v>2</v>
      </c>
      <c r="D31" s="12">
        <v>5</v>
      </c>
      <c r="E31" s="12">
        <v>3</v>
      </c>
      <c r="F31" s="33">
        <f>(AVERAGEIF(D31:E31,"&gt;0",D31:E31))*10^4*100/8</f>
        <v>500000</v>
      </c>
      <c r="G31" s="7"/>
      <c r="H31" s="5" t="str">
        <f t="array" ref="H31">IFERROR(INDEX($F$2:$F$181,SMALL(IF($G$2:$G$181=8,ROW($A$1:$A$163),""),ROW(A1))),"")</f>
        <v/>
      </c>
      <c r="J31" s="40"/>
      <c r="K31" s="13"/>
      <c r="L31" s="41" t="str">
        <f t="array" ref="L31">IFERROR(INDEX($J$2:$J$81,SMALL(IF(ISNUMBER($J$2:$J$81),ROW($A$1:$A$80),""),ROW(A30))),"")</f>
        <v/>
      </c>
      <c r="M31" s="41"/>
      <c r="N31" s="14"/>
      <c r="O31" s="9"/>
      <c r="P31" s="9"/>
      <c r="Q31" s="9"/>
      <c r="R31" s="10"/>
      <c r="S31" s="10"/>
      <c r="T31" s="9"/>
      <c r="U31" s="9"/>
    </row>
    <row r="32" spans="1:21" ht="14.55" thickTop="1" x14ac:dyDescent="0.3">
      <c r="A32" s="81"/>
      <c r="B32" s="86">
        <v>2</v>
      </c>
      <c r="C32" s="30" t="s">
        <v>53</v>
      </c>
      <c r="D32" s="59"/>
      <c r="E32" s="59"/>
      <c r="F32" s="31" t="e">
        <f t="shared" ref="F32" si="28">(AVERAGEIF(D32:E32,"&gt;0",D32:E32))*10^2*100/8</f>
        <v>#DIV/0!</v>
      </c>
      <c r="G32" s="7"/>
      <c r="H32" s="5" t="str">
        <f t="array" ref="H32">IFERROR(INDEX($F$2:$F$181,SMALL(IF($G$2:$G$181=8,ROW($A$1:$A$163),""),ROW(A2))),"")</f>
        <v/>
      </c>
      <c r="J32" s="40"/>
      <c r="K32" s="13"/>
      <c r="L32" s="41" t="str">
        <f t="array" ref="L32">IFERROR(INDEX($J$2:$J$81,SMALL(IF(ISNUMBER($J$2:$J$81),ROW($A$1:$A$80),""),ROW(A31))),"")</f>
        <v/>
      </c>
      <c r="M32" s="41"/>
      <c r="N32" s="14"/>
      <c r="O32" s="9"/>
      <c r="P32" s="9"/>
      <c r="Q32" s="9"/>
      <c r="R32" s="10"/>
      <c r="S32" s="10"/>
      <c r="T32" s="14"/>
      <c r="U32" s="14"/>
    </row>
    <row r="33" spans="1:19" x14ac:dyDescent="0.3">
      <c r="A33" s="81"/>
      <c r="B33" s="84"/>
      <c r="C33" s="11" t="s">
        <v>4</v>
      </c>
      <c r="D33" s="11">
        <v>8</v>
      </c>
      <c r="E33" s="11">
        <v>10</v>
      </c>
      <c r="F33" s="32">
        <f t="shared" ref="F33" si="29">(AVERAGEIF(D33:E33,"&gt;0",D33:E33))*10^3*100/8</f>
        <v>112500</v>
      </c>
      <c r="G33" s="7">
        <v>4</v>
      </c>
      <c r="H33" s="5" t="str">
        <f t="array" ref="H33">IFERROR(INDEX($F$2:$F$181,SMALL(IF($G$2:$G$181=8,ROW($A$1:$A$163),""),ROW(A3))),"")</f>
        <v/>
      </c>
      <c r="I33" s="5" t="e">
        <f>AVERAGE(H31:H33)</f>
        <v>#DIV/0!</v>
      </c>
      <c r="J33" s="39" t="e">
        <f>STDEV(H31:H33)</f>
        <v>#DIV/0!</v>
      </c>
      <c r="K33" s="13"/>
      <c r="L33" s="41" t="str">
        <f t="array" ref="L33">IFERROR(INDEX($J$2:$J$81,SMALL(IF(ISNUMBER($J$2:$J$81),ROW($A$1:$A$80),""),ROW(A32))),"")</f>
        <v/>
      </c>
      <c r="M33" s="64"/>
      <c r="N33" s="14"/>
      <c r="O33" s="9"/>
      <c r="P33" s="9"/>
      <c r="Q33" s="9"/>
      <c r="R33" s="10"/>
      <c r="S33" s="10"/>
    </row>
    <row r="34" spans="1:19" ht="14.55" thickBot="1" x14ac:dyDescent="0.35">
      <c r="A34" s="81"/>
      <c r="B34" s="85"/>
      <c r="C34" s="12" t="s">
        <v>2</v>
      </c>
      <c r="D34" s="12">
        <v>1</v>
      </c>
      <c r="E34" s="12">
        <v>1</v>
      </c>
      <c r="F34" s="33">
        <f t="shared" ref="F34" si="30">(AVERAGEIF(D34:E34,"&gt;0",D34:E34))*10^4*100/8</f>
        <v>125000</v>
      </c>
      <c r="G34" s="7"/>
      <c r="H34" s="5" t="s">
        <v>19</v>
      </c>
      <c r="J34" s="40"/>
      <c r="K34" s="13"/>
      <c r="L34" s="41" t="str">
        <f t="array" ref="L34">IFERROR(INDEX($J$2:$J$81,SMALL(IF(ISNUMBER($J$2:$J$81),ROW($A$1:$A$80),""),ROW(A33))),"")</f>
        <v/>
      </c>
      <c r="M34" s="64"/>
      <c r="N34" s="14"/>
      <c r="O34" s="9"/>
      <c r="P34" s="9"/>
      <c r="Q34" s="9"/>
      <c r="R34" s="10"/>
      <c r="S34" s="10"/>
    </row>
    <row r="35" spans="1:19" ht="14.55" thickTop="1" x14ac:dyDescent="0.3">
      <c r="A35" s="81"/>
      <c r="B35" s="86">
        <v>3</v>
      </c>
      <c r="C35" s="30" t="s">
        <v>53</v>
      </c>
      <c r="D35" s="59"/>
      <c r="E35" s="59"/>
      <c r="F35" s="31" t="e">
        <f t="shared" ref="F35" si="31">(AVERAGEIF(D35:E35,"&gt;0",D35:E35))*10^2*100/8</f>
        <v>#DIV/0!</v>
      </c>
      <c r="G35" s="7"/>
      <c r="H35" s="5" t="str">
        <f t="array" ref="H35">IFERROR(INDEX($F$2:$F$181,SMALL(IF($G$2:$G$181=9,ROW($A$1:$A$163),""),ROW(A1))),"")</f>
        <v/>
      </c>
      <c r="J35" s="40"/>
      <c r="K35" s="13"/>
      <c r="L35" s="41" t="str">
        <f t="array" ref="L35">IFERROR(INDEX($J$2:$J$81,SMALL(IF(ISNUMBER($J$2:$J$81),ROW($A$1:$A$80),""),ROW(A34))),"")</f>
        <v/>
      </c>
      <c r="M35" s="64"/>
      <c r="N35" s="14"/>
      <c r="O35" s="9"/>
      <c r="P35" s="9"/>
      <c r="Q35" s="9"/>
      <c r="R35" s="10"/>
      <c r="S35" s="10"/>
    </row>
    <row r="36" spans="1:19" x14ac:dyDescent="0.3">
      <c r="A36" s="81"/>
      <c r="B36" s="84"/>
      <c r="C36" s="11" t="s">
        <v>4</v>
      </c>
      <c r="D36" s="11">
        <v>50</v>
      </c>
      <c r="E36" s="11">
        <v>54</v>
      </c>
      <c r="F36" s="32">
        <f t="shared" ref="F36" si="32">(AVERAGEIF(D36:E36,"&gt;0",D36:E36))*10^3*100/8</f>
        <v>650000</v>
      </c>
      <c r="G36" s="7">
        <v>4</v>
      </c>
      <c r="H36" s="5" t="str">
        <f t="array" ref="H36">IFERROR(INDEX($F$2:$F$181,SMALL(IF($G$2:$G$181=9,ROW($A$1:$A$163),""),ROW(A2))),"")</f>
        <v/>
      </c>
      <c r="J36" s="40"/>
      <c r="K36" s="13"/>
      <c r="L36" s="13"/>
      <c r="M36" s="65"/>
      <c r="N36" s="14"/>
      <c r="O36" s="9"/>
      <c r="P36" s="9"/>
      <c r="Q36" s="9"/>
      <c r="R36" s="10"/>
      <c r="S36" s="10"/>
    </row>
    <row r="37" spans="1:19" ht="14.55" thickBot="1" x14ac:dyDescent="0.35">
      <c r="A37" s="82"/>
      <c r="B37" s="87"/>
      <c r="C37" s="12" t="s">
        <v>2</v>
      </c>
      <c r="D37" s="35">
        <v>4</v>
      </c>
      <c r="E37" s="35">
        <v>7</v>
      </c>
      <c r="F37" s="33">
        <f t="shared" ref="F37" si="33">(AVERAGEIF(D37:E37,"&gt;0",D37:E37))*10^4*100/8</f>
        <v>687500</v>
      </c>
      <c r="G37" s="7"/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9" t="e">
        <f>STDEV(H35:H37)</f>
        <v>#DIV/0!</v>
      </c>
      <c r="K37" s="13"/>
      <c r="L37" s="13"/>
      <c r="M37" s="65"/>
      <c r="N37" s="14"/>
      <c r="O37" s="9"/>
      <c r="P37" s="9"/>
      <c r="Q37" s="9"/>
      <c r="R37" s="10"/>
      <c r="S37" s="10"/>
    </row>
    <row r="38" spans="1:19" ht="15.05" thickTop="1" thickBot="1" x14ac:dyDescent="0.35">
      <c r="A38" s="88" t="s">
        <v>68</v>
      </c>
      <c r="B38" s="89">
        <v>1</v>
      </c>
      <c r="C38" s="30" t="s">
        <v>53</v>
      </c>
      <c r="D38" s="75"/>
      <c r="E38" s="75"/>
      <c r="F38" s="34" t="e">
        <f>(AVERAGEIF(D38:E38,"&gt;0",D38:E38))*10^2*100/8</f>
        <v>#DIV/0!</v>
      </c>
      <c r="G38" s="7"/>
      <c r="H38" s="5" t="s">
        <v>20</v>
      </c>
      <c r="J38" s="40"/>
      <c r="K38" s="13"/>
      <c r="L38" s="13"/>
      <c r="M38" s="65"/>
      <c r="N38" s="14"/>
      <c r="O38" s="9"/>
      <c r="P38" s="14"/>
      <c r="Q38" s="14"/>
      <c r="R38" s="10"/>
      <c r="S38" s="10"/>
    </row>
    <row r="39" spans="1:19" ht="14.55" thickBot="1" x14ac:dyDescent="0.35">
      <c r="A39" s="81"/>
      <c r="B39" s="90"/>
      <c r="C39" s="11" t="s">
        <v>4</v>
      </c>
      <c r="D39" s="76"/>
      <c r="E39" s="76"/>
      <c r="F39" s="34" t="e">
        <f>(AVERAGEIF(D39:E39,"&gt;0",D39:E39))*10^3*100/8</f>
        <v>#DIV/0!</v>
      </c>
      <c r="G39" s="7"/>
      <c r="H39" s="5" t="str">
        <f t="array" ref="H39">IFERROR(INDEX($F$2:$F$181,SMALL(IF($G$2:$G$181=10,ROW($A$1:$A$163),""),ROW(A1))),"")</f>
        <v/>
      </c>
      <c r="J39" s="40"/>
      <c r="K39" s="13"/>
      <c r="L39" s="13"/>
      <c r="M39" s="65"/>
      <c r="N39" s="14"/>
      <c r="O39" s="9"/>
      <c r="P39" s="14"/>
      <c r="Q39" s="14"/>
      <c r="R39" s="10"/>
      <c r="S39" s="10"/>
    </row>
    <row r="40" spans="1:19" ht="14.55" thickBot="1" x14ac:dyDescent="0.35">
      <c r="A40" s="81"/>
      <c r="B40" s="91"/>
      <c r="C40" s="12" t="s">
        <v>2</v>
      </c>
      <c r="D40" s="77"/>
      <c r="E40" s="77"/>
      <c r="F40" s="34" t="e">
        <f>(AVERAGEIF(D40:E40,"&gt;0",D40:E40))*10^4*100/8</f>
        <v>#DIV/0!</v>
      </c>
      <c r="G40" s="7"/>
      <c r="H40" s="5" t="str">
        <f t="array" ref="H40">IFERROR(INDEX($F$2:$F$181,SMALL(IF($G$2:$G$181=10,ROW($A$1:$A$163),""),ROW(A2))),"")</f>
        <v/>
      </c>
      <c r="J40" s="40"/>
      <c r="K40" s="13"/>
      <c r="L40" s="13"/>
      <c r="M40" s="65"/>
      <c r="N40" s="14"/>
      <c r="O40" s="9"/>
      <c r="P40" s="14"/>
      <c r="Q40" s="14"/>
      <c r="R40" s="10"/>
      <c r="S40" s="10"/>
    </row>
    <row r="41" spans="1:19" ht="15.05" thickTop="1" thickBot="1" x14ac:dyDescent="0.35">
      <c r="A41" s="81"/>
      <c r="B41" s="92">
        <v>2</v>
      </c>
      <c r="C41" s="30" t="s">
        <v>53</v>
      </c>
      <c r="D41" s="78"/>
      <c r="E41" s="78"/>
      <c r="F41" s="34" t="e">
        <f t="shared" ref="F41" si="34">(AVERAGEIF(D41:E41,"&gt;0",D41:E41))*10^2*100/8</f>
        <v>#DIV/0!</v>
      </c>
      <c r="G41" s="7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9" t="e">
        <f>STDEV(H39:H41)</f>
        <v>#DIV/0!</v>
      </c>
      <c r="K41" s="13"/>
      <c r="L41" s="13"/>
      <c r="M41" s="65"/>
      <c r="N41" s="14"/>
      <c r="O41" s="9"/>
      <c r="P41" s="14"/>
      <c r="Q41" s="14"/>
      <c r="R41" s="10"/>
      <c r="S41" s="10"/>
    </row>
    <row r="42" spans="1:19" ht="14.55" thickBot="1" x14ac:dyDescent="0.35">
      <c r="A42" s="81"/>
      <c r="B42" s="90"/>
      <c r="C42" s="11" t="s">
        <v>4</v>
      </c>
      <c r="D42" s="76"/>
      <c r="E42" s="76"/>
      <c r="F42" s="34" t="e">
        <f t="shared" ref="F42" si="35">(AVERAGEIF(D42:E42,"&gt;0",D42:E42))*10^3*100/8</f>
        <v>#DIV/0!</v>
      </c>
      <c r="G42" s="7"/>
      <c r="H42" s="5" t="s">
        <v>21</v>
      </c>
      <c r="J42" s="40"/>
      <c r="K42" s="13"/>
      <c r="L42" s="13"/>
      <c r="M42" s="65"/>
      <c r="N42" s="14"/>
      <c r="O42" s="9"/>
      <c r="P42" s="14"/>
      <c r="Q42" s="14"/>
      <c r="R42" s="10"/>
      <c r="S42" s="10"/>
    </row>
    <row r="43" spans="1:19" ht="14.55" thickBot="1" x14ac:dyDescent="0.35">
      <c r="A43" s="81"/>
      <c r="B43" s="91"/>
      <c r="C43" s="12" t="s">
        <v>2</v>
      </c>
      <c r="D43" s="77"/>
      <c r="E43" s="77"/>
      <c r="F43" s="34" t="e">
        <f t="shared" ref="F43" si="36">(AVERAGEIF(D43:E43,"&gt;0",D43:E43))*10^4*100/8</f>
        <v>#DIV/0!</v>
      </c>
      <c r="G43" s="7"/>
      <c r="H43" s="5" t="str">
        <f t="array" ref="H43">IFERROR(INDEX($F$2:$F$181,SMALL(IF($G$2:$G$181=11,ROW($A$1:$A$163),""),ROW(A1))),"")</f>
        <v/>
      </c>
      <c r="J43" s="40"/>
      <c r="K43" s="13"/>
      <c r="L43" s="13"/>
      <c r="M43" s="65"/>
      <c r="N43" s="14"/>
      <c r="O43" s="9"/>
      <c r="P43" s="14"/>
      <c r="Q43" s="14"/>
      <c r="R43" s="10"/>
      <c r="S43" s="10"/>
    </row>
    <row r="44" spans="1:19" ht="15.05" thickTop="1" thickBot="1" x14ac:dyDescent="0.35">
      <c r="A44" s="81"/>
      <c r="B44" s="92">
        <v>3</v>
      </c>
      <c r="C44" s="30" t="s">
        <v>53</v>
      </c>
      <c r="D44" s="78"/>
      <c r="E44" s="78"/>
      <c r="F44" s="34" t="e">
        <f t="shared" ref="F44" si="37">(AVERAGEIF(D44:E44,"&gt;0",D44:E44))*10^2*100/8</f>
        <v>#DIV/0!</v>
      </c>
      <c r="G44" s="7"/>
      <c r="H44" s="5" t="str">
        <f t="array" ref="H44">IFERROR(INDEX($F$2:$F$181,SMALL(IF($G$2:$G$181=11,ROW($A$1:$A$163),""),ROW(A2))),"")</f>
        <v/>
      </c>
      <c r="J44" s="40"/>
      <c r="K44" s="13"/>
      <c r="L44" s="13"/>
      <c r="M44" s="65"/>
      <c r="N44" s="14"/>
      <c r="O44" s="9"/>
      <c r="P44" s="14"/>
      <c r="Q44" s="14"/>
      <c r="R44" s="10"/>
      <c r="S44" s="10"/>
    </row>
    <row r="45" spans="1:19" ht="14.55" thickBot="1" x14ac:dyDescent="0.35">
      <c r="A45" s="81"/>
      <c r="B45" s="90"/>
      <c r="C45" s="11" t="s">
        <v>4</v>
      </c>
      <c r="D45" s="76"/>
      <c r="E45" s="76"/>
      <c r="F45" s="34" t="e">
        <f t="shared" ref="F45" si="38">(AVERAGEIF(D45:E45,"&gt;0",D45:E45))*10^3*100/8</f>
        <v>#DIV/0!</v>
      </c>
      <c r="G45" s="7"/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9" t="e">
        <f>STDEV(H43:H45)</f>
        <v>#DIV/0!</v>
      </c>
      <c r="K45" s="13"/>
      <c r="L45" s="13"/>
      <c r="M45" s="65"/>
      <c r="N45" s="14"/>
      <c r="O45" s="9"/>
      <c r="P45" s="14"/>
      <c r="Q45" s="14"/>
      <c r="R45" s="10"/>
      <c r="S45" s="10"/>
    </row>
    <row r="46" spans="1:19" ht="14.55" thickBot="1" x14ac:dyDescent="0.35">
      <c r="A46" s="82"/>
      <c r="B46" s="93"/>
      <c r="C46" s="12" t="s">
        <v>2</v>
      </c>
      <c r="D46" s="79"/>
      <c r="E46" s="79"/>
      <c r="F46" s="34" t="e">
        <f t="shared" ref="F46" si="39">(AVERAGEIF(D46:E46,"&gt;0",D46:E46))*10^4*100/8</f>
        <v>#DIV/0!</v>
      </c>
      <c r="G46" s="7"/>
      <c r="H46" s="5" t="s">
        <v>22</v>
      </c>
      <c r="J46" s="40"/>
      <c r="K46" s="13"/>
      <c r="L46" s="13"/>
      <c r="M46" s="65"/>
      <c r="N46" s="14"/>
      <c r="O46" s="9"/>
      <c r="P46" s="14"/>
      <c r="Q46" s="14"/>
      <c r="R46" s="10"/>
      <c r="S46" s="10"/>
    </row>
    <row r="47" spans="1:19" ht="14.55" thickTop="1" x14ac:dyDescent="0.3">
      <c r="A47" s="88"/>
      <c r="B47" s="89"/>
      <c r="C47" s="30"/>
      <c r="D47" s="75"/>
      <c r="E47" s="75"/>
      <c r="F47" s="34"/>
      <c r="G47" s="7"/>
      <c r="H47" s="5" t="str">
        <f t="array" ref="H47">IFERROR(INDEX($F$2:$F$181,SMALL(IF($G$2:$G$181=12,ROW($A$1:$A$163),""),ROW(A1))),"")</f>
        <v/>
      </c>
      <c r="J47" s="40"/>
      <c r="K47" s="13"/>
      <c r="L47" s="13"/>
      <c r="M47" s="65"/>
      <c r="N47" s="14"/>
      <c r="O47" s="9"/>
      <c r="P47" s="14"/>
      <c r="Q47" s="14"/>
      <c r="R47" s="10"/>
      <c r="S47" s="10"/>
    </row>
    <row r="48" spans="1:19" x14ac:dyDescent="0.3">
      <c r="A48" s="81"/>
      <c r="B48" s="90"/>
      <c r="C48" s="11"/>
      <c r="D48" s="11"/>
      <c r="E48" s="11"/>
      <c r="F48" s="32"/>
      <c r="G48" s="7"/>
      <c r="H48" s="5" t="str">
        <f t="array" ref="H48">IFERROR(INDEX($F$2:$F$181,SMALL(IF($G$2:$G$181=12,ROW($A$1:$A$163),""),ROW(A2))),"")</f>
        <v/>
      </c>
      <c r="J48" s="40"/>
      <c r="K48" s="13"/>
      <c r="L48" s="13"/>
      <c r="M48" s="65"/>
      <c r="N48" s="14"/>
      <c r="O48" s="9"/>
      <c r="P48" s="14"/>
      <c r="Q48" s="14"/>
      <c r="R48" s="10"/>
      <c r="S48" s="10"/>
    </row>
    <row r="49" spans="1:21" ht="14.55" thickBot="1" x14ac:dyDescent="0.35">
      <c r="A49" s="81"/>
      <c r="B49" s="91"/>
      <c r="C49" s="12"/>
      <c r="D49" s="12"/>
      <c r="E49" s="12"/>
      <c r="F49" s="36"/>
      <c r="G49" s="7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9" t="e">
        <f>STDEV(H47:H49)</f>
        <v>#DIV/0!</v>
      </c>
      <c r="K49" s="13"/>
      <c r="L49" s="13"/>
      <c r="M49" s="65"/>
      <c r="N49" s="14"/>
      <c r="O49" s="9"/>
      <c r="P49" s="14"/>
      <c r="Q49" s="14"/>
      <c r="R49" s="10"/>
      <c r="S49" s="10"/>
    </row>
    <row r="50" spans="1:21" ht="14.55" thickTop="1" x14ac:dyDescent="0.3">
      <c r="A50" s="81"/>
      <c r="B50" s="92"/>
      <c r="C50" s="30"/>
      <c r="D50" s="8"/>
      <c r="E50" s="8"/>
      <c r="F50" s="34"/>
      <c r="G50" s="7"/>
      <c r="H50" s="5" t="s">
        <v>23</v>
      </c>
      <c r="J50" s="40"/>
      <c r="K50" s="13"/>
      <c r="L50" s="13"/>
      <c r="M50" s="65"/>
      <c r="N50" s="14"/>
      <c r="O50" s="9"/>
      <c r="P50" s="14"/>
      <c r="Q50" s="14"/>
      <c r="R50" s="10"/>
      <c r="S50" s="10"/>
    </row>
    <row r="51" spans="1:21" x14ac:dyDescent="0.3">
      <c r="A51" s="81"/>
      <c r="B51" s="90"/>
      <c r="C51" s="11"/>
      <c r="D51" s="11"/>
      <c r="E51" s="11"/>
      <c r="F51" s="32"/>
      <c r="G51" s="7"/>
      <c r="H51" s="5" t="str">
        <f t="array" ref="H51">IFERROR(INDEX($F$2:$F$181,SMALL(IF($G$2:$G$181=13,ROW($A$1:$A$163),""),ROW(A1))),"")</f>
        <v/>
      </c>
      <c r="J51" s="40"/>
      <c r="K51" s="13"/>
      <c r="L51" s="13"/>
      <c r="M51" s="65"/>
      <c r="N51" s="14"/>
      <c r="O51" s="9"/>
      <c r="P51" s="14"/>
      <c r="Q51" s="14"/>
      <c r="R51" s="10"/>
      <c r="S51" s="10"/>
    </row>
    <row r="52" spans="1:21" ht="14.55" thickBot="1" x14ac:dyDescent="0.35">
      <c r="A52" s="81"/>
      <c r="B52" s="91"/>
      <c r="C52" s="12"/>
      <c r="D52" s="12"/>
      <c r="E52" s="12"/>
      <c r="F52" s="36"/>
      <c r="G52" s="7"/>
      <c r="H52" s="5" t="str">
        <f t="array" ref="H52">IFERROR(INDEX($F$2:$F$181,SMALL(IF($G$2:$G$181=13,ROW($A$1:$A$163),""),ROW(A2))),"")</f>
        <v/>
      </c>
      <c r="J52" s="40"/>
      <c r="K52" s="13"/>
      <c r="L52" s="13"/>
      <c r="M52" s="65"/>
      <c r="N52" s="14"/>
      <c r="O52" s="9"/>
      <c r="P52" s="14"/>
      <c r="Q52" s="14"/>
      <c r="R52" s="10"/>
      <c r="S52" s="10"/>
    </row>
    <row r="53" spans="1:21" ht="14.55" thickTop="1" x14ac:dyDescent="0.3">
      <c r="A53" s="81"/>
      <c r="B53" s="92"/>
      <c r="C53" s="30"/>
      <c r="D53" s="8"/>
      <c r="E53" s="8"/>
      <c r="F53" s="34"/>
      <c r="G53" s="7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9" t="e">
        <f>STDEV(H51:H53)</f>
        <v>#DIV/0!</v>
      </c>
      <c r="K53" s="13"/>
      <c r="L53" s="13"/>
      <c r="M53" s="65"/>
      <c r="N53" s="14"/>
      <c r="O53" s="9"/>
      <c r="P53" s="14"/>
      <c r="Q53" s="14"/>
      <c r="R53" s="10"/>
      <c r="S53" s="10"/>
    </row>
    <row r="54" spans="1:21" x14ac:dyDescent="0.3">
      <c r="A54" s="81"/>
      <c r="B54" s="90"/>
      <c r="C54" s="11"/>
      <c r="D54" s="11"/>
      <c r="E54" s="11"/>
      <c r="F54" s="32"/>
      <c r="G54" s="7"/>
      <c r="H54" s="5" t="s">
        <v>24</v>
      </c>
      <c r="J54" s="40"/>
      <c r="K54" s="13"/>
      <c r="L54" s="13"/>
      <c r="M54" s="65"/>
      <c r="N54" s="14"/>
      <c r="O54" s="9"/>
      <c r="P54" s="14"/>
      <c r="Q54" s="14"/>
      <c r="R54" s="10"/>
      <c r="S54" s="10"/>
    </row>
    <row r="55" spans="1:21" ht="14.55" thickBot="1" x14ac:dyDescent="0.35">
      <c r="A55" s="82"/>
      <c r="B55" s="93"/>
      <c r="C55" s="12"/>
      <c r="D55" s="35"/>
      <c r="E55" s="35"/>
      <c r="F55" s="36"/>
      <c r="G55" s="7"/>
      <c r="H55" s="5" t="str">
        <f t="array" ref="H55">IFERROR(INDEX($F$2:$F$181,SMALL(IF($G$2:$G$181=14,ROW($A$1:$A$163),""),ROW(A1))),"")</f>
        <v/>
      </c>
      <c r="J55" s="40"/>
      <c r="K55" s="13"/>
      <c r="L55" s="13"/>
      <c r="M55" s="65"/>
      <c r="N55" s="14"/>
      <c r="O55" s="9"/>
      <c r="P55" s="14"/>
      <c r="Q55" s="14"/>
      <c r="R55" s="10"/>
      <c r="S55" s="10"/>
    </row>
    <row r="56" spans="1:21" ht="14.55" thickTop="1" x14ac:dyDescent="0.3">
      <c r="A56" s="88"/>
      <c r="B56" s="89"/>
      <c r="C56" s="30"/>
      <c r="D56" s="30"/>
      <c r="E56" s="30"/>
      <c r="F56" s="34"/>
      <c r="G56" s="7"/>
      <c r="H56" s="5" t="str">
        <f t="array" ref="H56">IFERROR(INDEX($F$2:$F$181,SMALL(IF($G$2:$G$181=14,ROW($A$1:$A$163),""),ROW(A2))),"")</f>
        <v/>
      </c>
      <c r="J56" s="40"/>
      <c r="K56" s="13"/>
      <c r="L56" s="13"/>
      <c r="M56" s="65"/>
      <c r="N56" s="14"/>
      <c r="O56" s="9"/>
      <c r="P56" s="14"/>
      <c r="Q56" s="14"/>
      <c r="R56" s="10"/>
      <c r="S56" s="10"/>
    </row>
    <row r="57" spans="1:21" x14ac:dyDescent="0.3">
      <c r="A57" s="81"/>
      <c r="B57" s="90"/>
      <c r="C57" s="11"/>
      <c r="D57" s="11"/>
      <c r="E57" s="11"/>
      <c r="F57" s="32"/>
      <c r="G57" s="7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9" t="e">
        <f>STDEV(H55:H57)</f>
        <v>#DIV/0!</v>
      </c>
      <c r="K57" s="13"/>
      <c r="L57" s="13"/>
      <c r="M57" s="65"/>
      <c r="N57" s="14"/>
      <c r="O57" s="9"/>
      <c r="P57" s="14"/>
      <c r="Q57" s="14"/>
      <c r="R57" s="10"/>
      <c r="S57" s="10"/>
    </row>
    <row r="58" spans="1:21" ht="14.55" thickBot="1" x14ac:dyDescent="0.35">
      <c r="A58" s="81"/>
      <c r="B58" s="91"/>
      <c r="C58" s="12"/>
      <c r="D58" s="12"/>
      <c r="E58" s="12"/>
      <c r="F58" s="36"/>
      <c r="G58" s="7"/>
      <c r="H58" s="5" t="s">
        <v>25</v>
      </c>
      <c r="J58" s="40"/>
      <c r="K58" s="13"/>
      <c r="L58" s="13"/>
      <c r="M58" s="65"/>
      <c r="N58" s="14"/>
      <c r="O58" s="9"/>
      <c r="P58" s="14"/>
      <c r="Q58" s="14"/>
      <c r="R58" s="10"/>
      <c r="S58" s="10"/>
    </row>
    <row r="59" spans="1:21" ht="14.55" thickTop="1" x14ac:dyDescent="0.3">
      <c r="A59" s="81"/>
      <c r="B59" s="92"/>
      <c r="C59" s="30"/>
      <c r="D59" s="8"/>
      <c r="E59" s="8"/>
      <c r="F59" s="34"/>
      <c r="G59" s="7"/>
      <c r="H59" s="5" t="str">
        <f t="array" ref="H59">IFERROR(INDEX($F$2:$F$181,SMALL(IF($G$2:$G$181=15,ROW($A$1:$A$163),""),ROW(A1))),"")</f>
        <v/>
      </c>
      <c r="J59" s="40"/>
      <c r="K59" s="13"/>
      <c r="L59" s="13"/>
      <c r="M59" s="65"/>
      <c r="N59" s="14"/>
      <c r="O59" s="9"/>
      <c r="P59" s="14"/>
      <c r="Q59" s="14"/>
      <c r="R59" s="10"/>
      <c r="S59" s="10"/>
    </row>
    <row r="60" spans="1:21" ht="14.55" thickBot="1" x14ac:dyDescent="0.35">
      <c r="A60" s="81"/>
      <c r="B60" s="90"/>
      <c r="C60" s="11"/>
      <c r="D60" s="11"/>
      <c r="E60" s="11"/>
      <c r="F60" s="32"/>
      <c r="G60" s="7"/>
      <c r="H60" s="5" t="str">
        <f t="array" ref="H60">IFERROR(INDEX($F$2:$F$181,SMALL(IF($G$2:$G$181=15,ROW($A$1:$A$163),""),ROW(A2))),"")</f>
        <v/>
      </c>
      <c r="J60" s="40"/>
      <c r="K60" s="13"/>
      <c r="L60" s="13"/>
      <c r="M60" s="65"/>
      <c r="N60" s="42"/>
      <c r="O60" s="9"/>
      <c r="P60" s="42"/>
      <c r="Q60" s="42"/>
      <c r="R60" s="43"/>
      <c r="S60" s="43"/>
      <c r="T60" s="44"/>
      <c r="U60" s="44"/>
    </row>
    <row r="61" spans="1:21" ht="14.55" thickBot="1" x14ac:dyDescent="0.35">
      <c r="A61" s="81"/>
      <c r="B61" s="91"/>
      <c r="C61" s="12"/>
      <c r="D61" s="12"/>
      <c r="E61" s="12"/>
      <c r="F61" s="36"/>
      <c r="G61" s="7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9" t="e">
        <f>STDEV(H59:H61)</f>
        <v>#DIV/0!</v>
      </c>
      <c r="K61" s="13"/>
      <c r="L61" s="13"/>
      <c r="M61" s="65"/>
      <c r="N61" s="14"/>
      <c r="O61" s="9"/>
      <c r="P61" s="14"/>
      <c r="Q61" s="14"/>
      <c r="R61" s="10"/>
      <c r="S61" s="10"/>
    </row>
    <row r="62" spans="1:21" ht="14.55" thickTop="1" x14ac:dyDescent="0.3">
      <c r="A62" s="81"/>
      <c r="B62" s="92"/>
      <c r="C62" s="30"/>
      <c r="D62" s="8"/>
      <c r="E62" s="8"/>
      <c r="F62" s="34"/>
      <c r="G62" s="7"/>
      <c r="H62" s="5" t="s">
        <v>26</v>
      </c>
      <c r="J62" s="40"/>
      <c r="K62" s="13"/>
      <c r="L62" s="13"/>
      <c r="M62" s="65"/>
      <c r="N62" s="14"/>
      <c r="O62" s="9"/>
      <c r="P62" s="14"/>
      <c r="Q62" s="14"/>
      <c r="R62" s="10"/>
      <c r="S62" s="10"/>
    </row>
    <row r="63" spans="1:21" x14ac:dyDescent="0.3">
      <c r="A63" s="81"/>
      <c r="B63" s="90"/>
      <c r="C63" s="11"/>
      <c r="D63" s="11"/>
      <c r="E63" s="11"/>
      <c r="F63" s="32"/>
      <c r="G63" s="7"/>
      <c r="H63" s="5" t="str">
        <f t="array" ref="H63">IFERROR(INDEX($F$2:$F$181,SMALL(IF($G$2:$G$181=16,ROW($A$1:$A$163),""),ROW(A1))),"")</f>
        <v/>
      </c>
      <c r="J63" s="40"/>
      <c r="K63" s="13"/>
      <c r="L63" s="13"/>
      <c r="M63" s="65"/>
      <c r="N63" s="14"/>
      <c r="O63" s="9"/>
      <c r="P63" s="14"/>
      <c r="Q63" s="14"/>
      <c r="R63" s="10"/>
      <c r="S63" s="10"/>
    </row>
    <row r="64" spans="1:21" ht="14.55" thickBot="1" x14ac:dyDescent="0.35">
      <c r="A64" s="82"/>
      <c r="B64" s="93"/>
      <c r="C64" s="12"/>
      <c r="D64" s="35"/>
      <c r="E64" s="35"/>
      <c r="F64" s="36"/>
      <c r="G64" s="7"/>
      <c r="H64" s="5" t="str">
        <f t="array" ref="H64">IFERROR(INDEX($F$2:$F$181,SMALL(IF($G$2:$G$181=16,ROW($A$1:$A$163),""),ROW(A2))),"")</f>
        <v/>
      </c>
      <c r="J64" s="40"/>
      <c r="K64" s="13"/>
      <c r="L64" s="13"/>
      <c r="M64" s="65"/>
      <c r="N64" s="14"/>
      <c r="O64" s="9"/>
      <c r="P64" s="14"/>
      <c r="Q64" s="14"/>
      <c r="R64" s="10"/>
      <c r="S64" s="10"/>
    </row>
    <row r="65" spans="1:19" ht="14.55" thickTop="1" x14ac:dyDescent="0.3">
      <c r="A65" s="88"/>
      <c r="B65" s="89"/>
      <c r="C65" s="30"/>
      <c r="D65" s="30"/>
      <c r="E65" s="30"/>
      <c r="F65" s="34"/>
      <c r="G65" s="7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9" t="e">
        <f>STDEV(H63:H65)</f>
        <v>#DIV/0!</v>
      </c>
      <c r="K65" s="13"/>
      <c r="L65" s="13"/>
      <c r="M65" s="65"/>
      <c r="N65" s="14"/>
      <c r="O65" s="9"/>
      <c r="P65" s="14"/>
      <c r="Q65" s="14"/>
      <c r="R65" s="10"/>
      <c r="S65" s="10"/>
    </row>
    <row r="66" spans="1:19" x14ac:dyDescent="0.3">
      <c r="A66" s="81"/>
      <c r="B66" s="90"/>
      <c r="C66" s="11"/>
      <c r="D66" s="11"/>
      <c r="E66" s="11"/>
      <c r="F66" s="32"/>
      <c r="G66" s="7"/>
      <c r="H66" s="5" t="s">
        <v>27</v>
      </c>
      <c r="J66" s="40"/>
      <c r="K66" s="13"/>
      <c r="L66" s="13"/>
      <c r="M66" s="65"/>
      <c r="N66" s="14"/>
      <c r="O66" s="9"/>
      <c r="P66" s="14"/>
      <c r="Q66" s="14"/>
      <c r="R66" s="10"/>
      <c r="S66" s="10"/>
    </row>
    <row r="67" spans="1:19" ht="14.55" thickBot="1" x14ac:dyDescent="0.35">
      <c r="A67" s="81"/>
      <c r="B67" s="91"/>
      <c r="C67" s="12"/>
      <c r="D67" s="12"/>
      <c r="E67" s="12"/>
      <c r="F67" s="36"/>
      <c r="G67" s="7"/>
      <c r="H67" s="5" t="str">
        <f t="array" ref="H67">IFERROR(INDEX($F$2:$F$181,SMALL(IF($G$2:$G$181=17,ROW($A$1:$A$163),""),ROW(A1))),"")</f>
        <v/>
      </c>
      <c r="J67" s="40"/>
      <c r="K67" s="13"/>
      <c r="L67" s="13"/>
      <c r="M67" s="65"/>
      <c r="N67" s="14"/>
      <c r="O67" s="9"/>
      <c r="P67" s="14"/>
      <c r="Q67" s="14"/>
      <c r="R67" s="10"/>
      <c r="S67" s="10"/>
    </row>
    <row r="68" spans="1:19" ht="14.55" thickTop="1" x14ac:dyDescent="0.3">
      <c r="A68" s="81"/>
      <c r="B68" s="92"/>
      <c r="C68" s="30"/>
      <c r="D68" s="8"/>
      <c r="E68" s="8"/>
      <c r="F68" s="34"/>
      <c r="G68" s="7"/>
      <c r="H68" s="5" t="str">
        <f t="array" ref="H68">IFERROR(INDEX($F$2:$F$181,SMALL(IF($G$2:$G$181=17,ROW($A$1:$A$163),""),ROW(A2))),"")</f>
        <v/>
      </c>
      <c r="J68" s="40"/>
      <c r="K68" s="13"/>
      <c r="L68" s="13"/>
      <c r="M68" s="65"/>
      <c r="N68" s="14"/>
      <c r="O68" s="9"/>
      <c r="P68" s="14"/>
      <c r="Q68" s="14"/>
      <c r="R68" s="10"/>
      <c r="S68" s="10"/>
    </row>
    <row r="69" spans="1:19" x14ac:dyDescent="0.3">
      <c r="A69" s="81"/>
      <c r="B69" s="90"/>
      <c r="C69" s="11"/>
      <c r="D69" s="11"/>
      <c r="E69" s="11"/>
      <c r="F69" s="32"/>
      <c r="G69" s="7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9" t="e">
        <f>STDEV(H67:H69)</f>
        <v>#DIV/0!</v>
      </c>
      <c r="K69" s="13"/>
      <c r="L69" s="13"/>
      <c r="M69" s="65"/>
      <c r="N69" s="14"/>
      <c r="O69" s="9"/>
      <c r="P69" s="14"/>
      <c r="Q69" s="14"/>
      <c r="R69" s="10"/>
      <c r="S69" s="10"/>
    </row>
    <row r="70" spans="1:19" ht="14.55" thickBot="1" x14ac:dyDescent="0.35">
      <c r="A70" s="81"/>
      <c r="B70" s="91"/>
      <c r="C70" s="12"/>
      <c r="D70" s="12"/>
      <c r="E70" s="12"/>
      <c r="F70" s="36"/>
      <c r="G70" s="7"/>
      <c r="H70" s="5" t="s">
        <v>28</v>
      </c>
      <c r="J70" s="40"/>
      <c r="K70" s="13"/>
      <c r="L70" s="13"/>
      <c r="M70" s="65"/>
      <c r="N70" s="14"/>
      <c r="O70" s="9"/>
      <c r="P70" s="14"/>
      <c r="Q70" s="14"/>
      <c r="R70" s="10"/>
      <c r="S70" s="10"/>
    </row>
    <row r="71" spans="1:19" ht="14.55" thickTop="1" x14ac:dyDescent="0.3">
      <c r="A71" s="81"/>
      <c r="B71" s="92"/>
      <c r="C71" s="30"/>
      <c r="D71" s="8"/>
      <c r="E71" s="8"/>
      <c r="F71" s="34"/>
      <c r="G71" s="7"/>
      <c r="H71" s="5" t="str">
        <f t="array" ref="H71">IFERROR(INDEX($F$2:$F$181,SMALL(IF($G$2:$G$181=18,ROW($A$1:$A$180),""),ROW(A1))),"")</f>
        <v/>
      </c>
      <c r="J71" s="40"/>
      <c r="K71" s="13"/>
      <c r="L71" s="13"/>
      <c r="M71" s="65"/>
      <c r="N71" s="14"/>
      <c r="O71" s="9"/>
      <c r="P71" s="14"/>
      <c r="Q71" s="14"/>
      <c r="R71" s="10"/>
      <c r="S71" s="10"/>
    </row>
    <row r="72" spans="1:19" x14ac:dyDescent="0.3">
      <c r="A72" s="81"/>
      <c r="B72" s="90"/>
      <c r="C72" s="11"/>
      <c r="D72" s="11"/>
      <c r="E72" s="11"/>
      <c r="F72" s="32"/>
      <c r="G72" s="7"/>
      <c r="H72" s="5" t="str">
        <f t="array" ref="H72">IFERROR(INDEX($F$2:$F$181,SMALL(IF($G$2:$G$181=18,ROW($A$1:$A$180),""),ROW(A2))),"")</f>
        <v/>
      </c>
      <c r="J72" s="40"/>
      <c r="K72" s="13"/>
      <c r="L72" s="13"/>
      <c r="M72" s="65"/>
      <c r="N72" s="14"/>
      <c r="O72" s="9"/>
      <c r="P72" s="14"/>
      <c r="Q72" s="14"/>
      <c r="R72" s="10"/>
      <c r="S72" s="10"/>
    </row>
    <row r="73" spans="1:19" ht="14.55" thickBot="1" x14ac:dyDescent="0.35">
      <c r="A73" s="82"/>
      <c r="B73" s="93"/>
      <c r="C73" s="12"/>
      <c r="D73" s="35"/>
      <c r="E73" s="35"/>
      <c r="F73" s="36"/>
      <c r="G73" s="7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9" t="e">
        <f>STDEV(H71:H73)</f>
        <v>#DIV/0!</v>
      </c>
      <c r="K73" s="13"/>
      <c r="L73" s="13"/>
      <c r="M73" s="65"/>
      <c r="N73" s="14"/>
      <c r="O73" s="9"/>
      <c r="P73" s="14"/>
      <c r="Q73" s="14"/>
      <c r="R73" s="10"/>
      <c r="S73" s="10"/>
    </row>
    <row r="74" spans="1:19" ht="14.55" thickTop="1" x14ac:dyDescent="0.3">
      <c r="A74" s="88"/>
      <c r="B74" s="89"/>
      <c r="C74" s="30"/>
      <c r="D74" s="30"/>
      <c r="E74" s="30"/>
      <c r="F74" s="34"/>
      <c r="G74" s="7"/>
      <c r="H74" s="5" t="s">
        <v>29</v>
      </c>
      <c r="J74" s="40"/>
      <c r="K74" s="13"/>
      <c r="L74" s="13"/>
      <c r="M74" s="65"/>
      <c r="N74" s="14"/>
      <c r="O74" s="9"/>
      <c r="P74" s="14"/>
      <c r="Q74" s="14"/>
      <c r="R74" s="10"/>
      <c r="S74" s="10"/>
    </row>
    <row r="75" spans="1:19" x14ac:dyDescent="0.3">
      <c r="A75" s="81"/>
      <c r="B75" s="90"/>
      <c r="C75" s="11"/>
      <c r="D75" s="11"/>
      <c r="E75" s="11"/>
      <c r="F75" s="32"/>
      <c r="G75" s="7"/>
      <c r="H75" s="5" t="str">
        <f t="array" ref="H75">IFERROR(INDEX($F$2:$F$181,SMALL(IF($G$2:$G$181=19,ROW($A$1:$A$180),""),ROW(A1))),"")</f>
        <v/>
      </c>
      <c r="J75" s="40"/>
      <c r="K75" s="13"/>
      <c r="L75" s="13"/>
      <c r="M75" s="65"/>
      <c r="N75" s="14"/>
      <c r="O75" s="9"/>
      <c r="P75" s="14"/>
      <c r="Q75" s="14"/>
      <c r="R75" s="10"/>
      <c r="S75" s="10"/>
    </row>
    <row r="76" spans="1:19" ht="14.55" thickBot="1" x14ac:dyDescent="0.35">
      <c r="A76" s="81"/>
      <c r="B76" s="91"/>
      <c r="C76" s="12"/>
      <c r="D76" s="12"/>
      <c r="E76" s="12"/>
      <c r="F76" s="36"/>
      <c r="G76" s="7"/>
      <c r="H76" s="5" t="str">
        <f t="array" ref="H76">IFERROR(INDEX($F$2:$F$181,SMALL(IF($G$2:$G$181=19,ROW($A$1:$A$180),""),ROW(A2))),"")</f>
        <v/>
      </c>
      <c r="J76" s="40"/>
      <c r="K76" s="13"/>
      <c r="L76" s="13"/>
      <c r="M76" s="65"/>
      <c r="N76" s="14"/>
      <c r="O76" s="9"/>
      <c r="P76" s="14"/>
      <c r="Q76" s="14"/>
      <c r="R76" s="10"/>
      <c r="S76" s="10"/>
    </row>
    <row r="77" spans="1:19" ht="14.55" thickTop="1" x14ac:dyDescent="0.3">
      <c r="A77" s="81"/>
      <c r="B77" s="92"/>
      <c r="C77" s="30"/>
      <c r="D77" s="8"/>
      <c r="E77" s="8"/>
      <c r="F77" s="34"/>
      <c r="G77" s="7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9" t="e">
        <f>STDEV(H75:H77)</f>
        <v>#DIV/0!</v>
      </c>
      <c r="K77" s="13"/>
      <c r="L77" s="13"/>
      <c r="M77" s="65"/>
      <c r="N77" s="14"/>
      <c r="O77" s="9"/>
      <c r="P77" s="14"/>
      <c r="Q77" s="14"/>
      <c r="R77" s="10"/>
      <c r="S77" s="10"/>
    </row>
    <row r="78" spans="1:19" x14ac:dyDescent="0.3">
      <c r="A78" s="81"/>
      <c r="B78" s="90"/>
      <c r="C78" s="11"/>
      <c r="D78" s="11"/>
      <c r="E78" s="11"/>
      <c r="F78" s="32"/>
      <c r="G78" s="7"/>
      <c r="H78" s="5" t="s">
        <v>30</v>
      </c>
      <c r="J78" s="40"/>
      <c r="K78" s="13"/>
      <c r="L78" s="13"/>
      <c r="M78" s="65"/>
      <c r="N78" s="14"/>
      <c r="O78" s="9"/>
      <c r="P78" s="14"/>
      <c r="Q78" s="14"/>
      <c r="R78" s="10"/>
      <c r="S78" s="10"/>
    </row>
    <row r="79" spans="1:19" ht="14.55" thickBot="1" x14ac:dyDescent="0.35">
      <c r="A79" s="81"/>
      <c r="B79" s="91"/>
      <c r="C79" s="12"/>
      <c r="D79" s="12"/>
      <c r="E79" s="12"/>
      <c r="F79" s="36"/>
      <c r="G79" s="7"/>
      <c r="H79" s="5" t="str">
        <f t="array" ref="H79">IFERROR(INDEX($F$2:$F$181,SMALL(IF($G$2:$G$181=20,ROW($A$1:$A$180),""),ROW(A1))),"")</f>
        <v/>
      </c>
      <c r="J79" s="40"/>
      <c r="K79" s="13"/>
      <c r="L79" s="13"/>
      <c r="M79" s="65"/>
      <c r="N79" s="14"/>
      <c r="O79" s="9"/>
      <c r="P79" s="14"/>
      <c r="Q79" s="14"/>
      <c r="R79" s="10"/>
      <c r="S79" s="10"/>
    </row>
    <row r="80" spans="1:19" ht="14.55" thickTop="1" x14ac:dyDescent="0.3">
      <c r="A80" s="81"/>
      <c r="B80" s="92"/>
      <c r="C80" s="30"/>
      <c r="D80" s="8"/>
      <c r="E80" s="8"/>
      <c r="F80" s="34"/>
      <c r="G80" s="7"/>
      <c r="H80" s="5" t="str">
        <f t="array" ref="H80">IFERROR(INDEX($F$2:$F$181,SMALL(IF($G$2:$G$181=20,ROW($A$1:$A$180),""),ROW(A2))),"")</f>
        <v/>
      </c>
      <c r="J80" s="40"/>
      <c r="K80" s="13"/>
      <c r="L80" s="13"/>
      <c r="M80" s="65"/>
      <c r="N80" s="14"/>
      <c r="O80" s="9"/>
      <c r="P80" s="14"/>
      <c r="Q80" s="14"/>
      <c r="R80" s="10"/>
      <c r="S80" s="10"/>
    </row>
    <row r="81" spans="1:22" x14ac:dyDescent="0.3">
      <c r="A81" s="81"/>
      <c r="B81" s="90"/>
      <c r="C81" s="11"/>
      <c r="D81" s="11"/>
      <c r="E81" s="11"/>
      <c r="F81" s="32"/>
      <c r="G81" s="7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9" t="e">
        <f>STDEV(H79:H81)</f>
        <v>#DIV/0!</v>
      </c>
      <c r="K81" s="13"/>
      <c r="L81" s="13"/>
      <c r="M81" s="65"/>
      <c r="N81" s="14"/>
      <c r="O81" s="9"/>
      <c r="P81" s="14"/>
      <c r="Q81" s="14"/>
      <c r="R81" s="10"/>
      <c r="S81" s="10"/>
    </row>
    <row r="82" spans="1:22" ht="14.55" thickBot="1" x14ac:dyDescent="0.35">
      <c r="A82" s="82"/>
      <c r="B82" s="93"/>
      <c r="C82" s="12"/>
      <c r="D82" s="35"/>
      <c r="E82" s="35"/>
      <c r="F82" s="36"/>
      <c r="G82" s="7"/>
      <c r="J82" s="40"/>
      <c r="K82" s="13"/>
      <c r="L82" s="13"/>
      <c r="M82" s="65"/>
      <c r="N82" s="14"/>
      <c r="O82" s="9"/>
      <c r="P82" s="14"/>
      <c r="Q82" s="14"/>
      <c r="R82" s="10"/>
      <c r="S82" s="10"/>
    </row>
    <row r="83" spans="1:22" ht="14.55" thickTop="1" x14ac:dyDescent="0.3">
      <c r="A83" s="50"/>
      <c r="B83" s="53"/>
      <c r="C83" s="30"/>
      <c r="D83" s="30"/>
      <c r="E83" s="30"/>
      <c r="F83" s="31"/>
      <c r="G83" s="7"/>
      <c r="J83" s="40"/>
      <c r="K83" s="13"/>
      <c r="L83" s="13"/>
      <c r="M83" s="65"/>
      <c r="N83" s="14"/>
      <c r="O83" s="9"/>
      <c r="P83" s="14"/>
      <c r="Q83" s="14"/>
      <c r="R83" s="10"/>
      <c r="S83" s="10"/>
      <c r="T83" s="49"/>
      <c r="U83" s="49"/>
      <c r="V83" s="15"/>
    </row>
    <row r="84" spans="1:22" x14ac:dyDescent="0.3">
      <c r="A84" s="51"/>
      <c r="B84" s="54"/>
      <c r="C84" s="11"/>
      <c r="D84" s="11"/>
      <c r="E84" s="11"/>
      <c r="F84" s="32"/>
      <c r="G84" s="7"/>
      <c r="J84" s="40"/>
      <c r="K84" s="13"/>
      <c r="L84" s="13"/>
      <c r="M84" s="65"/>
      <c r="N84" s="14"/>
      <c r="O84" s="9"/>
      <c r="P84" s="14"/>
      <c r="Q84" s="14"/>
      <c r="R84" s="10"/>
      <c r="S84" s="10"/>
    </row>
    <row r="85" spans="1:22" ht="14.55" thickBot="1" x14ac:dyDescent="0.35">
      <c r="A85" s="51"/>
      <c r="B85" s="55"/>
      <c r="C85" s="12"/>
      <c r="D85" s="12"/>
      <c r="E85" s="12"/>
      <c r="F85" s="33"/>
      <c r="G85" s="7"/>
      <c r="J85" s="40"/>
      <c r="K85" s="13"/>
      <c r="L85" s="13"/>
      <c r="M85" s="65"/>
      <c r="N85" s="14"/>
      <c r="O85" s="9"/>
      <c r="P85" s="14"/>
      <c r="Q85" s="14"/>
      <c r="R85" s="10"/>
      <c r="S85" s="10"/>
    </row>
    <row r="86" spans="1:22" x14ac:dyDescent="0.3">
      <c r="A86" s="51"/>
      <c r="B86" s="56"/>
      <c r="C86" s="8"/>
      <c r="D86" s="8"/>
      <c r="E86" s="8"/>
      <c r="F86" s="34"/>
      <c r="G86" s="7"/>
      <c r="J86" s="40"/>
      <c r="K86" s="13"/>
      <c r="L86" s="13"/>
      <c r="M86" s="65"/>
      <c r="N86" s="14"/>
      <c r="O86" s="9"/>
      <c r="P86" s="14"/>
      <c r="Q86" s="14"/>
      <c r="R86" s="10"/>
      <c r="S86" s="10"/>
    </row>
    <row r="87" spans="1:22" x14ac:dyDescent="0.3">
      <c r="A87" s="51"/>
      <c r="B87" s="54"/>
      <c r="C87" s="11"/>
      <c r="D87" s="11"/>
      <c r="E87" s="11"/>
      <c r="F87" s="32"/>
      <c r="G87" s="7"/>
      <c r="J87" s="40"/>
      <c r="K87" s="13"/>
      <c r="L87" s="13"/>
      <c r="M87" s="65"/>
      <c r="N87" s="14"/>
      <c r="O87" s="9"/>
      <c r="P87" s="14"/>
      <c r="Q87" s="14"/>
      <c r="R87" s="10"/>
      <c r="S87" s="10"/>
    </row>
    <row r="88" spans="1:22" ht="14.55" thickBot="1" x14ac:dyDescent="0.35">
      <c r="A88" s="51"/>
      <c r="B88" s="55"/>
      <c r="C88" s="12"/>
      <c r="D88" s="12"/>
      <c r="E88" s="12"/>
      <c r="F88" s="33"/>
      <c r="G88" s="7"/>
      <c r="J88" s="40"/>
      <c r="K88" s="13"/>
      <c r="L88" s="13"/>
      <c r="M88" s="65"/>
      <c r="N88" s="14"/>
      <c r="O88" s="9"/>
      <c r="P88" s="14"/>
      <c r="Q88" s="14"/>
      <c r="R88" s="10"/>
      <c r="S88" s="10"/>
    </row>
    <row r="89" spans="1:22" x14ac:dyDescent="0.3">
      <c r="A89" s="51"/>
      <c r="B89" s="56"/>
      <c r="C89" s="8"/>
      <c r="D89" s="8"/>
      <c r="E89" s="8"/>
      <c r="F89" s="34"/>
      <c r="G89" s="7"/>
      <c r="J89" s="40"/>
      <c r="K89" s="13"/>
      <c r="L89" s="13"/>
      <c r="M89" s="65"/>
      <c r="N89" s="14"/>
      <c r="O89" s="9"/>
      <c r="P89" s="14"/>
      <c r="Q89" s="14"/>
      <c r="R89" s="10"/>
      <c r="S89" s="10"/>
    </row>
    <row r="90" spans="1:22" x14ac:dyDescent="0.3">
      <c r="A90" s="51"/>
      <c r="B90" s="54"/>
      <c r="C90" s="11"/>
      <c r="D90" s="11"/>
      <c r="E90" s="11"/>
      <c r="F90" s="32"/>
      <c r="G90" s="7"/>
      <c r="J90" s="40"/>
      <c r="K90" s="13"/>
      <c r="L90" s="13"/>
      <c r="M90" s="65"/>
      <c r="N90" s="14"/>
      <c r="O90" s="9"/>
      <c r="P90" s="14"/>
      <c r="Q90" s="14"/>
      <c r="R90" s="10"/>
      <c r="S90" s="10"/>
    </row>
    <row r="91" spans="1:22" ht="14.55" thickBot="1" x14ac:dyDescent="0.35">
      <c r="A91" s="52"/>
      <c r="B91" s="57"/>
      <c r="C91" s="35"/>
      <c r="D91" s="35"/>
      <c r="E91" s="35"/>
      <c r="F91" s="36"/>
      <c r="G91" s="7"/>
      <c r="J91" s="40"/>
      <c r="K91" s="13"/>
      <c r="L91" s="13"/>
      <c r="M91" s="65"/>
      <c r="N91" s="14"/>
      <c r="O91" s="9"/>
      <c r="P91" s="14"/>
      <c r="Q91" s="14"/>
      <c r="R91" s="10"/>
      <c r="S91" s="10"/>
    </row>
    <row r="92" spans="1:22" ht="14.55" thickTop="1" x14ac:dyDescent="0.3">
      <c r="A92" s="50"/>
      <c r="B92" s="53"/>
      <c r="C92" s="30"/>
      <c r="D92" s="30"/>
      <c r="E92" s="30"/>
      <c r="F92" s="31"/>
      <c r="G92" s="7"/>
      <c r="J92" s="40"/>
      <c r="K92" s="13"/>
      <c r="L92" s="13"/>
      <c r="M92" s="65"/>
      <c r="N92" s="14"/>
      <c r="O92" s="9"/>
      <c r="P92" s="14"/>
      <c r="Q92" s="14"/>
      <c r="R92" s="10"/>
      <c r="S92" s="10"/>
    </row>
    <row r="93" spans="1:22" ht="14.55" thickBot="1" x14ac:dyDescent="0.35">
      <c r="A93" s="51"/>
      <c r="B93" s="54"/>
      <c r="C93" s="11"/>
      <c r="D93" s="11"/>
      <c r="E93" s="11"/>
      <c r="F93" s="32"/>
      <c r="G93" s="7"/>
      <c r="J93" s="40"/>
      <c r="K93" s="13"/>
      <c r="L93" s="13"/>
      <c r="M93" s="65"/>
      <c r="N93" s="14"/>
      <c r="O93" s="9"/>
      <c r="P93" s="14"/>
      <c r="Q93" s="14"/>
      <c r="R93" s="10"/>
      <c r="S93" s="10"/>
      <c r="T93" s="44"/>
      <c r="U93" s="44"/>
      <c r="V93" s="16"/>
    </row>
    <row r="94" spans="1:22" ht="14.55" thickBot="1" x14ac:dyDescent="0.35">
      <c r="A94" s="51"/>
      <c r="B94" s="55"/>
      <c r="C94" s="12"/>
      <c r="D94" s="12"/>
      <c r="E94" s="12"/>
      <c r="F94" s="33"/>
      <c r="G94" s="7"/>
      <c r="J94" s="40"/>
      <c r="K94" s="13"/>
      <c r="L94" s="13"/>
      <c r="M94" s="65"/>
      <c r="N94" s="14"/>
      <c r="O94" s="9"/>
      <c r="P94" s="14"/>
      <c r="Q94" s="14"/>
      <c r="R94" s="10"/>
      <c r="S94" s="10"/>
    </row>
    <row r="95" spans="1:22" x14ac:dyDescent="0.3">
      <c r="A95" s="51"/>
      <c r="B95" s="56"/>
      <c r="C95" s="8"/>
      <c r="D95" s="17"/>
      <c r="E95" s="17"/>
      <c r="F95" s="34"/>
      <c r="G95" s="7"/>
      <c r="J95" s="40"/>
      <c r="K95" s="13"/>
      <c r="L95" s="13"/>
      <c r="M95" s="65"/>
      <c r="N95" s="14"/>
      <c r="O95" s="9"/>
      <c r="P95" s="14"/>
      <c r="Q95" s="14"/>
      <c r="R95" s="10"/>
      <c r="S95" s="10"/>
    </row>
    <row r="96" spans="1:22" x14ac:dyDescent="0.3">
      <c r="A96" s="51"/>
      <c r="B96" s="54"/>
      <c r="C96" s="11"/>
      <c r="D96" s="18"/>
      <c r="E96" s="18"/>
      <c r="F96" s="32"/>
      <c r="G96" s="7"/>
      <c r="J96" s="40"/>
      <c r="K96" s="13"/>
      <c r="L96" s="13"/>
      <c r="M96" s="65"/>
      <c r="N96" s="14"/>
      <c r="O96" s="9"/>
      <c r="P96" s="14"/>
      <c r="Q96" s="14"/>
      <c r="R96" s="10"/>
      <c r="S96" s="10"/>
    </row>
    <row r="97" spans="1:19" ht="14.55" thickBot="1" x14ac:dyDescent="0.35">
      <c r="A97" s="51"/>
      <c r="B97" s="55"/>
      <c r="C97" s="12"/>
      <c r="D97" s="19"/>
      <c r="E97" s="19"/>
      <c r="F97" s="33"/>
      <c r="G97" s="7"/>
      <c r="J97" s="40"/>
      <c r="K97" s="13"/>
      <c r="L97" s="13"/>
      <c r="M97" s="65"/>
      <c r="N97" s="14"/>
      <c r="O97" s="9"/>
      <c r="P97" s="14"/>
      <c r="Q97" s="14"/>
      <c r="R97" s="10"/>
      <c r="S97" s="10"/>
    </row>
    <row r="98" spans="1:19" x14ac:dyDescent="0.3">
      <c r="A98" s="51"/>
      <c r="B98" s="56"/>
      <c r="C98" s="8"/>
      <c r="D98" s="8"/>
      <c r="E98" s="8"/>
      <c r="F98" s="34"/>
      <c r="G98" s="7"/>
      <c r="J98" s="40"/>
      <c r="K98" s="13"/>
      <c r="L98" s="13"/>
      <c r="M98" s="65"/>
      <c r="N98" s="14"/>
      <c r="O98" s="9"/>
      <c r="P98" s="14"/>
      <c r="Q98" s="14"/>
      <c r="R98" s="10"/>
      <c r="S98" s="10"/>
    </row>
    <row r="99" spans="1:19" x14ac:dyDescent="0.3">
      <c r="A99" s="51"/>
      <c r="B99" s="54"/>
      <c r="C99" s="11"/>
      <c r="D99" s="11"/>
      <c r="E99" s="11"/>
      <c r="F99" s="32"/>
      <c r="G99" s="7"/>
      <c r="J99" s="40"/>
      <c r="K99" s="13"/>
      <c r="L99" s="13"/>
      <c r="M99" s="65"/>
      <c r="N99" s="14"/>
      <c r="O99" s="9"/>
      <c r="P99" s="14"/>
      <c r="Q99" s="14"/>
      <c r="R99" s="10"/>
      <c r="S99" s="10"/>
    </row>
    <row r="100" spans="1:19" ht="14.55" thickBot="1" x14ac:dyDescent="0.35">
      <c r="A100" s="52"/>
      <c r="B100" s="57"/>
      <c r="C100" s="35"/>
      <c r="D100" s="35"/>
      <c r="E100" s="35"/>
      <c r="F100" s="36"/>
      <c r="G100" s="7"/>
      <c r="J100" s="40"/>
      <c r="K100" s="13"/>
      <c r="L100" s="13"/>
      <c r="M100" s="65"/>
      <c r="N100" s="14"/>
      <c r="O100" s="9"/>
      <c r="P100" s="14"/>
      <c r="Q100" s="14"/>
      <c r="R100" s="10"/>
      <c r="S100" s="10"/>
    </row>
    <row r="101" spans="1:19" ht="14.55" thickTop="1" x14ac:dyDescent="0.3">
      <c r="A101" s="50"/>
      <c r="B101" s="53"/>
      <c r="C101" s="30"/>
      <c r="D101" s="30"/>
      <c r="E101" s="30"/>
      <c r="F101" s="31"/>
      <c r="G101" s="7"/>
      <c r="J101" s="40"/>
      <c r="K101" s="13"/>
      <c r="L101" s="13"/>
      <c r="M101" s="65"/>
      <c r="N101" s="14"/>
      <c r="O101" s="9"/>
      <c r="P101" s="14"/>
      <c r="Q101" s="14"/>
      <c r="R101" s="10"/>
      <c r="S101" s="10"/>
    </row>
    <row r="102" spans="1:19" x14ac:dyDescent="0.3">
      <c r="A102" s="51"/>
      <c r="B102" s="54"/>
      <c r="C102" s="11"/>
      <c r="D102" s="11"/>
      <c r="E102" s="11"/>
      <c r="F102" s="32"/>
      <c r="G102" s="7"/>
      <c r="J102" s="40"/>
      <c r="K102" s="13"/>
      <c r="L102" s="13"/>
      <c r="M102" s="65"/>
      <c r="N102" s="14"/>
      <c r="O102" s="9"/>
      <c r="P102" s="14"/>
      <c r="Q102" s="14"/>
      <c r="R102" s="10"/>
      <c r="S102" s="10"/>
    </row>
    <row r="103" spans="1:19" ht="14.55" thickBot="1" x14ac:dyDescent="0.35">
      <c r="A103" s="51"/>
      <c r="B103" s="55"/>
      <c r="C103" s="12"/>
      <c r="D103" s="12"/>
      <c r="E103" s="12"/>
      <c r="F103" s="33"/>
      <c r="G103" s="7"/>
      <c r="J103" s="40"/>
      <c r="K103" s="13"/>
      <c r="L103" s="13"/>
      <c r="M103" s="65"/>
      <c r="N103" s="14"/>
      <c r="O103" s="9"/>
      <c r="P103" s="14"/>
      <c r="Q103" s="14"/>
      <c r="R103" s="10"/>
      <c r="S103" s="10"/>
    </row>
    <row r="104" spans="1:19" x14ac:dyDescent="0.3">
      <c r="A104" s="51"/>
      <c r="B104" s="56"/>
      <c r="C104" s="8"/>
      <c r="D104" s="8"/>
      <c r="E104" s="8"/>
      <c r="F104" s="34"/>
      <c r="G104" s="7"/>
      <c r="J104" s="40"/>
      <c r="K104" s="13"/>
      <c r="L104" s="13"/>
      <c r="M104" s="65"/>
      <c r="N104" s="14"/>
      <c r="O104" s="9"/>
      <c r="P104" s="14"/>
      <c r="Q104" s="14"/>
      <c r="R104" s="10"/>
      <c r="S104" s="10"/>
    </row>
    <row r="105" spans="1:19" x14ac:dyDescent="0.3">
      <c r="A105" s="51"/>
      <c r="B105" s="54"/>
      <c r="C105" s="11"/>
      <c r="D105" s="11"/>
      <c r="E105" s="11"/>
      <c r="F105" s="32"/>
      <c r="G105" s="7"/>
      <c r="J105" s="40"/>
      <c r="K105" s="13"/>
      <c r="L105" s="13"/>
      <c r="M105" s="65"/>
      <c r="N105" s="14"/>
      <c r="O105" s="9"/>
      <c r="P105" s="14"/>
      <c r="Q105" s="14"/>
      <c r="R105" s="10"/>
      <c r="S105" s="10"/>
    </row>
    <row r="106" spans="1:19" ht="14.55" thickBot="1" x14ac:dyDescent="0.35">
      <c r="A106" s="51"/>
      <c r="B106" s="55"/>
      <c r="C106" s="12"/>
      <c r="D106" s="12"/>
      <c r="E106" s="12"/>
      <c r="F106" s="33"/>
      <c r="G106" s="7"/>
      <c r="J106" s="40"/>
      <c r="K106" s="13"/>
      <c r="L106" s="13"/>
      <c r="M106" s="65"/>
      <c r="N106" s="14"/>
      <c r="O106" s="9"/>
      <c r="P106" s="14"/>
      <c r="Q106" s="14"/>
      <c r="R106" s="10"/>
      <c r="S106" s="10"/>
    </row>
    <row r="107" spans="1:19" x14ac:dyDescent="0.3">
      <c r="A107" s="51"/>
      <c r="B107" s="56"/>
      <c r="C107" s="8"/>
      <c r="D107" s="8"/>
      <c r="E107" s="8"/>
      <c r="F107" s="34"/>
      <c r="G107" s="7"/>
      <c r="J107" s="40"/>
      <c r="K107" s="13"/>
      <c r="L107" s="13"/>
      <c r="M107" s="65"/>
      <c r="N107" s="14"/>
      <c r="O107" s="9"/>
      <c r="P107" s="14"/>
      <c r="Q107" s="14"/>
      <c r="R107" s="10"/>
      <c r="S107" s="10"/>
    </row>
    <row r="108" spans="1:19" x14ac:dyDescent="0.3">
      <c r="A108" s="51"/>
      <c r="B108" s="54"/>
      <c r="C108" s="11"/>
      <c r="D108" s="11"/>
      <c r="E108" s="11"/>
      <c r="F108" s="32"/>
      <c r="G108" s="7"/>
      <c r="J108" s="40"/>
      <c r="K108" s="13"/>
      <c r="L108" s="13"/>
      <c r="M108" s="65"/>
      <c r="N108" s="14"/>
      <c r="O108" s="9"/>
      <c r="P108" s="14"/>
      <c r="Q108" s="14"/>
      <c r="R108" s="10"/>
      <c r="S108" s="10"/>
    </row>
    <row r="109" spans="1:19" ht="14.55" thickBot="1" x14ac:dyDescent="0.35">
      <c r="A109" s="52"/>
      <c r="B109" s="57"/>
      <c r="C109" s="35"/>
      <c r="D109" s="35"/>
      <c r="E109" s="35"/>
      <c r="F109" s="36"/>
      <c r="G109" s="7"/>
      <c r="J109" s="40"/>
      <c r="K109" s="13"/>
      <c r="L109" s="13"/>
      <c r="M109" s="65"/>
      <c r="N109" s="14"/>
      <c r="O109" s="9"/>
      <c r="P109" s="14"/>
      <c r="Q109" s="14"/>
      <c r="R109" s="10"/>
      <c r="S109" s="10"/>
    </row>
    <row r="110" spans="1:19" ht="14.55" thickTop="1" x14ac:dyDescent="0.3">
      <c r="A110" s="50"/>
      <c r="B110" s="53"/>
      <c r="C110" s="30"/>
      <c r="D110" s="30"/>
      <c r="E110" s="30"/>
      <c r="F110" s="31"/>
      <c r="G110" s="7"/>
      <c r="J110" s="40"/>
      <c r="K110" s="13"/>
      <c r="L110" s="13"/>
      <c r="M110" s="65"/>
      <c r="N110" s="14"/>
      <c r="O110" s="9"/>
      <c r="P110" s="14"/>
      <c r="Q110" s="14"/>
      <c r="R110" s="10"/>
      <c r="S110" s="10"/>
    </row>
    <row r="111" spans="1:19" x14ac:dyDescent="0.3">
      <c r="A111" s="51"/>
      <c r="B111" s="54"/>
      <c r="C111" s="11"/>
      <c r="D111" s="11"/>
      <c r="E111" s="11"/>
      <c r="F111" s="32"/>
      <c r="G111" s="7"/>
      <c r="J111" s="40"/>
      <c r="K111" s="13"/>
      <c r="L111" s="13"/>
      <c r="M111" s="65"/>
      <c r="N111" s="14"/>
      <c r="O111" s="9"/>
      <c r="P111" s="14"/>
      <c r="Q111" s="14"/>
      <c r="R111" s="10"/>
      <c r="S111" s="10"/>
    </row>
    <row r="112" spans="1:19" ht="14.55" thickBot="1" x14ac:dyDescent="0.35">
      <c r="A112" s="51"/>
      <c r="B112" s="55"/>
      <c r="C112" s="12"/>
      <c r="D112" s="12"/>
      <c r="E112" s="12"/>
      <c r="F112" s="33"/>
      <c r="G112" s="7"/>
      <c r="J112" s="40"/>
      <c r="K112" s="13"/>
      <c r="L112" s="13"/>
      <c r="M112" s="65"/>
      <c r="N112" s="14"/>
      <c r="O112" s="9"/>
      <c r="P112" s="14"/>
      <c r="Q112" s="14"/>
      <c r="R112" s="10"/>
      <c r="S112" s="10"/>
    </row>
    <row r="113" spans="1:19" x14ac:dyDescent="0.3">
      <c r="A113" s="51"/>
      <c r="B113" s="56"/>
      <c r="C113" s="8"/>
      <c r="D113" s="8"/>
      <c r="E113" s="8"/>
      <c r="F113" s="34"/>
      <c r="G113" s="7"/>
      <c r="J113" s="40"/>
      <c r="K113" s="13"/>
      <c r="L113" s="13"/>
      <c r="M113" s="65"/>
      <c r="N113" s="14"/>
      <c r="O113" s="9"/>
      <c r="P113" s="14"/>
      <c r="Q113" s="14"/>
      <c r="R113" s="10"/>
      <c r="S113" s="10"/>
    </row>
    <row r="114" spans="1:19" x14ac:dyDescent="0.3">
      <c r="A114" s="51"/>
      <c r="B114" s="54"/>
      <c r="C114" s="11"/>
      <c r="D114" s="11"/>
      <c r="E114" s="11"/>
      <c r="F114" s="32"/>
      <c r="G114" s="7"/>
      <c r="J114" s="40"/>
      <c r="K114" s="13"/>
      <c r="L114" s="13"/>
      <c r="M114" s="65"/>
      <c r="N114" s="14"/>
      <c r="O114" s="9"/>
      <c r="P114" s="14"/>
      <c r="Q114" s="14"/>
      <c r="R114" s="10"/>
      <c r="S114" s="10"/>
    </row>
    <row r="115" spans="1:19" ht="14.55" thickBot="1" x14ac:dyDescent="0.35">
      <c r="A115" s="51"/>
      <c r="B115" s="55"/>
      <c r="C115" s="12"/>
      <c r="D115" s="12"/>
      <c r="E115" s="12"/>
      <c r="F115" s="33"/>
      <c r="G115" s="7"/>
      <c r="J115" s="40"/>
      <c r="K115" s="13"/>
      <c r="L115" s="13"/>
      <c r="M115" s="65"/>
      <c r="N115" s="14"/>
      <c r="O115" s="9"/>
      <c r="P115" s="14"/>
      <c r="Q115" s="14"/>
      <c r="R115" s="10"/>
      <c r="S115" s="10"/>
    </row>
    <row r="116" spans="1:19" x14ac:dyDescent="0.3">
      <c r="A116" s="51"/>
      <c r="B116" s="56"/>
      <c r="C116" s="8"/>
      <c r="D116" s="8"/>
      <c r="E116" s="8"/>
      <c r="F116" s="34"/>
      <c r="G116" s="7"/>
      <c r="J116" s="40"/>
      <c r="K116" s="13"/>
      <c r="L116" s="13"/>
      <c r="M116" s="65"/>
      <c r="N116" s="14"/>
      <c r="O116" s="9"/>
      <c r="P116" s="14"/>
      <c r="Q116" s="14"/>
      <c r="R116" s="10"/>
      <c r="S116" s="10"/>
    </row>
    <row r="117" spans="1:19" x14ac:dyDescent="0.3">
      <c r="A117" s="51"/>
      <c r="B117" s="54"/>
      <c r="C117" s="11"/>
      <c r="D117" s="11"/>
      <c r="E117" s="11"/>
      <c r="F117" s="32"/>
      <c r="G117" s="7"/>
      <c r="J117" s="40"/>
      <c r="K117" s="13"/>
      <c r="L117" s="13"/>
      <c r="M117" s="65"/>
      <c r="N117" s="14"/>
      <c r="O117" s="9"/>
      <c r="P117" s="14"/>
      <c r="Q117" s="14"/>
      <c r="R117" s="10"/>
      <c r="S117" s="10"/>
    </row>
    <row r="118" spans="1:19" ht="14.55" thickBot="1" x14ac:dyDescent="0.35">
      <c r="A118" s="52"/>
      <c r="B118" s="57"/>
      <c r="C118" s="35"/>
      <c r="D118" s="35"/>
      <c r="E118" s="35"/>
      <c r="F118" s="36"/>
      <c r="G118" s="7"/>
      <c r="J118" s="40"/>
      <c r="K118" s="13"/>
      <c r="L118" s="13"/>
      <c r="M118" s="65"/>
      <c r="N118" s="14"/>
      <c r="O118" s="9"/>
      <c r="P118" s="14"/>
      <c r="Q118" s="14"/>
      <c r="R118" s="10"/>
      <c r="S118" s="10"/>
    </row>
    <row r="119" spans="1:19" ht="14.55" thickTop="1" x14ac:dyDescent="0.3">
      <c r="A119" s="50"/>
      <c r="B119" s="53"/>
      <c r="C119" s="30"/>
      <c r="D119" s="30"/>
      <c r="E119" s="30"/>
      <c r="F119" s="31"/>
      <c r="G119" s="7"/>
      <c r="J119" s="40"/>
      <c r="K119" s="13"/>
      <c r="L119" s="13"/>
      <c r="M119" s="65"/>
      <c r="N119" s="14"/>
      <c r="O119" s="9"/>
      <c r="P119" s="14"/>
      <c r="Q119" s="14"/>
      <c r="R119" s="10"/>
      <c r="S119" s="10"/>
    </row>
    <row r="120" spans="1:19" x14ac:dyDescent="0.3">
      <c r="A120" s="51"/>
      <c r="B120" s="54"/>
      <c r="C120" s="11"/>
      <c r="D120" s="11"/>
      <c r="E120" s="11"/>
      <c r="F120" s="32"/>
      <c r="G120" s="7"/>
      <c r="J120" s="40"/>
      <c r="K120" s="13"/>
      <c r="L120" s="13"/>
      <c r="M120" s="65"/>
      <c r="N120" s="14"/>
      <c r="O120" s="9"/>
      <c r="P120" s="14"/>
      <c r="Q120" s="14"/>
      <c r="R120" s="10"/>
      <c r="S120" s="10"/>
    </row>
    <row r="121" spans="1:19" ht="14.55" thickBot="1" x14ac:dyDescent="0.35">
      <c r="A121" s="51"/>
      <c r="B121" s="55"/>
      <c r="C121" s="12"/>
      <c r="D121" s="12"/>
      <c r="E121" s="12"/>
      <c r="F121" s="33"/>
      <c r="G121" s="7"/>
      <c r="J121" s="40"/>
      <c r="K121" s="13"/>
      <c r="L121" s="13"/>
      <c r="M121" s="65"/>
      <c r="N121" s="14"/>
      <c r="O121" s="9"/>
      <c r="P121" s="14"/>
      <c r="Q121" s="14"/>
      <c r="R121" s="10"/>
      <c r="S121" s="10"/>
    </row>
    <row r="122" spans="1:19" x14ac:dyDescent="0.3">
      <c r="A122" s="51"/>
      <c r="B122" s="56"/>
      <c r="C122" s="8"/>
      <c r="D122" s="8"/>
      <c r="E122" s="8"/>
      <c r="F122" s="34"/>
      <c r="G122" s="7"/>
      <c r="J122" s="40"/>
      <c r="K122" s="13"/>
      <c r="L122" s="13"/>
      <c r="M122" s="65"/>
      <c r="N122" s="14"/>
      <c r="O122" s="9"/>
      <c r="P122" s="14"/>
      <c r="Q122" s="14"/>
      <c r="R122" s="10"/>
      <c r="S122" s="10"/>
    </row>
    <row r="123" spans="1:19" x14ac:dyDescent="0.3">
      <c r="A123" s="51"/>
      <c r="B123" s="54"/>
      <c r="C123" s="11"/>
      <c r="D123" s="11"/>
      <c r="E123" s="11"/>
      <c r="F123" s="32"/>
      <c r="G123" s="7"/>
      <c r="J123" s="40"/>
      <c r="K123" s="13"/>
      <c r="L123" s="13"/>
      <c r="M123" s="65"/>
      <c r="N123" s="14"/>
      <c r="O123" s="9"/>
      <c r="P123" s="14"/>
      <c r="Q123" s="14"/>
      <c r="R123" s="10"/>
      <c r="S123" s="10"/>
    </row>
    <row r="124" spans="1:19" ht="14.55" thickBot="1" x14ac:dyDescent="0.35">
      <c r="A124" s="51"/>
      <c r="B124" s="55"/>
      <c r="C124" s="12"/>
      <c r="D124" s="12"/>
      <c r="E124" s="12"/>
      <c r="F124" s="33"/>
      <c r="G124" s="7"/>
      <c r="J124" s="40"/>
      <c r="K124" s="13"/>
      <c r="L124" s="13"/>
      <c r="M124" s="65"/>
      <c r="N124" s="14"/>
      <c r="O124" s="9"/>
      <c r="P124" s="14"/>
      <c r="Q124" s="14"/>
      <c r="R124" s="10"/>
      <c r="S124" s="10"/>
    </row>
    <row r="125" spans="1:19" x14ac:dyDescent="0.3">
      <c r="A125" s="51"/>
      <c r="B125" s="56"/>
      <c r="C125" s="8"/>
      <c r="D125" s="8"/>
      <c r="E125" s="8"/>
      <c r="F125" s="34"/>
      <c r="G125" s="7"/>
      <c r="J125" s="40"/>
      <c r="K125" s="13"/>
      <c r="L125" s="13"/>
      <c r="M125" s="65"/>
      <c r="N125" s="14"/>
      <c r="O125" s="9"/>
      <c r="P125" s="14"/>
      <c r="Q125" s="14"/>
      <c r="R125" s="10"/>
      <c r="S125" s="10"/>
    </row>
    <row r="126" spans="1:19" x14ac:dyDescent="0.3">
      <c r="A126" s="51"/>
      <c r="B126" s="54"/>
      <c r="C126" s="11"/>
      <c r="D126" s="11"/>
      <c r="E126" s="11"/>
      <c r="F126" s="32"/>
      <c r="G126" s="7"/>
      <c r="J126" s="40"/>
      <c r="K126" s="13"/>
      <c r="L126" s="13"/>
      <c r="M126" s="65"/>
      <c r="N126" s="14"/>
      <c r="O126" s="9"/>
      <c r="P126" s="14"/>
      <c r="Q126" s="14"/>
      <c r="R126" s="10"/>
      <c r="S126" s="10"/>
    </row>
    <row r="127" spans="1:19" ht="14.55" thickBot="1" x14ac:dyDescent="0.35">
      <c r="A127" s="52"/>
      <c r="B127" s="57"/>
      <c r="C127" s="35"/>
      <c r="D127" s="35"/>
      <c r="E127" s="35"/>
      <c r="F127" s="36"/>
      <c r="G127" s="7"/>
      <c r="J127" s="40"/>
      <c r="K127" s="13"/>
      <c r="L127" s="13"/>
      <c r="M127" s="65"/>
      <c r="N127" s="14"/>
      <c r="O127" s="9"/>
      <c r="P127" s="14"/>
      <c r="Q127" s="14"/>
      <c r="R127" s="10"/>
      <c r="S127" s="10"/>
    </row>
    <row r="128" spans="1:19" ht="14.55" thickTop="1" x14ac:dyDescent="0.3">
      <c r="A128" s="50"/>
      <c r="B128" s="53"/>
      <c r="C128" s="30"/>
      <c r="D128" s="30"/>
      <c r="E128" s="30"/>
      <c r="F128" s="31"/>
      <c r="G128" s="7"/>
      <c r="J128" s="40"/>
      <c r="K128" s="13"/>
      <c r="L128" s="13"/>
      <c r="M128" s="65"/>
      <c r="N128" s="14"/>
      <c r="O128" s="9"/>
      <c r="P128" s="14"/>
      <c r="Q128" s="14"/>
      <c r="R128" s="10"/>
      <c r="S128" s="10"/>
    </row>
    <row r="129" spans="1:19" x14ac:dyDescent="0.3">
      <c r="A129" s="51"/>
      <c r="B129" s="54"/>
      <c r="C129" s="11"/>
      <c r="D129" s="11"/>
      <c r="E129" s="11"/>
      <c r="F129" s="32"/>
      <c r="G129" s="7"/>
      <c r="J129" s="40"/>
      <c r="K129" s="13"/>
      <c r="L129" s="13"/>
      <c r="M129" s="65"/>
      <c r="N129" s="14"/>
      <c r="O129" s="9"/>
      <c r="P129" s="14"/>
      <c r="Q129" s="14"/>
      <c r="R129" s="10"/>
      <c r="S129" s="10"/>
    </row>
    <row r="130" spans="1:19" ht="14.55" thickBot="1" x14ac:dyDescent="0.35">
      <c r="A130" s="51"/>
      <c r="B130" s="55"/>
      <c r="C130" s="12"/>
      <c r="D130" s="12"/>
      <c r="E130" s="12"/>
      <c r="F130" s="33"/>
      <c r="G130" s="7"/>
      <c r="J130" s="40"/>
      <c r="K130" s="13"/>
      <c r="L130" s="13"/>
      <c r="M130" s="65"/>
      <c r="N130" s="14"/>
      <c r="O130" s="9"/>
      <c r="P130" s="14"/>
      <c r="Q130" s="14"/>
      <c r="R130" s="10"/>
      <c r="S130" s="10"/>
    </row>
    <row r="131" spans="1:19" x14ac:dyDescent="0.3">
      <c r="A131" s="51"/>
      <c r="B131" s="56"/>
      <c r="C131" s="8"/>
      <c r="D131" s="20"/>
      <c r="E131" s="20"/>
      <c r="F131" s="34"/>
      <c r="G131" s="7"/>
      <c r="J131" s="40"/>
      <c r="K131" s="13"/>
      <c r="L131" s="13"/>
      <c r="M131" s="65"/>
      <c r="N131" s="14"/>
      <c r="O131" s="9"/>
      <c r="P131" s="14"/>
      <c r="Q131" s="14"/>
      <c r="R131" s="10"/>
      <c r="S131" s="10"/>
    </row>
    <row r="132" spans="1:19" x14ac:dyDescent="0.3">
      <c r="A132" s="51"/>
      <c r="B132" s="54"/>
      <c r="C132" s="11"/>
      <c r="D132" s="11"/>
      <c r="E132" s="11"/>
      <c r="F132" s="32"/>
      <c r="G132" s="7"/>
      <c r="J132" s="40"/>
      <c r="K132" s="13"/>
      <c r="L132" s="13"/>
      <c r="M132" s="65"/>
      <c r="N132" s="14"/>
      <c r="O132" s="9"/>
      <c r="P132" s="14"/>
      <c r="Q132" s="14"/>
      <c r="R132" s="10"/>
      <c r="S132" s="10"/>
    </row>
    <row r="133" spans="1:19" ht="14.55" thickBot="1" x14ac:dyDescent="0.35">
      <c r="A133" s="51"/>
      <c r="B133" s="55"/>
      <c r="C133" s="12"/>
      <c r="D133" s="12"/>
      <c r="E133" s="12"/>
      <c r="F133" s="33"/>
      <c r="G133" s="7"/>
      <c r="J133" s="40"/>
      <c r="K133" s="13"/>
      <c r="L133" s="13"/>
      <c r="M133" s="65"/>
      <c r="N133" s="14"/>
      <c r="O133" s="9"/>
      <c r="P133" s="14"/>
      <c r="Q133" s="14"/>
      <c r="R133" s="10"/>
      <c r="S133" s="10"/>
    </row>
    <row r="134" spans="1:19" x14ac:dyDescent="0.3">
      <c r="A134" s="51"/>
      <c r="B134" s="56"/>
      <c r="C134" s="8"/>
      <c r="D134" s="8"/>
      <c r="E134" s="8"/>
      <c r="F134" s="34"/>
      <c r="G134" s="7"/>
      <c r="J134" s="40"/>
      <c r="K134" s="13"/>
      <c r="L134" s="13"/>
      <c r="M134" s="65"/>
      <c r="N134" s="14"/>
      <c r="O134" s="9"/>
      <c r="P134" s="14"/>
      <c r="Q134" s="14"/>
      <c r="R134" s="10"/>
      <c r="S134" s="10"/>
    </row>
    <row r="135" spans="1:19" x14ac:dyDescent="0.3">
      <c r="A135" s="51"/>
      <c r="B135" s="54"/>
      <c r="C135" s="11"/>
      <c r="D135" s="11"/>
      <c r="E135" s="11"/>
      <c r="F135" s="32"/>
      <c r="G135" s="7"/>
      <c r="J135" s="40"/>
      <c r="K135" s="13"/>
      <c r="L135" s="13"/>
      <c r="M135" s="65"/>
      <c r="N135" s="14"/>
      <c r="O135" s="9"/>
      <c r="P135" s="14"/>
      <c r="Q135" s="14"/>
      <c r="R135" s="10"/>
      <c r="S135" s="10"/>
    </row>
    <row r="136" spans="1:19" ht="14.55" thickBot="1" x14ac:dyDescent="0.35">
      <c r="A136" s="52"/>
      <c r="B136" s="57"/>
      <c r="C136" s="35"/>
      <c r="D136" s="35"/>
      <c r="E136" s="35"/>
      <c r="F136" s="36"/>
      <c r="G136" s="7"/>
      <c r="J136" s="40"/>
      <c r="K136" s="13"/>
      <c r="L136" s="13"/>
      <c r="M136" s="65"/>
      <c r="N136" s="14"/>
      <c r="O136" s="9"/>
      <c r="P136" s="14"/>
      <c r="Q136" s="14"/>
      <c r="R136" s="10"/>
      <c r="S136" s="10"/>
    </row>
    <row r="137" spans="1:19" ht="14.55" thickTop="1" x14ac:dyDescent="0.3">
      <c r="A137" s="50"/>
      <c r="B137" s="53"/>
      <c r="C137" s="30"/>
      <c r="D137" s="30"/>
      <c r="E137" s="30"/>
      <c r="F137" s="31"/>
      <c r="G137" s="7"/>
      <c r="J137" s="40"/>
      <c r="K137" s="13"/>
      <c r="L137" s="13"/>
      <c r="M137" s="65"/>
      <c r="N137" s="14"/>
      <c r="O137" s="9"/>
      <c r="P137" s="14"/>
      <c r="Q137" s="14"/>
      <c r="R137" s="10"/>
      <c r="S137" s="10"/>
    </row>
    <row r="138" spans="1:19" x14ac:dyDescent="0.3">
      <c r="A138" s="51"/>
      <c r="B138" s="54"/>
      <c r="C138" s="11"/>
      <c r="D138" s="11"/>
      <c r="E138" s="11"/>
      <c r="F138" s="32"/>
      <c r="G138" s="7"/>
      <c r="J138" s="40"/>
      <c r="K138" s="13"/>
      <c r="L138" s="13"/>
      <c r="M138" s="65"/>
      <c r="N138" s="14"/>
      <c r="O138" s="9"/>
      <c r="P138" s="14"/>
      <c r="Q138" s="14"/>
      <c r="R138" s="10"/>
      <c r="S138" s="10"/>
    </row>
    <row r="139" spans="1:19" ht="14.55" thickBot="1" x14ac:dyDescent="0.35">
      <c r="A139" s="51"/>
      <c r="B139" s="55"/>
      <c r="C139" s="12"/>
      <c r="D139" s="12"/>
      <c r="E139" s="12"/>
      <c r="F139" s="33"/>
      <c r="G139" s="7"/>
      <c r="J139" s="40"/>
      <c r="K139" s="13"/>
      <c r="L139" s="13"/>
      <c r="M139" s="65"/>
      <c r="N139" s="14"/>
      <c r="O139" s="9"/>
      <c r="P139" s="14"/>
      <c r="Q139" s="14"/>
      <c r="R139" s="10"/>
      <c r="S139" s="10"/>
    </row>
    <row r="140" spans="1:19" x14ac:dyDescent="0.3">
      <c r="A140" s="51"/>
      <c r="B140" s="56"/>
      <c r="C140" s="8"/>
      <c r="D140" s="8"/>
      <c r="E140" s="8"/>
      <c r="F140" s="34"/>
      <c r="G140" s="7"/>
      <c r="J140" s="40"/>
      <c r="K140" s="13"/>
      <c r="L140" s="13"/>
      <c r="M140" s="65"/>
      <c r="N140" s="14"/>
      <c r="O140" s="9"/>
      <c r="P140" s="14"/>
      <c r="Q140" s="14"/>
      <c r="R140" s="10"/>
      <c r="S140" s="10"/>
    </row>
    <row r="141" spans="1:19" x14ac:dyDescent="0.3">
      <c r="A141" s="51"/>
      <c r="B141" s="54"/>
      <c r="C141" s="11"/>
      <c r="D141" s="11"/>
      <c r="E141" s="11"/>
      <c r="F141" s="32"/>
      <c r="G141" s="7"/>
      <c r="J141" s="40"/>
      <c r="K141" s="13"/>
      <c r="L141" s="13"/>
      <c r="M141" s="65"/>
      <c r="N141" s="14"/>
      <c r="O141" s="9"/>
      <c r="P141" s="14"/>
      <c r="Q141" s="14"/>
      <c r="R141" s="10"/>
      <c r="S141" s="10"/>
    </row>
    <row r="142" spans="1:19" ht="14.55" thickBot="1" x14ac:dyDescent="0.35">
      <c r="A142" s="51"/>
      <c r="B142" s="55"/>
      <c r="C142" s="12"/>
      <c r="D142" s="12"/>
      <c r="E142" s="12"/>
      <c r="F142" s="33"/>
      <c r="G142" s="7"/>
      <c r="J142" s="40"/>
      <c r="K142" s="13"/>
      <c r="L142" s="13"/>
      <c r="M142" s="65"/>
      <c r="N142" s="14"/>
      <c r="O142" s="9"/>
      <c r="P142" s="14"/>
      <c r="Q142" s="14"/>
      <c r="R142" s="10"/>
      <c r="S142" s="10"/>
    </row>
    <row r="143" spans="1:19" x14ac:dyDescent="0.3">
      <c r="A143" s="51"/>
      <c r="B143" s="56"/>
      <c r="C143" s="8"/>
      <c r="D143" s="8"/>
      <c r="E143" s="8"/>
      <c r="F143" s="34"/>
      <c r="G143" s="7"/>
      <c r="J143" s="40"/>
      <c r="K143" s="13"/>
      <c r="L143" s="13"/>
      <c r="M143" s="65"/>
      <c r="N143" s="14"/>
      <c r="O143" s="9"/>
      <c r="P143" s="14"/>
      <c r="Q143" s="14"/>
      <c r="R143" s="10"/>
      <c r="S143" s="10"/>
    </row>
    <row r="144" spans="1:19" x14ac:dyDescent="0.3">
      <c r="A144" s="51"/>
      <c r="B144" s="54"/>
      <c r="C144" s="11"/>
      <c r="D144" s="11"/>
      <c r="E144" s="11"/>
      <c r="F144" s="32"/>
      <c r="G144" s="7"/>
      <c r="J144" s="40"/>
      <c r="K144" s="13"/>
      <c r="L144" s="13"/>
      <c r="M144" s="65"/>
      <c r="N144" s="14"/>
      <c r="O144" s="9"/>
      <c r="P144" s="14"/>
      <c r="Q144" s="14"/>
      <c r="R144" s="10"/>
      <c r="S144" s="10"/>
    </row>
    <row r="145" spans="1:19" ht="14.55" thickBot="1" x14ac:dyDescent="0.35">
      <c r="A145" s="52"/>
      <c r="B145" s="57"/>
      <c r="C145" s="35"/>
      <c r="D145" s="35"/>
      <c r="E145" s="35"/>
      <c r="F145" s="36"/>
      <c r="G145" s="7"/>
      <c r="J145" s="40"/>
      <c r="K145" s="13"/>
      <c r="L145" s="13"/>
      <c r="M145" s="65"/>
      <c r="N145" s="14"/>
      <c r="O145" s="9"/>
      <c r="P145" s="14"/>
      <c r="Q145" s="14"/>
      <c r="R145" s="10"/>
      <c r="S145" s="10"/>
    </row>
    <row r="146" spans="1:19" ht="14.55" thickTop="1" x14ac:dyDescent="0.3">
      <c r="A146" s="50"/>
      <c r="B146" s="53"/>
      <c r="C146" s="30"/>
      <c r="D146" s="30"/>
      <c r="E146" s="30"/>
      <c r="F146" s="31"/>
      <c r="G146" s="7"/>
      <c r="J146" s="40"/>
      <c r="K146" s="13"/>
      <c r="L146" s="13"/>
      <c r="M146" s="65"/>
      <c r="N146" s="14"/>
      <c r="O146" s="9"/>
      <c r="P146" s="14"/>
      <c r="Q146" s="14"/>
      <c r="R146" s="10"/>
      <c r="S146" s="10"/>
    </row>
    <row r="147" spans="1:19" x14ac:dyDescent="0.3">
      <c r="A147" s="51"/>
      <c r="B147" s="54"/>
      <c r="C147" s="11"/>
      <c r="D147" s="11"/>
      <c r="E147" s="11"/>
      <c r="F147" s="32"/>
      <c r="G147" s="7"/>
      <c r="J147" s="40"/>
      <c r="K147" s="13"/>
      <c r="L147" s="13"/>
      <c r="M147" s="65"/>
      <c r="N147" s="14"/>
      <c r="O147" s="9"/>
      <c r="P147" s="14"/>
      <c r="Q147" s="14"/>
      <c r="R147" s="10"/>
      <c r="S147" s="10"/>
    </row>
    <row r="148" spans="1:19" ht="14.55" thickBot="1" x14ac:dyDescent="0.35">
      <c r="A148" s="51"/>
      <c r="B148" s="55"/>
      <c r="C148" s="12"/>
      <c r="D148" s="12"/>
      <c r="E148" s="12"/>
      <c r="F148" s="33"/>
      <c r="G148" s="7"/>
      <c r="J148" s="40"/>
      <c r="K148" s="13"/>
      <c r="L148" s="13"/>
      <c r="M148" s="65"/>
      <c r="N148" s="14"/>
      <c r="O148" s="9"/>
      <c r="P148" s="14"/>
      <c r="Q148" s="14"/>
      <c r="R148" s="10"/>
      <c r="S148" s="10"/>
    </row>
    <row r="149" spans="1:19" x14ac:dyDescent="0.3">
      <c r="A149" s="51"/>
      <c r="B149" s="56"/>
      <c r="C149" s="8"/>
      <c r="D149" s="8"/>
      <c r="E149" s="8"/>
      <c r="F149" s="34"/>
      <c r="G149" s="7"/>
      <c r="J149" s="40"/>
      <c r="K149" s="13"/>
      <c r="L149" s="13"/>
      <c r="M149" s="65"/>
      <c r="N149" s="14"/>
      <c r="O149" s="9"/>
      <c r="P149" s="14"/>
      <c r="Q149" s="14"/>
      <c r="R149" s="10"/>
      <c r="S149" s="10"/>
    </row>
    <row r="150" spans="1:19" x14ac:dyDescent="0.3">
      <c r="A150" s="51"/>
      <c r="B150" s="54"/>
      <c r="C150" s="11"/>
      <c r="D150" s="11"/>
      <c r="E150" s="11"/>
      <c r="F150" s="32"/>
      <c r="G150" s="7"/>
      <c r="J150" s="40"/>
      <c r="K150" s="13"/>
      <c r="L150" s="13"/>
      <c r="M150" s="65"/>
      <c r="N150" s="14"/>
      <c r="O150" s="9"/>
      <c r="P150" s="14"/>
      <c r="Q150" s="14"/>
      <c r="R150" s="10"/>
      <c r="S150" s="10"/>
    </row>
    <row r="151" spans="1:19" ht="14.55" thickBot="1" x14ac:dyDescent="0.35">
      <c r="A151" s="51"/>
      <c r="B151" s="55"/>
      <c r="C151" s="12"/>
      <c r="D151" s="12"/>
      <c r="E151" s="12"/>
      <c r="F151" s="33"/>
      <c r="G151" s="7"/>
      <c r="J151" s="40"/>
      <c r="K151" s="13"/>
      <c r="L151" s="13"/>
      <c r="M151" s="65"/>
      <c r="N151" s="14"/>
      <c r="O151" s="9"/>
      <c r="P151" s="14"/>
      <c r="Q151" s="14"/>
      <c r="R151" s="10"/>
      <c r="S151" s="10"/>
    </row>
    <row r="152" spans="1:19" x14ac:dyDescent="0.3">
      <c r="A152" s="51"/>
      <c r="B152" s="56"/>
      <c r="C152" s="8"/>
      <c r="D152" s="8"/>
      <c r="E152" s="8"/>
      <c r="F152" s="34"/>
      <c r="G152" s="7"/>
      <c r="J152" s="40"/>
      <c r="K152" s="13"/>
      <c r="L152" s="13"/>
      <c r="M152" s="65"/>
      <c r="N152" s="14"/>
      <c r="O152" s="9"/>
      <c r="P152" s="14"/>
      <c r="Q152" s="14"/>
      <c r="R152" s="10"/>
      <c r="S152" s="10"/>
    </row>
    <row r="153" spans="1:19" x14ac:dyDescent="0.3">
      <c r="A153" s="51"/>
      <c r="B153" s="54"/>
      <c r="C153" s="11"/>
      <c r="D153" s="11"/>
      <c r="E153" s="11"/>
      <c r="F153" s="32"/>
      <c r="G153" s="7"/>
      <c r="J153" s="40"/>
      <c r="K153" s="13"/>
      <c r="L153" s="13"/>
      <c r="M153" s="65"/>
      <c r="N153" s="14"/>
      <c r="O153" s="9"/>
      <c r="P153" s="14"/>
      <c r="Q153" s="14"/>
      <c r="R153" s="10"/>
      <c r="S153" s="10"/>
    </row>
    <row r="154" spans="1:19" ht="14.55" thickBot="1" x14ac:dyDescent="0.35">
      <c r="A154" s="52"/>
      <c r="B154" s="57"/>
      <c r="C154" s="35"/>
      <c r="D154" s="35"/>
      <c r="E154" s="35"/>
      <c r="F154" s="36"/>
      <c r="G154" s="7"/>
      <c r="J154" s="40"/>
      <c r="K154" s="13"/>
      <c r="L154" s="13"/>
      <c r="M154" s="65"/>
      <c r="N154" s="14"/>
      <c r="O154" s="9"/>
      <c r="P154" s="14"/>
      <c r="Q154" s="14"/>
      <c r="R154" s="10"/>
      <c r="S154" s="10"/>
    </row>
    <row r="155" spans="1:19" ht="14.55" thickTop="1" x14ac:dyDescent="0.3">
      <c r="A155" s="50"/>
      <c r="B155" s="53"/>
      <c r="C155" s="30"/>
      <c r="D155" s="37"/>
      <c r="E155" s="37"/>
      <c r="F155" s="31"/>
      <c r="G155" s="7"/>
      <c r="J155" s="40"/>
      <c r="K155" s="13"/>
      <c r="L155" s="13"/>
      <c r="M155" s="65"/>
      <c r="N155" s="14"/>
      <c r="O155" s="9"/>
      <c r="P155" s="14"/>
      <c r="Q155" s="14"/>
      <c r="R155" s="10"/>
      <c r="S155" s="10"/>
    </row>
    <row r="156" spans="1:19" x14ac:dyDescent="0.3">
      <c r="A156" s="51"/>
      <c r="B156" s="54"/>
      <c r="C156" s="11"/>
      <c r="D156" s="11"/>
      <c r="E156" s="11"/>
      <c r="F156" s="32"/>
      <c r="G156" s="7"/>
      <c r="J156" s="40"/>
      <c r="K156" s="13"/>
      <c r="L156" s="13"/>
      <c r="M156" s="65"/>
      <c r="N156" s="14"/>
      <c r="O156" s="9"/>
      <c r="P156" s="14"/>
      <c r="Q156" s="14"/>
      <c r="R156" s="10"/>
      <c r="S156" s="10"/>
    </row>
    <row r="157" spans="1:19" ht="14.55" thickBot="1" x14ac:dyDescent="0.35">
      <c r="A157" s="51"/>
      <c r="B157" s="55"/>
      <c r="C157" s="12"/>
      <c r="D157" s="12"/>
      <c r="E157" s="12"/>
      <c r="F157" s="33"/>
      <c r="G157" s="7"/>
      <c r="J157" s="40"/>
      <c r="K157" s="13"/>
      <c r="L157" s="13"/>
      <c r="M157" s="65"/>
      <c r="N157" s="14"/>
      <c r="O157" s="9"/>
      <c r="P157" s="14"/>
      <c r="Q157" s="14"/>
      <c r="R157" s="10"/>
      <c r="S157" s="10"/>
    </row>
    <row r="158" spans="1:19" x14ac:dyDescent="0.3">
      <c r="A158" s="51"/>
      <c r="B158" s="56"/>
      <c r="C158" s="8"/>
      <c r="D158" s="20"/>
      <c r="E158" s="20"/>
      <c r="F158" s="34"/>
      <c r="G158" s="7"/>
      <c r="J158" s="40"/>
      <c r="K158" s="13"/>
      <c r="L158" s="13"/>
      <c r="M158" s="65"/>
      <c r="N158" s="14"/>
      <c r="O158" s="9"/>
      <c r="P158" s="14"/>
      <c r="Q158" s="14"/>
      <c r="R158" s="10"/>
      <c r="S158" s="10"/>
    </row>
    <row r="159" spans="1:19" x14ac:dyDescent="0.3">
      <c r="A159" s="51"/>
      <c r="B159" s="54"/>
      <c r="C159" s="11"/>
      <c r="D159" s="11"/>
      <c r="E159" s="11"/>
      <c r="F159" s="32"/>
      <c r="G159" s="7"/>
      <c r="J159" s="40"/>
      <c r="K159" s="13"/>
      <c r="L159" s="13"/>
      <c r="M159" s="65"/>
      <c r="N159" s="14"/>
      <c r="O159" s="9"/>
      <c r="P159" s="14"/>
      <c r="Q159" s="14"/>
      <c r="R159" s="10"/>
      <c r="S159" s="10"/>
    </row>
    <row r="160" spans="1:19" ht="14.55" thickBot="1" x14ac:dyDescent="0.35">
      <c r="A160" s="51"/>
      <c r="B160" s="55"/>
      <c r="C160" s="12"/>
      <c r="D160" s="12"/>
      <c r="E160" s="12"/>
      <c r="F160" s="33"/>
      <c r="G160" s="7"/>
      <c r="J160" s="40"/>
      <c r="K160" s="13"/>
      <c r="L160" s="13"/>
      <c r="M160" s="65"/>
      <c r="N160" s="14"/>
      <c r="O160" s="9"/>
      <c r="P160" s="14"/>
      <c r="Q160" s="14"/>
      <c r="R160" s="10"/>
      <c r="S160" s="10"/>
    </row>
    <row r="161" spans="1:19" x14ac:dyDescent="0.3">
      <c r="A161" s="51"/>
      <c r="B161" s="56"/>
      <c r="C161" s="8"/>
      <c r="D161" s="8"/>
      <c r="E161" s="8"/>
      <c r="F161" s="34"/>
      <c r="G161" s="7"/>
      <c r="J161" s="40"/>
      <c r="K161" s="13"/>
      <c r="L161" s="13"/>
      <c r="M161" s="65"/>
      <c r="N161" s="14"/>
      <c r="O161" s="9"/>
      <c r="P161" s="14"/>
      <c r="Q161" s="14"/>
      <c r="R161" s="10"/>
      <c r="S161" s="10"/>
    </row>
    <row r="162" spans="1:19" x14ac:dyDescent="0.3">
      <c r="A162" s="51"/>
      <c r="B162" s="54"/>
      <c r="C162" s="11"/>
      <c r="D162" s="11"/>
      <c r="E162" s="11"/>
      <c r="F162" s="32"/>
      <c r="G162" s="7"/>
      <c r="J162" s="40"/>
      <c r="K162" s="13"/>
      <c r="L162" s="13"/>
      <c r="M162" s="65"/>
      <c r="N162" s="14"/>
      <c r="O162" s="9"/>
      <c r="P162" s="14"/>
      <c r="Q162" s="14"/>
      <c r="R162" s="10"/>
      <c r="S162" s="10"/>
    </row>
    <row r="163" spans="1:19" ht="14.55" thickBot="1" x14ac:dyDescent="0.35">
      <c r="A163" s="52"/>
      <c r="B163" s="57"/>
      <c r="C163" s="35"/>
      <c r="D163" s="35"/>
      <c r="E163" s="35"/>
      <c r="F163" s="36"/>
      <c r="G163" s="7"/>
      <c r="J163" s="40"/>
      <c r="K163" s="13"/>
      <c r="L163" s="13"/>
      <c r="M163" s="65"/>
      <c r="N163" s="14"/>
      <c r="O163" s="9"/>
      <c r="P163" s="14"/>
      <c r="Q163" s="14"/>
      <c r="R163" s="10"/>
      <c r="S163" s="10"/>
    </row>
    <row r="164" spans="1:19" ht="14.55" thickTop="1" x14ac:dyDescent="0.3">
      <c r="A164" s="50"/>
      <c r="B164" s="53"/>
      <c r="C164" s="30"/>
      <c r="D164" s="30"/>
      <c r="E164" s="30"/>
      <c r="F164" s="31"/>
      <c r="G164" s="7"/>
      <c r="J164" s="40"/>
      <c r="K164" s="13"/>
      <c r="L164" s="13"/>
      <c r="M164" s="65"/>
      <c r="N164" s="14"/>
      <c r="O164" s="9"/>
      <c r="P164" s="21"/>
      <c r="Q164" s="21"/>
      <c r="R164" s="10"/>
      <c r="S164" s="10"/>
    </row>
    <row r="165" spans="1:19" x14ac:dyDescent="0.3">
      <c r="A165" s="51"/>
      <c r="B165" s="54"/>
      <c r="C165" s="11"/>
      <c r="D165" s="11"/>
      <c r="E165" s="11"/>
      <c r="F165" s="32"/>
      <c r="G165" s="7"/>
      <c r="J165" s="40"/>
      <c r="K165" s="13"/>
      <c r="L165" s="13"/>
      <c r="M165" s="65"/>
      <c r="N165" s="14"/>
      <c r="O165" s="9"/>
      <c r="P165" s="21"/>
      <c r="Q165" s="21"/>
      <c r="R165" s="10"/>
      <c r="S165" s="10"/>
    </row>
    <row r="166" spans="1:19" ht="14.55" thickBot="1" x14ac:dyDescent="0.35">
      <c r="A166" s="51"/>
      <c r="B166" s="55"/>
      <c r="C166" s="12"/>
      <c r="D166" s="12"/>
      <c r="E166" s="12"/>
      <c r="F166" s="33"/>
      <c r="G166" s="7"/>
      <c r="J166" s="40"/>
      <c r="K166" s="13"/>
      <c r="L166" s="13"/>
      <c r="M166" s="65"/>
      <c r="N166" s="14"/>
      <c r="O166" s="9"/>
      <c r="P166" s="21"/>
      <c r="Q166" s="21"/>
      <c r="R166" s="10"/>
      <c r="S166" s="10"/>
    </row>
    <row r="167" spans="1:19" x14ac:dyDescent="0.3">
      <c r="A167" s="51"/>
      <c r="B167" s="56"/>
      <c r="C167" s="8"/>
      <c r="D167" s="8"/>
      <c r="E167" s="8"/>
      <c r="F167" s="34"/>
      <c r="G167" s="7"/>
      <c r="J167" s="40"/>
      <c r="K167" s="13"/>
      <c r="L167" s="13"/>
      <c r="M167" s="65"/>
      <c r="N167" s="14"/>
      <c r="O167" s="9"/>
      <c r="P167" s="21"/>
      <c r="Q167" s="21"/>
      <c r="R167" s="10"/>
      <c r="S167" s="10"/>
    </row>
    <row r="168" spans="1:19" x14ac:dyDescent="0.3">
      <c r="A168" s="51"/>
      <c r="B168" s="54"/>
      <c r="C168" s="11"/>
      <c r="D168" s="11"/>
      <c r="E168" s="11"/>
      <c r="F168" s="32"/>
      <c r="G168" s="7"/>
      <c r="J168" s="40"/>
      <c r="K168" s="13"/>
      <c r="L168" s="13"/>
      <c r="M168" s="65"/>
      <c r="N168" s="14"/>
      <c r="O168" s="9"/>
      <c r="P168" s="21"/>
      <c r="Q168" s="21"/>
      <c r="R168" s="10"/>
      <c r="S168" s="10"/>
    </row>
    <row r="169" spans="1:19" ht="14.55" thickBot="1" x14ac:dyDescent="0.35">
      <c r="A169" s="51"/>
      <c r="B169" s="55"/>
      <c r="C169" s="12"/>
      <c r="D169" s="12"/>
      <c r="E169" s="12"/>
      <c r="F169" s="33"/>
      <c r="G169" s="7"/>
      <c r="J169" s="40"/>
      <c r="K169" s="13"/>
      <c r="L169" s="13"/>
      <c r="M169" s="65"/>
      <c r="N169" s="14"/>
      <c r="O169" s="9"/>
      <c r="P169" s="21"/>
      <c r="Q169" s="21"/>
      <c r="R169" s="10"/>
      <c r="S169" s="10"/>
    </row>
    <row r="170" spans="1:19" x14ac:dyDescent="0.3">
      <c r="A170" s="51"/>
      <c r="B170" s="56"/>
      <c r="C170" s="8"/>
      <c r="D170" s="8"/>
      <c r="E170" s="8"/>
      <c r="F170" s="34"/>
      <c r="G170" s="7"/>
      <c r="J170" s="40"/>
      <c r="K170" s="13"/>
      <c r="L170" s="13"/>
      <c r="M170" s="65"/>
      <c r="N170" s="14"/>
      <c r="O170" s="9"/>
      <c r="P170" s="21"/>
      <c r="Q170" s="21"/>
      <c r="R170" s="10"/>
      <c r="S170" s="10"/>
    </row>
    <row r="171" spans="1:19" x14ac:dyDescent="0.3">
      <c r="A171" s="51"/>
      <c r="B171" s="54"/>
      <c r="C171" s="11"/>
      <c r="D171" s="11"/>
      <c r="E171" s="11"/>
      <c r="F171" s="32"/>
      <c r="G171" s="7"/>
      <c r="J171" s="40"/>
      <c r="K171" s="13"/>
      <c r="L171" s="13"/>
      <c r="M171" s="65"/>
      <c r="N171" s="14"/>
      <c r="O171" s="9"/>
      <c r="P171" s="21"/>
      <c r="Q171" s="21"/>
      <c r="R171" s="10"/>
      <c r="S171" s="10"/>
    </row>
    <row r="172" spans="1:19" ht="14.55" thickBot="1" x14ac:dyDescent="0.35">
      <c r="A172" s="52"/>
      <c r="B172" s="57"/>
      <c r="C172" s="35"/>
      <c r="D172" s="35"/>
      <c r="E172" s="35"/>
      <c r="F172" s="36"/>
      <c r="G172" s="7"/>
      <c r="J172" s="40"/>
      <c r="K172" s="13"/>
      <c r="L172" s="13"/>
      <c r="M172" s="65"/>
      <c r="N172" s="14"/>
      <c r="O172" s="9"/>
      <c r="P172" s="21"/>
      <c r="Q172" s="21"/>
      <c r="R172" s="10"/>
      <c r="S172" s="10"/>
    </row>
    <row r="173" spans="1:19" ht="14.55" thickTop="1" x14ac:dyDescent="0.3">
      <c r="A173" s="50"/>
      <c r="B173" s="53"/>
      <c r="C173" s="30"/>
      <c r="D173" s="30"/>
      <c r="E173" s="30"/>
      <c r="F173" s="31"/>
      <c r="G173" s="7"/>
      <c r="J173" s="21"/>
      <c r="K173" s="22"/>
      <c r="L173" s="22"/>
      <c r="M173" s="66"/>
      <c r="O173" s="9"/>
      <c r="P173" s="21"/>
      <c r="Q173" s="21"/>
      <c r="R173" s="10"/>
      <c r="S173" s="10"/>
    </row>
    <row r="174" spans="1:19" x14ac:dyDescent="0.3">
      <c r="A174" s="51"/>
      <c r="B174" s="54"/>
      <c r="C174" s="11"/>
      <c r="D174" s="11"/>
      <c r="E174" s="11"/>
      <c r="F174" s="32"/>
      <c r="G174" s="7"/>
      <c r="J174" s="21"/>
      <c r="K174" s="22"/>
      <c r="L174" s="22"/>
      <c r="M174" s="66"/>
      <c r="O174" s="9"/>
      <c r="P174" s="21"/>
      <c r="Q174" s="21"/>
      <c r="R174" s="10"/>
      <c r="S174" s="10"/>
    </row>
    <row r="175" spans="1:19" ht="14.55" thickBot="1" x14ac:dyDescent="0.35">
      <c r="A175" s="51"/>
      <c r="B175" s="55"/>
      <c r="C175" s="12"/>
      <c r="D175" s="12"/>
      <c r="E175" s="12"/>
      <c r="F175" s="33"/>
      <c r="G175" s="7"/>
      <c r="J175" s="21"/>
      <c r="K175" s="22"/>
      <c r="L175" s="22"/>
      <c r="M175" s="66"/>
      <c r="O175" s="9"/>
      <c r="P175" s="21"/>
      <c r="Q175" s="21"/>
      <c r="R175" s="10"/>
      <c r="S175" s="10"/>
    </row>
    <row r="176" spans="1:19" x14ac:dyDescent="0.3">
      <c r="A176" s="51"/>
      <c r="B176" s="56"/>
      <c r="C176" s="8"/>
      <c r="D176" s="8"/>
      <c r="E176" s="8"/>
      <c r="F176" s="34"/>
      <c r="G176" s="7"/>
      <c r="J176" s="21"/>
      <c r="K176" s="22"/>
      <c r="L176" s="22"/>
      <c r="M176" s="66"/>
      <c r="O176" s="9"/>
      <c r="P176" s="21"/>
      <c r="Q176" s="21"/>
    </row>
    <row r="177" spans="1:17" x14ac:dyDescent="0.3">
      <c r="A177" s="51"/>
      <c r="B177" s="54"/>
      <c r="C177" s="11"/>
      <c r="D177" s="11"/>
      <c r="E177" s="11"/>
      <c r="F177" s="32"/>
      <c r="G177" s="7"/>
      <c r="J177" s="21"/>
      <c r="K177" s="22"/>
      <c r="L177" s="22"/>
      <c r="M177" s="66"/>
      <c r="O177" s="9"/>
      <c r="P177" s="21"/>
      <c r="Q177" s="21"/>
    </row>
    <row r="178" spans="1:17" ht="14.55" thickBot="1" x14ac:dyDescent="0.35">
      <c r="A178" s="51"/>
      <c r="B178" s="55"/>
      <c r="C178" s="12"/>
      <c r="D178" s="12"/>
      <c r="E178" s="12"/>
      <c r="F178" s="33"/>
      <c r="G178" s="7"/>
      <c r="J178" s="21"/>
      <c r="K178" s="22"/>
      <c r="L178" s="22"/>
      <c r="M178" s="66"/>
      <c r="O178" s="9"/>
      <c r="P178" s="21"/>
      <c r="Q178" s="21"/>
    </row>
    <row r="179" spans="1:17" x14ac:dyDescent="0.3">
      <c r="A179" s="51"/>
      <c r="B179" s="56"/>
      <c r="C179" s="8"/>
      <c r="D179" s="8"/>
      <c r="E179" s="8"/>
      <c r="F179" s="34"/>
      <c r="G179" s="7"/>
      <c r="J179" s="21"/>
      <c r="K179" s="22"/>
      <c r="L179" s="22"/>
      <c r="M179" s="66"/>
      <c r="O179" s="9"/>
      <c r="P179" s="21"/>
      <c r="Q179" s="21"/>
    </row>
    <row r="180" spans="1:17" x14ac:dyDescent="0.3">
      <c r="A180" s="51"/>
      <c r="B180" s="54"/>
      <c r="C180" s="11"/>
      <c r="D180" s="11"/>
      <c r="E180" s="11"/>
      <c r="F180" s="32"/>
      <c r="G180" s="7"/>
      <c r="J180" s="21"/>
      <c r="K180" s="22"/>
      <c r="L180" s="22"/>
      <c r="M180" s="66"/>
      <c r="O180" s="9"/>
      <c r="P180" s="21"/>
      <c r="Q180" s="21"/>
    </row>
    <row r="181" spans="1:17" ht="14.55" thickBot="1" x14ac:dyDescent="0.35">
      <c r="A181" s="52"/>
      <c r="B181" s="57"/>
      <c r="C181" s="35"/>
      <c r="D181" s="35"/>
      <c r="E181" s="35"/>
      <c r="F181" s="36"/>
      <c r="G181" s="7"/>
      <c r="J181" s="21"/>
      <c r="K181" s="22"/>
      <c r="L181" s="22"/>
      <c r="M181" s="66"/>
      <c r="O181" s="9"/>
      <c r="P181" s="21"/>
      <c r="Q181" s="21"/>
    </row>
    <row r="182" spans="1:17" ht="14.55" thickTop="1" x14ac:dyDescent="0.3">
      <c r="G182" s="28"/>
      <c r="O182" s="9"/>
    </row>
  </sheetData>
  <mergeCells count="36">
    <mergeCell ref="A74:A82"/>
    <mergeCell ref="B74:B76"/>
    <mergeCell ref="B77:B79"/>
    <mergeCell ref="B80:B82"/>
    <mergeCell ref="A56:A64"/>
    <mergeCell ref="B56:B58"/>
    <mergeCell ref="B59:B61"/>
    <mergeCell ref="B62:B64"/>
    <mergeCell ref="A65:A73"/>
    <mergeCell ref="B65:B67"/>
    <mergeCell ref="B68:B70"/>
    <mergeCell ref="B71:B73"/>
    <mergeCell ref="A38:A46"/>
    <mergeCell ref="B38:B40"/>
    <mergeCell ref="B41:B43"/>
    <mergeCell ref="B44:B46"/>
    <mergeCell ref="A47:A55"/>
    <mergeCell ref="B47:B49"/>
    <mergeCell ref="B50:B52"/>
    <mergeCell ref="B53:B55"/>
    <mergeCell ref="A20:A28"/>
    <mergeCell ref="B20:B22"/>
    <mergeCell ref="B23:B25"/>
    <mergeCell ref="B26:B28"/>
    <mergeCell ref="A29:A37"/>
    <mergeCell ref="B29:B31"/>
    <mergeCell ref="B32:B34"/>
    <mergeCell ref="B35:B37"/>
    <mergeCell ref="A2:A10"/>
    <mergeCell ref="B2:B4"/>
    <mergeCell ref="B5:B7"/>
    <mergeCell ref="B8:B10"/>
    <mergeCell ref="A11:A19"/>
    <mergeCell ref="B11:B13"/>
    <mergeCell ref="B14:B16"/>
    <mergeCell ref="B17:B1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C4DB-8D8F-4DAF-8F18-8215662FF3DE}">
  <dimension ref="A1:G26"/>
  <sheetViews>
    <sheetView workbookViewId="0">
      <selection activeCell="E1" sqref="E1:G13"/>
    </sheetView>
  </sheetViews>
  <sheetFormatPr defaultRowHeight="14" x14ac:dyDescent="0.3"/>
  <cols>
    <col min="1" max="1" width="10.5" bestFit="1" customWidth="1"/>
    <col min="2" max="2" width="6.8984375" bestFit="1" customWidth="1"/>
  </cols>
  <sheetData>
    <row r="1" spans="1:7" x14ac:dyDescent="0.3">
      <c r="A1" t="s">
        <v>90</v>
      </c>
      <c r="B1" t="s">
        <v>91</v>
      </c>
      <c r="C1" t="s">
        <v>92</v>
      </c>
      <c r="E1" t="s">
        <v>90</v>
      </c>
      <c r="F1" t="s">
        <v>91</v>
      </c>
      <c r="G1" t="s">
        <v>92</v>
      </c>
    </row>
    <row r="2" spans="1:7" x14ac:dyDescent="0.3">
      <c r="A2" t="s">
        <v>88</v>
      </c>
      <c r="B2" t="s">
        <v>75</v>
      </c>
      <c r="C2">
        <v>10375000</v>
      </c>
      <c r="E2" t="s">
        <v>95</v>
      </c>
      <c r="F2" t="s">
        <v>73</v>
      </c>
      <c r="G2">
        <v>30625000</v>
      </c>
    </row>
    <row r="3" spans="1:7" x14ac:dyDescent="0.3">
      <c r="A3" t="s">
        <v>88</v>
      </c>
      <c r="B3" t="s">
        <v>76</v>
      </c>
      <c r="C3">
        <v>10312500</v>
      </c>
      <c r="E3" t="s">
        <v>95</v>
      </c>
      <c r="F3" t="s">
        <v>74</v>
      </c>
      <c r="G3">
        <v>29375000</v>
      </c>
    </row>
    <row r="4" spans="1:7" x14ac:dyDescent="0.3">
      <c r="A4" t="s">
        <v>88</v>
      </c>
      <c r="B4" t="s">
        <v>77</v>
      </c>
      <c r="C4">
        <v>11812500</v>
      </c>
      <c r="E4" t="s">
        <v>95</v>
      </c>
      <c r="F4" t="s">
        <v>87</v>
      </c>
      <c r="G4">
        <v>25000000</v>
      </c>
    </row>
    <row r="5" spans="1:7" x14ac:dyDescent="0.3">
      <c r="A5" t="s">
        <v>88</v>
      </c>
      <c r="B5" t="s">
        <v>78</v>
      </c>
      <c r="C5">
        <v>1750000</v>
      </c>
      <c r="E5" t="s">
        <v>95</v>
      </c>
      <c r="F5" t="s">
        <v>75</v>
      </c>
      <c r="G5">
        <v>3437500</v>
      </c>
    </row>
    <row r="6" spans="1:7" x14ac:dyDescent="0.3">
      <c r="A6" t="s">
        <v>88</v>
      </c>
      <c r="B6" t="s">
        <v>79</v>
      </c>
      <c r="C6">
        <v>2000000</v>
      </c>
      <c r="E6" t="s">
        <v>95</v>
      </c>
      <c r="F6" t="s">
        <v>76</v>
      </c>
      <c r="G6">
        <v>5000000</v>
      </c>
    </row>
    <row r="7" spans="1:7" x14ac:dyDescent="0.3">
      <c r="A7" t="s">
        <v>88</v>
      </c>
      <c r="B7" t="s">
        <v>80</v>
      </c>
      <c r="C7">
        <v>2625000</v>
      </c>
      <c r="E7" t="s">
        <v>95</v>
      </c>
      <c r="F7" t="s">
        <v>77</v>
      </c>
      <c r="G7">
        <v>8062500</v>
      </c>
    </row>
    <row r="8" spans="1:7" x14ac:dyDescent="0.3">
      <c r="A8" t="s">
        <v>88</v>
      </c>
      <c r="B8" t="s">
        <v>81</v>
      </c>
      <c r="C8">
        <v>1312500</v>
      </c>
      <c r="E8" t="s">
        <v>95</v>
      </c>
      <c r="F8" t="s">
        <v>78</v>
      </c>
      <c r="G8">
        <v>10687500</v>
      </c>
    </row>
    <row r="9" spans="1:7" x14ac:dyDescent="0.3">
      <c r="A9" t="s">
        <v>88</v>
      </c>
      <c r="B9" t="s">
        <v>82</v>
      </c>
      <c r="C9">
        <v>962500</v>
      </c>
      <c r="E9" t="s">
        <v>95</v>
      </c>
      <c r="F9" t="s">
        <v>79</v>
      </c>
      <c r="G9">
        <v>7750000</v>
      </c>
    </row>
    <row r="10" spans="1:7" x14ac:dyDescent="0.3">
      <c r="A10" t="s">
        <v>88</v>
      </c>
      <c r="B10" t="s">
        <v>83</v>
      </c>
      <c r="C10">
        <v>1231250</v>
      </c>
      <c r="E10" t="s">
        <v>95</v>
      </c>
      <c r="F10" t="s">
        <v>80</v>
      </c>
      <c r="G10">
        <v>9812500</v>
      </c>
    </row>
    <row r="11" spans="1:7" x14ac:dyDescent="0.3">
      <c r="A11" t="s">
        <v>88</v>
      </c>
      <c r="B11" t="s">
        <v>84</v>
      </c>
      <c r="C11">
        <v>75625</v>
      </c>
      <c r="E11" t="s">
        <v>95</v>
      </c>
      <c r="F11" t="s">
        <v>81</v>
      </c>
      <c r="G11">
        <v>412500</v>
      </c>
    </row>
    <row r="12" spans="1:7" x14ac:dyDescent="0.3">
      <c r="A12" t="s">
        <v>88</v>
      </c>
      <c r="B12" t="s">
        <v>85</v>
      </c>
      <c r="C12">
        <v>110000</v>
      </c>
      <c r="E12" t="s">
        <v>95</v>
      </c>
      <c r="F12" t="s">
        <v>82</v>
      </c>
      <c r="G12">
        <v>112500</v>
      </c>
    </row>
    <row r="13" spans="1:7" x14ac:dyDescent="0.3">
      <c r="A13" t="s">
        <v>88</v>
      </c>
      <c r="B13" t="s">
        <v>86</v>
      </c>
      <c r="C13">
        <v>69375</v>
      </c>
      <c r="E13" t="s">
        <v>95</v>
      </c>
      <c r="F13" t="s">
        <v>83</v>
      </c>
      <c r="G13">
        <v>650000</v>
      </c>
    </row>
    <row r="14" spans="1:7" x14ac:dyDescent="0.3">
      <c r="A14" t="s">
        <v>90</v>
      </c>
      <c r="B14" t="s">
        <v>91</v>
      </c>
      <c r="C14" t="s">
        <v>92</v>
      </c>
    </row>
    <row r="15" spans="1:7" x14ac:dyDescent="0.3">
      <c r="A15" t="s">
        <v>89</v>
      </c>
      <c r="B15" t="s">
        <v>73</v>
      </c>
      <c r="C15">
        <v>23125000</v>
      </c>
    </row>
    <row r="16" spans="1:7" x14ac:dyDescent="0.3">
      <c r="A16" t="s">
        <v>89</v>
      </c>
      <c r="B16" t="s">
        <v>74</v>
      </c>
      <c r="C16">
        <v>13812500</v>
      </c>
    </row>
    <row r="17" spans="1:3" x14ac:dyDescent="0.3">
      <c r="A17" t="s">
        <v>89</v>
      </c>
      <c r="B17" t="s">
        <v>87</v>
      </c>
      <c r="C17">
        <v>12812500</v>
      </c>
    </row>
    <row r="18" spans="1:3" x14ac:dyDescent="0.3">
      <c r="A18" t="s">
        <v>89</v>
      </c>
      <c r="B18" t="s">
        <v>75</v>
      </c>
      <c r="C18">
        <v>7875000</v>
      </c>
    </row>
    <row r="19" spans="1:3" x14ac:dyDescent="0.3">
      <c r="A19" t="s">
        <v>89</v>
      </c>
      <c r="B19" t="s">
        <v>76</v>
      </c>
      <c r="C19">
        <v>7375000</v>
      </c>
    </row>
    <row r="20" spans="1:3" x14ac:dyDescent="0.3">
      <c r="A20" t="s">
        <v>89</v>
      </c>
      <c r="B20" t="s">
        <v>77</v>
      </c>
      <c r="C20">
        <v>5250000</v>
      </c>
    </row>
    <row r="21" spans="1:3" x14ac:dyDescent="0.3">
      <c r="A21" t="s">
        <v>89</v>
      </c>
      <c r="B21" t="s">
        <v>78</v>
      </c>
      <c r="C21">
        <v>7250000</v>
      </c>
    </row>
    <row r="22" spans="1:3" x14ac:dyDescent="0.3">
      <c r="A22" t="s">
        <v>89</v>
      </c>
      <c r="B22" t="s">
        <v>79</v>
      </c>
      <c r="C22">
        <v>7250000</v>
      </c>
    </row>
    <row r="23" spans="1:3" x14ac:dyDescent="0.3">
      <c r="A23" t="s">
        <v>89</v>
      </c>
      <c r="B23" t="s">
        <v>80</v>
      </c>
      <c r="C23">
        <v>5250000</v>
      </c>
    </row>
    <row r="24" spans="1:3" x14ac:dyDescent="0.3">
      <c r="A24" t="s">
        <v>89</v>
      </c>
      <c r="B24" t="s">
        <v>81</v>
      </c>
      <c r="C24">
        <v>68750</v>
      </c>
    </row>
    <row r="25" spans="1:3" x14ac:dyDescent="0.3">
      <c r="A25" t="s">
        <v>89</v>
      </c>
      <c r="B25" t="s">
        <v>82</v>
      </c>
      <c r="C25">
        <v>62500</v>
      </c>
    </row>
    <row r="26" spans="1:3" x14ac:dyDescent="0.3">
      <c r="A26" t="s">
        <v>89</v>
      </c>
      <c r="B26" t="s">
        <v>83</v>
      </c>
      <c r="C26">
        <v>70625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</vt:lpstr>
      <vt:lpstr>PIPEX-22-1</vt:lpstr>
      <vt:lpstr>PIPEX-22-2 (WKEX-22-2)</vt:lpstr>
      <vt:lpstr>WKEX-22-3</vt:lpstr>
      <vt:lpstr>WKEX-23-1</vt:lpstr>
      <vt:lpstr>WKEX-23-2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2023-11-16T15:40:33Z</dcterms:modified>
</cp:coreProperties>
</file>