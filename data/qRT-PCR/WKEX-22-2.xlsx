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wkly bac qRT-PCR/"/>
    </mc:Choice>
  </mc:AlternateContent>
  <xr:revisionPtr revIDLastSave="2136" documentId="11_F25DC773A252ABDACC104811D99E70BC5BDE58EF" xr6:coauthVersionLast="47" xr6:coauthVersionMax="47" xr10:uidLastSave="{4F6EB003-4417-4449-8CAC-1BE63DEA6B68}"/>
  <bookViews>
    <workbookView xWindow="-107" yWindow="-107" windowWidth="20847" windowHeight="11111" xr2:uid="{00000000-000D-0000-FFFF-FFFF00000000}"/>
  </bookViews>
  <sheets>
    <sheet name="2022-04-27" sheetId="5" r:id="rId1"/>
    <sheet name="2022-06-07" sheetId="6" r:id="rId2"/>
    <sheet name="Sheet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6" l="1"/>
  <c r="R14" i="6"/>
  <c r="C26" i="6" l="1"/>
  <c r="F16" i="6" s="1"/>
  <c r="Q14" i="6" s="1"/>
  <c r="L16" i="6"/>
  <c r="L15" i="6"/>
  <c r="L14" i="6"/>
  <c r="L13" i="6"/>
  <c r="K16" i="6"/>
  <c r="K15" i="6"/>
  <c r="K14" i="6"/>
  <c r="K13" i="6"/>
  <c r="J16" i="6"/>
  <c r="J15" i="6"/>
  <c r="J14" i="6"/>
  <c r="J13" i="6"/>
  <c r="I16" i="6"/>
  <c r="I15" i="6"/>
  <c r="I14" i="6"/>
  <c r="I13" i="6"/>
  <c r="H16" i="6"/>
  <c r="H15" i="6"/>
  <c r="H14" i="6"/>
  <c r="H13" i="6"/>
  <c r="G16" i="6"/>
  <c r="G15" i="6"/>
  <c r="G13" i="6"/>
  <c r="G14" i="6"/>
  <c r="F15" i="6"/>
  <c r="F14" i="6"/>
  <c r="F13" i="6"/>
  <c r="E15" i="6"/>
  <c r="E14" i="6"/>
  <c r="E13" i="6"/>
  <c r="C64" i="6"/>
  <c r="C65" i="6"/>
  <c r="C66" i="6"/>
  <c r="C68" i="6"/>
  <c r="C69" i="6"/>
  <c r="C70" i="6"/>
  <c r="C71" i="6"/>
  <c r="C72" i="6"/>
  <c r="C73" i="6"/>
  <c r="C74" i="6"/>
  <c r="C75" i="6"/>
  <c r="C76" i="6"/>
  <c r="C77" i="6"/>
  <c r="C78" i="6"/>
  <c r="C63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46" i="6"/>
  <c r="C31" i="6"/>
  <c r="C32" i="6"/>
  <c r="C35" i="6"/>
  <c r="C36" i="6"/>
  <c r="C38" i="6"/>
  <c r="C39" i="6"/>
  <c r="C40" i="6"/>
  <c r="C41" i="6"/>
  <c r="C42" i="6"/>
  <c r="C43" i="6"/>
  <c r="C29" i="6"/>
  <c r="C12" i="6"/>
  <c r="C13" i="6"/>
  <c r="C14" i="6"/>
  <c r="C15" i="6"/>
  <c r="C17" i="6"/>
  <c r="C18" i="6"/>
  <c r="C19" i="6"/>
  <c r="C20" i="6"/>
  <c r="C21" i="6"/>
  <c r="C22" i="6"/>
  <c r="C23" i="6"/>
  <c r="C24" i="6"/>
  <c r="C25" i="6"/>
  <c r="D2" i="5"/>
  <c r="C118" i="5"/>
  <c r="C122" i="5"/>
  <c r="C114" i="5"/>
  <c r="C105" i="5"/>
  <c r="C108" i="5"/>
  <c r="C111" i="5"/>
  <c r="C102" i="5"/>
  <c r="H18" i="5"/>
  <c r="H17" i="5"/>
  <c r="H16" i="5"/>
  <c r="H15" i="5"/>
  <c r="H14" i="5"/>
  <c r="H13" i="5"/>
  <c r="H12" i="5"/>
  <c r="G18" i="5"/>
  <c r="G17" i="5"/>
  <c r="G16" i="5"/>
  <c r="G15" i="5"/>
  <c r="G14" i="5"/>
  <c r="G13" i="5"/>
  <c r="G12" i="5"/>
  <c r="D25" i="5"/>
  <c r="G8" i="5" s="1"/>
  <c r="H7" i="5"/>
  <c r="H6" i="5"/>
  <c r="H5" i="5"/>
  <c r="H4" i="5"/>
  <c r="H3" i="5"/>
  <c r="H2" i="5"/>
  <c r="G7" i="5"/>
  <c r="G6" i="5"/>
  <c r="G5" i="5"/>
  <c r="G4" i="5"/>
  <c r="G3" i="5"/>
  <c r="G2" i="5"/>
  <c r="D28" i="5"/>
  <c r="D29" i="5"/>
  <c r="D31" i="5"/>
  <c r="D32" i="5"/>
  <c r="D33" i="5"/>
  <c r="D34" i="5"/>
  <c r="D35" i="5"/>
  <c r="D36" i="5"/>
  <c r="D37" i="5"/>
  <c r="D38" i="5"/>
  <c r="D39" i="5"/>
  <c r="D40" i="5"/>
  <c r="D41" i="5"/>
  <c r="D42" i="5"/>
  <c r="D44" i="5"/>
  <c r="D45" i="5"/>
  <c r="D46" i="5"/>
  <c r="D48" i="5"/>
  <c r="D49" i="5"/>
  <c r="D50" i="5"/>
  <c r="D27" i="5"/>
  <c r="D3" i="5"/>
  <c r="D4" i="5"/>
  <c r="D6" i="5"/>
  <c r="D7" i="5"/>
  <c r="D8" i="5"/>
  <c r="D9" i="5"/>
  <c r="D10" i="5"/>
  <c r="D11" i="5"/>
  <c r="D12" i="5"/>
  <c r="D13" i="5"/>
  <c r="D14" i="5"/>
  <c r="D15" i="5"/>
  <c r="D16" i="5"/>
  <c r="D17" i="5"/>
  <c r="D19" i="5"/>
  <c r="D20" i="5"/>
  <c r="D21" i="5"/>
  <c r="D23" i="5"/>
  <c r="D24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O61" i="5"/>
  <c r="N61" i="5"/>
  <c r="M61" i="5"/>
  <c r="L61" i="5"/>
  <c r="K61" i="5"/>
  <c r="J61" i="5"/>
  <c r="G61" i="5"/>
  <c r="F61" i="5"/>
  <c r="C61" i="5"/>
  <c r="O60" i="5"/>
  <c r="N60" i="5"/>
  <c r="M60" i="5"/>
  <c r="L60" i="5"/>
  <c r="K60" i="5"/>
  <c r="J60" i="5"/>
  <c r="G60" i="5"/>
  <c r="F60" i="5"/>
  <c r="C60" i="5"/>
  <c r="O59" i="5"/>
  <c r="N59" i="5"/>
  <c r="M59" i="5"/>
  <c r="L59" i="5"/>
  <c r="K59" i="5"/>
  <c r="J59" i="5"/>
  <c r="G59" i="5"/>
  <c r="F59" i="5"/>
  <c r="C59" i="5"/>
  <c r="O58" i="5"/>
  <c r="N58" i="5"/>
  <c r="M58" i="5"/>
  <c r="L58" i="5"/>
  <c r="K58" i="5"/>
  <c r="J58" i="5"/>
  <c r="G58" i="5"/>
  <c r="F58" i="5"/>
  <c r="C58" i="5"/>
  <c r="O57" i="5"/>
  <c r="N57" i="5"/>
  <c r="M57" i="5"/>
  <c r="L57" i="5"/>
  <c r="K57" i="5"/>
  <c r="J57" i="5"/>
  <c r="G57" i="5"/>
  <c r="F57" i="5"/>
  <c r="C57" i="5"/>
  <c r="O56" i="5"/>
  <c r="N56" i="5"/>
  <c r="M56" i="5"/>
  <c r="L56" i="5"/>
  <c r="K56" i="5"/>
  <c r="J56" i="5"/>
  <c r="G56" i="5"/>
  <c r="F56" i="5"/>
  <c r="C56" i="5"/>
  <c r="O55" i="5"/>
  <c r="N55" i="5"/>
  <c r="M55" i="5"/>
  <c r="L55" i="5"/>
  <c r="K55" i="5"/>
  <c r="J55" i="5"/>
  <c r="G55" i="5"/>
  <c r="F55" i="5"/>
  <c r="C55" i="5"/>
  <c r="C54" i="5"/>
  <c r="C53" i="5"/>
  <c r="C52" i="5"/>
  <c r="M50" i="5"/>
  <c r="C50" i="5"/>
  <c r="J50" i="5" s="1"/>
  <c r="M49" i="5"/>
  <c r="N47" i="5" s="1"/>
  <c r="C49" i="5"/>
  <c r="J49" i="5" s="1"/>
  <c r="M48" i="5"/>
  <c r="O47" i="5" s="1"/>
  <c r="J48" i="5"/>
  <c r="C48" i="5"/>
  <c r="C47" i="5"/>
  <c r="M46" i="5"/>
  <c r="J46" i="5"/>
  <c r="C46" i="5"/>
  <c r="M45" i="5"/>
  <c r="N43" i="5" s="1"/>
  <c r="C45" i="5"/>
  <c r="J45" i="5" s="1"/>
  <c r="M44" i="5"/>
  <c r="C44" i="5"/>
  <c r="J44" i="5" s="1"/>
  <c r="O43" i="5"/>
  <c r="C43" i="5"/>
  <c r="M42" i="5"/>
  <c r="C42" i="5"/>
  <c r="J42" i="5" s="1"/>
  <c r="M41" i="5"/>
  <c r="C41" i="5"/>
  <c r="J41" i="5" s="1"/>
  <c r="M40" i="5"/>
  <c r="J40" i="5"/>
  <c r="C40" i="5"/>
  <c r="M39" i="5"/>
  <c r="O39" i="5" s="1"/>
  <c r="C39" i="5"/>
  <c r="J39" i="5" s="1"/>
  <c r="M38" i="5"/>
  <c r="C38" i="5"/>
  <c r="J38" i="5" s="1"/>
  <c r="M37" i="5"/>
  <c r="N36" i="5" s="1"/>
  <c r="C37" i="5"/>
  <c r="J37" i="5" s="1"/>
  <c r="M36" i="5"/>
  <c r="J36" i="5"/>
  <c r="C36" i="5"/>
  <c r="M35" i="5"/>
  <c r="C35" i="5"/>
  <c r="J35" i="5" s="1"/>
  <c r="M34" i="5"/>
  <c r="C34" i="5"/>
  <c r="J34" i="5" s="1"/>
  <c r="O33" i="5"/>
  <c r="M33" i="5"/>
  <c r="N33" i="5" s="1"/>
  <c r="C33" i="5"/>
  <c r="J33" i="5" s="1"/>
  <c r="M32" i="5"/>
  <c r="N30" i="5" s="1"/>
  <c r="J32" i="5"/>
  <c r="C32" i="5"/>
  <c r="M31" i="5"/>
  <c r="O30" i="5" s="1"/>
  <c r="C31" i="5"/>
  <c r="J31" i="5" s="1"/>
  <c r="C30" i="5"/>
  <c r="J30" i="5" s="1"/>
  <c r="C29" i="5"/>
  <c r="J29" i="5" s="1"/>
  <c r="M28" i="5"/>
  <c r="C28" i="5"/>
  <c r="J28" i="5" s="1"/>
  <c r="O27" i="5"/>
  <c r="M27" i="5"/>
  <c r="N27" i="5" s="1"/>
  <c r="C27" i="5"/>
  <c r="J27" i="5" s="1"/>
  <c r="M25" i="5"/>
  <c r="N22" i="5" s="1"/>
  <c r="J25" i="5"/>
  <c r="C25" i="5"/>
  <c r="M24" i="5"/>
  <c r="C24" i="5"/>
  <c r="J24" i="5" s="1"/>
  <c r="M23" i="5"/>
  <c r="C23" i="5"/>
  <c r="J23" i="5" s="1"/>
  <c r="O22" i="5"/>
  <c r="C22" i="5"/>
  <c r="M21" i="5"/>
  <c r="C21" i="5"/>
  <c r="J21" i="5" s="1"/>
  <c r="M20" i="5"/>
  <c r="N18" i="5" s="1"/>
  <c r="J20" i="5"/>
  <c r="C20" i="5"/>
  <c r="M19" i="5"/>
  <c r="O18" i="5" s="1"/>
  <c r="J19" i="5"/>
  <c r="K18" i="5" s="1"/>
  <c r="C19" i="5"/>
  <c r="C18" i="5"/>
  <c r="M17" i="5"/>
  <c r="J17" i="5"/>
  <c r="C17" i="5"/>
  <c r="M16" i="5"/>
  <c r="C16" i="5"/>
  <c r="M15" i="5"/>
  <c r="O14" i="5" s="1"/>
  <c r="J15" i="5"/>
  <c r="C15" i="5"/>
  <c r="M14" i="5"/>
  <c r="J14" i="5"/>
  <c r="L14" i="5" s="1"/>
  <c r="C14" i="5"/>
  <c r="M13" i="5"/>
  <c r="C13" i="5"/>
  <c r="J13" i="5" s="1"/>
  <c r="M12" i="5"/>
  <c r="C12" i="5"/>
  <c r="J12" i="5" s="1"/>
  <c r="O11" i="5"/>
  <c r="N11" i="5"/>
  <c r="M11" i="5"/>
  <c r="J11" i="5"/>
  <c r="C11" i="5"/>
  <c r="M10" i="5"/>
  <c r="J10" i="5"/>
  <c r="C10" i="5"/>
  <c r="M9" i="5"/>
  <c r="C9" i="5"/>
  <c r="J9" i="5" s="1"/>
  <c r="M8" i="5"/>
  <c r="O8" i="5" s="1"/>
  <c r="C8" i="5"/>
  <c r="J8" i="5" s="1"/>
  <c r="M7" i="5"/>
  <c r="J7" i="5"/>
  <c r="C7" i="5"/>
  <c r="M6" i="5"/>
  <c r="O5" i="5" s="1"/>
  <c r="J6" i="5"/>
  <c r="C6" i="5"/>
  <c r="C5" i="5"/>
  <c r="J5" i="5" s="1"/>
  <c r="J4" i="5"/>
  <c r="C4" i="5"/>
  <c r="M3" i="5"/>
  <c r="C3" i="5"/>
  <c r="J3" i="5" s="1"/>
  <c r="M2" i="5"/>
  <c r="O2" i="5" s="1"/>
  <c r="C2" i="5"/>
  <c r="J2" i="5" s="1"/>
  <c r="E16" i="6" l="1"/>
  <c r="P14" i="6" s="1"/>
  <c r="H8" i="5"/>
  <c r="K27" i="5"/>
  <c r="L27" i="5"/>
  <c r="K33" i="5"/>
  <c r="L33" i="5"/>
  <c r="L22" i="5"/>
  <c r="K22" i="5"/>
  <c r="L43" i="5"/>
  <c r="K43" i="5"/>
  <c r="K2" i="5"/>
  <c r="L2" i="5"/>
  <c r="L30" i="5"/>
  <c r="K30" i="5"/>
  <c r="L39" i="5"/>
  <c r="K39" i="5"/>
  <c r="K47" i="5"/>
  <c r="K5" i="5"/>
  <c r="L5" i="5"/>
  <c r="L36" i="5"/>
  <c r="K8" i="5"/>
  <c r="L8" i="5"/>
  <c r="L11" i="5"/>
  <c r="K11" i="5"/>
  <c r="N14" i="5"/>
  <c r="K14" i="5"/>
  <c r="K36" i="5"/>
  <c r="O36" i="5"/>
  <c r="N39" i="5"/>
  <c r="L47" i="5"/>
  <c r="N5" i="5"/>
  <c r="N2" i="5"/>
  <c r="N8" i="5"/>
  <c r="L18" i="5"/>
</calcChain>
</file>

<file path=xl/sharedStrings.xml><?xml version="1.0" encoding="utf-8"?>
<sst xmlns="http://schemas.openxmlformats.org/spreadsheetml/2006/main" count="292" uniqueCount="55">
  <si>
    <t>SEC5A</t>
  </si>
  <si>
    <t>ALD1</t>
  </si>
  <si>
    <t>FMO1</t>
  </si>
  <si>
    <t>1w.1</t>
  </si>
  <si>
    <t>1w.2</t>
  </si>
  <si>
    <t>1w.3</t>
  </si>
  <si>
    <t>2w.1</t>
  </si>
  <si>
    <t>2w.2</t>
  </si>
  <si>
    <t>2w.3</t>
  </si>
  <si>
    <t>3w.1</t>
  </si>
  <si>
    <t>3w.2</t>
  </si>
  <si>
    <t>3w.3</t>
  </si>
  <si>
    <t>4w.1</t>
  </si>
  <si>
    <t>4w.2</t>
  </si>
  <si>
    <t>4w.3</t>
  </si>
  <si>
    <t>5w.1</t>
  </si>
  <si>
    <t>5w.2</t>
  </si>
  <si>
    <t>5w.3</t>
  </si>
  <si>
    <t>5w.4</t>
  </si>
  <si>
    <t>6w.1</t>
  </si>
  <si>
    <t>6w.2</t>
  </si>
  <si>
    <t>6w.3</t>
  </si>
  <si>
    <t>6w.4</t>
  </si>
  <si>
    <t>7w.1</t>
  </si>
  <si>
    <t>7w.2</t>
  </si>
  <si>
    <t>7w.3</t>
  </si>
  <si>
    <t>7w.4</t>
  </si>
  <si>
    <t>average</t>
  </si>
  <si>
    <t>stdev</t>
  </si>
  <si>
    <t>3W AVG</t>
  </si>
  <si>
    <t>Expression data</t>
  </si>
  <si>
    <t>N/A</t>
  </si>
  <si>
    <t>RLP28</t>
  </si>
  <si>
    <t>ACT1</t>
  </si>
  <si>
    <t>ALD1-SEC5A</t>
  </si>
  <si>
    <t>Average</t>
  </si>
  <si>
    <t>Stdev</t>
  </si>
  <si>
    <t>Relative to SEC5A</t>
  </si>
  <si>
    <t>FMO1-SEC5A</t>
  </si>
  <si>
    <t>CUL4</t>
  </si>
  <si>
    <t>Relative to ACT1</t>
  </si>
  <si>
    <t>Week</t>
  </si>
  <si>
    <t>A</t>
  </si>
  <si>
    <t>B</t>
  </si>
  <si>
    <t>C</t>
  </si>
  <si>
    <t>D</t>
  </si>
  <si>
    <t>E</t>
  </si>
  <si>
    <t>F</t>
  </si>
  <si>
    <t>G</t>
  </si>
  <si>
    <t>H</t>
  </si>
  <si>
    <t>samples</t>
  </si>
  <si>
    <t>4w.4</t>
  </si>
  <si>
    <t>ICS1</t>
  </si>
  <si>
    <t>relative to sec5a</t>
  </si>
  <si>
    <t>Weeks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</si>
</sst>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ALD1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'2022-04-27'!$G$55:$G$61</c15:sqref>
                    </c15:fullRef>
                  </c:ext>
                </c:extLst>
                <c:f>'2022-04-27'!$G$57:$G$61</c:f>
                <c:numCache>
                  <c:formatCode>General</c:formatCode>
                  <c:ptCount val="5"/>
                  <c:pt idx="0">
                    <c:v>1.4032937444930533</c:v>
                  </c:pt>
                  <c:pt idx="1">
                    <c:v>0.55461698495448442</c:v>
                  </c:pt>
                  <c:pt idx="2">
                    <c:v>0.20615528128088306</c:v>
                  </c:pt>
                  <c:pt idx="3">
                    <c:v>2.0090793911640228</c:v>
                  </c:pt>
                  <c:pt idx="4">
                    <c:v>2.2177071492872997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'2022-04-27'!$G$55:$G$61</c15:sqref>
                    </c15:fullRef>
                  </c:ext>
                </c:extLst>
                <c:f>'2022-04-27'!$G$57:$G$61</c:f>
                <c:numCache>
                  <c:formatCode>General</c:formatCode>
                  <c:ptCount val="5"/>
                  <c:pt idx="0">
                    <c:v>1.4032937444930533</c:v>
                  </c:pt>
                  <c:pt idx="1">
                    <c:v>0.55461698495448442</c:v>
                  </c:pt>
                  <c:pt idx="2">
                    <c:v>0.20615528128088306</c:v>
                  </c:pt>
                  <c:pt idx="3">
                    <c:v>2.0090793911640228</c:v>
                  </c:pt>
                  <c:pt idx="4">
                    <c:v>2.2177071492872997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'2022-04-27'!$E$55:$E$61</c15:sqref>
                  </c15:fullRef>
                </c:ext>
              </c:extLst>
              <c:f>'2022-04-27'!$E$57:$E$61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'2022-04-27'!$F$55:$F$61</c15:sqref>
                  </c15:fullRef>
                </c:ext>
              </c:extLst>
              <c:f>'2022-04-27'!$F$57:$F$61</c:f>
              <c:numCache>
                <c:formatCode>General</c:formatCode>
                <c:ptCount val="5"/>
                <c:pt idx="0">
                  <c:v>37.186666666666667</c:v>
                </c:pt>
                <c:pt idx="1">
                  <c:v>33.880000000000003</c:v>
                </c:pt>
                <c:pt idx="2">
                  <c:v>29.905000000000001</c:v>
                </c:pt>
                <c:pt idx="3">
                  <c:v>29.65</c:v>
                </c:pt>
                <c:pt idx="4">
                  <c:v>30.092500000000001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A-4BF5-9EE0-113434510C84}"/>
            </c:ext>
          </c:extLst>
        </c:ser>
        <c:ser>
          <c:idx val="1"/>
          <c:order val="1"/>
          <c:tx>
            <c:v>FMO1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'2022-04-27'!$K$55:$K$61</c15:sqref>
                    </c15:fullRef>
                  </c:ext>
                </c:extLst>
                <c:f>'2022-04-27'!$K$57:$K$61</c:f>
                <c:numCache>
                  <c:formatCode>General</c:formatCode>
                  <c:ptCount val="5"/>
                  <c:pt idx="0">
                    <c:v>1.0535653752852747</c:v>
                  </c:pt>
                  <c:pt idx="1">
                    <c:v>0.49568134925574664</c:v>
                  </c:pt>
                  <c:pt idx="2">
                    <c:v>0.84373672829068358</c:v>
                  </c:pt>
                  <c:pt idx="3">
                    <c:v>3.3002260023620598</c:v>
                  </c:pt>
                  <c:pt idx="4">
                    <c:v>1.4931398684204611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'2022-04-27'!$K$55:$K$61</c15:sqref>
                    </c15:fullRef>
                  </c:ext>
                </c:extLst>
                <c:f>'2022-04-27'!$K$57:$K$61</c:f>
                <c:numCache>
                  <c:formatCode>General</c:formatCode>
                  <c:ptCount val="5"/>
                  <c:pt idx="0">
                    <c:v>1.0535653752852747</c:v>
                  </c:pt>
                  <c:pt idx="1">
                    <c:v>0.49568134925574664</c:v>
                  </c:pt>
                  <c:pt idx="2">
                    <c:v>0.84373672829068358</c:v>
                  </c:pt>
                  <c:pt idx="3">
                    <c:v>3.3002260023620598</c:v>
                  </c:pt>
                  <c:pt idx="4">
                    <c:v>1.4931398684204611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'2022-04-27'!$E$55:$E$61</c15:sqref>
                  </c15:fullRef>
                </c:ext>
              </c:extLst>
              <c:f>'2022-04-27'!$E$57:$E$61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'2022-04-27'!$J$55:$J$61</c15:sqref>
                  </c15:fullRef>
                </c:ext>
              </c:extLst>
              <c:f>'2022-04-27'!$J$57:$J$61</c:f>
              <c:numCache>
                <c:formatCode>General</c:formatCode>
                <c:ptCount val="5"/>
                <c:pt idx="0">
                  <c:v>37.47</c:v>
                </c:pt>
                <c:pt idx="1">
                  <c:v>36.97</c:v>
                </c:pt>
                <c:pt idx="2">
                  <c:v>33.997499999999995</c:v>
                </c:pt>
                <c:pt idx="3">
                  <c:v>33.177500000000002</c:v>
                </c:pt>
                <c:pt idx="4">
                  <c:v>31.48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A-4BF5-9EE0-113434510C84}"/>
            </c:ext>
          </c:extLst>
        </c:ser>
        <c:ser>
          <c:idx val="2"/>
          <c:order val="2"/>
          <c:tx>
            <c:v>CUL4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'2022-04-27'!$M$55:$M$61</c15:sqref>
                    </c15:fullRef>
                  </c:ext>
                </c:extLst>
                <c:f>'2022-04-27'!$M$57:$M$61</c:f>
                <c:numCache>
                  <c:formatCode>General</c:formatCode>
                  <c:ptCount val="5"/>
                  <c:pt idx="0">
                    <c:v>0.16703293088490156</c:v>
                  </c:pt>
                  <c:pt idx="1">
                    <c:v>0.38083242158898845</c:v>
                  </c:pt>
                  <c:pt idx="2">
                    <c:v>0.34042865135982159</c:v>
                  </c:pt>
                  <c:pt idx="3">
                    <c:v>0.29557852876463553</c:v>
                  </c:pt>
                  <c:pt idx="4">
                    <c:v>0.57029232270243035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'2022-04-27'!$M$55:$M$61</c15:sqref>
                    </c15:fullRef>
                  </c:ext>
                </c:extLst>
                <c:f>'2022-04-27'!$M$57:$M$61</c:f>
                <c:numCache>
                  <c:formatCode>General</c:formatCode>
                  <c:ptCount val="5"/>
                  <c:pt idx="0">
                    <c:v>0.16703293088490156</c:v>
                  </c:pt>
                  <c:pt idx="1">
                    <c:v>0.38083242158898845</c:v>
                  </c:pt>
                  <c:pt idx="2">
                    <c:v>0.34042865135982159</c:v>
                  </c:pt>
                  <c:pt idx="3">
                    <c:v>0.29557852876463553</c:v>
                  </c:pt>
                  <c:pt idx="4">
                    <c:v>0.57029232270243035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'2022-04-27'!$E$55:$E$61</c15:sqref>
                  </c15:fullRef>
                </c:ext>
              </c:extLst>
              <c:f>'2022-04-27'!$E$57:$E$61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'2022-04-27'!$L$55:$L$61</c15:sqref>
                  </c15:fullRef>
                </c:ext>
              </c:extLst>
              <c:f>'2022-04-27'!$L$57:$L$61</c:f>
              <c:numCache>
                <c:formatCode>General</c:formatCode>
                <c:ptCount val="5"/>
                <c:pt idx="0">
                  <c:v>22.78</c:v>
                </c:pt>
                <c:pt idx="1">
                  <c:v>23.433333333333337</c:v>
                </c:pt>
                <c:pt idx="2">
                  <c:v>22.997500000000002</c:v>
                </c:pt>
                <c:pt idx="3">
                  <c:v>22.795000000000002</c:v>
                </c:pt>
                <c:pt idx="4">
                  <c:v>22.984999999999999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3A-4BF5-9EE0-113434510C84}"/>
            </c:ext>
          </c:extLst>
        </c:ser>
        <c:ser>
          <c:idx val="3"/>
          <c:order val="3"/>
          <c:tx>
            <c:v>SEC5A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'2022-04-27'!$O$55:$O$61</c15:sqref>
                    </c15:fullRef>
                  </c:ext>
                </c:extLst>
                <c:f>'2022-04-27'!$O$57:$O$61</c:f>
                <c:numCache>
                  <c:formatCode>General</c:formatCode>
                  <c:ptCount val="5"/>
                  <c:pt idx="0">
                    <c:v>0.18147543451754877</c:v>
                  </c:pt>
                  <c:pt idx="1">
                    <c:v>0.42461747491124258</c:v>
                  </c:pt>
                  <c:pt idx="2">
                    <c:v>0.62205975061350249</c:v>
                  </c:pt>
                  <c:pt idx="3">
                    <c:v>0.22605309110914704</c:v>
                  </c:pt>
                  <c:pt idx="4">
                    <c:v>0.63184913811235988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'2022-04-27'!$O$55:$O$61</c15:sqref>
                    </c15:fullRef>
                  </c:ext>
                </c:extLst>
                <c:f>'2022-04-27'!$O$57:$O$61</c:f>
                <c:numCache>
                  <c:formatCode>General</c:formatCode>
                  <c:ptCount val="5"/>
                  <c:pt idx="0">
                    <c:v>0.18147543451754877</c:v>
                  </c:pt>
                  <c:pt idx="1">
                    <c:v>0.42461747491124258</c:v>
                  </c:pt>
                  <c:pt idx="2">
                    <c:v>0.62205975061350249</c:v>
                  </c:pt>
                  <c:pt idx="3">
                    <c:v>0.22605309110914704</c:v>
                  </c:pt>
                  <c:pt idx="4">
                    <c:v>0.63184913811235988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'2022-04-27'!$E$55:$E$61</c15:sqref>
                  </c15:fullRef>
                </c:ext>
              </c:extLst>
              <c:f>'2022-04-27'!$E$57:$E$61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'2022-04-27'!$N$55:$N$61</c15:sqref>
                  </c15:fullRef>
                </c:ext>
              </c:extLst>
              <c:f>'2022-04-27'!$N$57:$N$61</c:f>
              <c:numCache>
                <c:formatCode>General</c:formatCode>
                <c:ptCount val="5"/>
                <c:pt idx="0">
                  <c:v>23.993333333333336</c:v>
                </c:pt>
                <c:pt idx="1">
                  <c:v>24.819999999999997</c:v>
                </c:pt>
                <c:pt idx="2">
                  <c:v>24.487499999999997</c:v>
                </c:pt>
                <c:pt idx="3">
                  <c:v>24.324999999999999</c:v>
                </c:pt>
                <c:pt idx="4">
                  <c:v>24.765000000000001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3A-4BF5-9EE0-113434510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838672"/>
        <c:axId val="217838016"/>
      </c:barChart>
      <c:catAx>
        <c:axId val="2178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38016"/>
        <c:crosses val="autoZero"/>
        <c:auto val="1"/>
        <c:lblAlgn val="ctr"/>
        <c:lblOffset val="100"/>
        <c:noMultiLvlLbl val="0"/>
      </c:catAx>
      <c:valAx>
        <c:axId val="2178380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Threshold</a:t>
                </a:r>
                <a:r>
                  <a:rPr lang="en-CA" baseline="0"/>
                  <a:t> cycle (Cq)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3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3129396325459315"/>
          <c:h val="0.766651356080489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'2022-04-27'!$V$36:$V$42</c15:sqref>
                    </c15:fullRef>
                  </c:ext>
                </c:extLst>
                <c:f>'2022-04-27'!$V$38:$V$42</c:f>
                <c:numCache>
                  <c:formatCode>General</c:formatCode>
                  <c:ptCount val="5"/>
                  <c:pt idx="0">
                    <c:v>1.268143058917236</c:v>
                  </c:pt>
                  <c:pt idx="1">
                    <c:v>10.403437684792921</c:v>
                  </c:pt>
                  <c:pt idx="2">
                    <c:v>37.572328179004977</c:v>
                  </c:pt>
                  <c:pt idx="3">
                    <c:v>84.185403311335776</c:v>
                  </c:pt>
                  <c:pt idx="4">
                    <c:v>137.61704779746242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'2022-04-27'!$V$36:$V$42</c15:sqref>
                    </c15:fullRef>
                  </c:ext>
                </c:extLst>
                <c:f>'2022-04-27'!$V$38:$V$42</c:f>
                <c:numCache>
                  <c:formatCode>General</c:formatCode>
                  <c:ptCount val="5"/>
                  <c:pt idx="0">
                    <c:v>1.268143058917236</c:v>
                  </c:pt>
                  <c:pt idx="1">
                    <c:v>10.403437684792921</c:v>
                  </c:pt>
                  <c:pt idx="2">
                    <c:v>37.572328179004977</c:v>
                  </c:pt>
                  <c:pt idx="3">
                    <c:v>84.185403311335776</c:v>
                  </c:pt>
                  <c:pt idx="4">
                    <c:v>137.61704779746242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'2022-04-27'!$U$36:$U$42</c15:sqref>
                  </c15:fullRef>
                </c:ext>
              </c:extLst>
              <c:f>'2022-04-27'!$U$38:$U$42</c:f>
              <c:numCache>
                <c:formatCode>General</c:formatCode>
                <c:ptCount val="5"/>
                <c:pt idx="0">
                  <c:v>1.335979708819707</c:v>
                </c:pt>
                <c:pt idx="1">
                  <c:v>19.498560994971797</c:v>
                </c:pt>
                <c:pt idx="2">
                  <c:v>184.52619901790004</c:v>
                </c:pt>
                <c:pt idx="3">
                  <c:v>149.63791323143133</c:v>
                </c:pt>
                <c:pt idx="4">
                  <c:v>160.18112274414833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131-9F0B-04DFB9B53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835136"/>
        <c:axId val="559835464"/>
      </c:barChart>
      <c:catAx>
        <c:axId val="55983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Plant age (wpg)</a:t>
                </a:r>
              </a:p>
            </c:rich>
          </c:tx>
          <c:layout>
            <c:manualLayout>
              <c:xMode val="edge"/>
              <c:yMode val="edge"/>
              <c:x val="0.44683202099737535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5464"/>
        <c:crosses val="autoZero"/>
        <c:auto val="1"/>
        <c:lblAlgn val="ctr"/>
        <c:lblOffset val="100"/>
        <c:noMultiLvlLbl val="0"/>
      </c:catAx>
      <c:valAx>
        <c:axId val="55983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ALD1 (relative</a:t>
                </a:r>
                <a:r>
                  <a:rPr lang="en-CA" baseline="0"/>
                  <a:t> to 3 wpg)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3129396325459315"/>
          <c:h val="0.77128098571011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'2022-04-27'!$X$36:$X$42</c15:sqref>
                    </c15:fullRef>
                  </c:ext>
                </c:extLst>
                <c:f>'2022-04-27'!$X$38:$X$42</c:f>
                <c:numCache>
                  <c:formatCode>General</c:formatCode>
                  <c:ptCount val="5"/>
                  <c:pt idx="0">
                    <c:v>0.69548884932825361</c:v>
                  </c:pt>
                  <c:pt idx="1">
                    <c:v>1.8169926452288965</c:v>
                  </c:pt>
                  <c:pt idx="2">
                    <c:v>6.6841188981784967</c:v>
                  </c:pt>
                  <c:pt idx="3">
                    <c:v>8.6750691065803593</c:v>
                  </c:pt>
                  <c:pt idx="4">
                    <c:v>34.174322303728943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'2022-04-27'!$X$36:$X$42</c15:sqref>
                    </c15:fullRef>
                  </c:ext>
                </c:extLst>
                <c:f>'2022-04-27'!$X$38:$X$42</c:f>
                <c:numCache>
                  <c:formatCode>General</c:formatCode>
                  <c:ptCount val="5"/>
                  <c:pt idx="0">
                    <c:v>0.69548884932825361</c:v>
                  </c:pt>
                  <c:pt idx="1">
                    <c:v>1.8169926452288965</c:v>
                  </c:pt>
                  <c:pt idx="2">
                    <c:v>6.6841188981784967</c:v>
                  </c:pt>
                  <c:pt idx="3">
                    <c:v>8.6750691065803593</c:v>
                  </c:pt>
                  <c:pt idx="4">
                    <c:v>34.174322303728943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5"/>
              <c:pt idx="0">
                <c:v>3</c:v>
              </c:pt>
              <c:pt idx="1">
                <c:v>4</c:v>
              </c:pt>
              <c:pt idx="2">
                <c:v>5</c:v>
              </c:pt>
              <c:pt idx="3">
                <c:v>6</c:v>
              </c:pt>
              <c:pt idx="4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'2022-04-27'!$W$36:$W$42</c15:sqref>
                  </c15:fullRef>
                </c:ext>
              </c:extLst>
              <c:f>'2022-04-27'!$W$38:$W$42</c:f>
              <c:numCache>
                <c:formatCode>General</c:formatCode>
                <c:ptCount val="5"/>
                <c:pt idx="0">
                  <c:v>1.1388025693265358</c:v>
                </c:pt>
                <c:pt idx="1">
                  <c:v>2.8558719969346331</c:v>
                </c:pt>
                <c:pt idx="2">
                  <c:v>16.642683695975279</c:v>
                </c:pt>
                <c:pt idx="3">
                  <c:v>12.256718510248691</c:v>
                </c:pt>
                <c:pt idx="4">
                  <c:v>76.088051569135317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3-4DB7-B447-A96730BCE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835136"/>
        <c:axId val="559835464"/>
      </c:barChart>
      <c:catAx>
        <c:axId val="55983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Plant</a:t>
                </a:r>
                <a:r>
                  <a:rPr lang="en-CA" baseline="0"/>
                  <a:t> age (wpg)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5464"/>
        <c:crosses val="autoZero"/>
        <c:auto val="1"/>
        <c:lblAlgn val="ctr"/>
        <c:lblOffset val="100"/>
        <c:noMultiLvlLbl val="0"/>
      </c:catAx>
      <c:valAx>
        <c:axId val="55983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/>
                  <a:t>FMO1 (relative to 3 wpg)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4708786222348"/>
          <c:y val="4.0887227803028732E-2"/>
          <c:w val="0.80589264521905446"/>
          <c:h val="0.85017102522845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olidDmnd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27-4586-9FD6-DBACAAF2BC3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27-4586-9FD6-DBACAAF2BC37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27-4586-9FD6-DBACAAF2BC3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27-4586-9FD6-DBACAAF2BC37}"/>
              </c:ext>
            </c:extLst>
          </c:dPt>
          <c:dPt>
            <c:idx val="4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27-4586-9FD6-DBACAAF2BC37}"/>
              </c:ext>
            </c:extLst>
          </c:dPt>
          <c:dPt>
            <c:idx val="5"/>
            <c:invertIfNegative val="0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27-4586-9FD6-DBACAAF2BC37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('2022-04-27'!$O$2,'2022-04-27'!$O$5,'2022-04-27'!$O$8,'2022-04-27'!$O$11,'2022-04-27'!$O$14,'2022-04-27'!$O$18,'2022-04-27'!$O$22)</c15:sqref>
                    </c15:fullRef>
                  </c:ext>
                </c:extLst>
                <c:f>('2022-04-27'!$O$5,'2022-04-27'!$O$8,'2022-04-27'!$O$11,'2022-04-27'!$O$14,'2022-04-27'!$O$18,'2022-04-27'!$O$22)</c:f>
                <c:numCache>
                  <c:formatCode>General</c:formatCode>
                  <c:ptCount val="6"/>
                  <c:pt idx="0">
                    <c:v>7.6031711448078612E-4</c:v>
                  </c:pt>
                  <c:pt idx="1">
                    <c:v>1.353876882910907E-4</c:v>
                  </c:pt>
                  <c:pt idx="2">
                    <c:v>1.1106770395661262E-3</c:v>
                  </c:pt>
                  <c:pt idx="3">
                    <c:v>1.1118175833949494E-2</c:v>
                  </c:pt>
                  <c:pt idx="4">
                    <c:v>8.9876824716498601E-3</c:v>
                  </c:pt>
                  <c:pt idx="5">
                    <c:v>1.4692075818836249E-2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('2022-04-27'!$O$2,'2022-04-27'!$O$5,'2022-04-27'!$O$8,'2022-04-27'!$O$11,'2022-04-27'!$O$14,'2022-04-27'!$O$18,'2022-04-27'!$O$22)</c15:sqref>
                    </c15:fullRef>
                  </c:ext>
                </c:extLst>
                <c:f>('2022-04-27'!$O$5,'2022-04-27'!$O$8,'2022-04-27'!$O$11,'2022-04-27'!$O$14,'2022-04-27'!$O$18,'2022-04-27'!$O$22)</c:f>
                <c:numCache>
                  <c:formatCode>General</c:formatCode>
                  <c:ptCount val="6"/>
                  <c:pt idx="0">
                    <c:v>7.6031711448078612E-4</c:v>
                  </c:pt>
                  <c:pt idx="1">
                    <c:v>1.353876882910907E-4</c:v>
                  </c:pt>
                  <c:pt idx="2">
                    <c:v>1.1106770395661262E-3</c:v>
                  </c:pt>
                  <c:pt idx="3">
                    <c:v>1.1118175833949494E-2</c:v>
                  </c:pt>
                  <c:pt idx="4">
                    <c:v>8.9876824716498601E-3</c:v>
                  </c:pt>
                  <c:pt idx="5">
                    <c:v>1.4692075818836249E-2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'2022-04-27'!$Q$18:$Q$24</c15:sqref>
                  </c15:fullRef>
                </c:ext>
              </c:extLst>
              <c:f>'2022-04-27'!$Q$19:$Q$24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('2022-04-27'!$N$2,'2022-04-27'!$N$5,'2022-04-27'!$N$8,'2022-04-27'!$N$11,'2022-04-27'!$N$14,'2022-04-27'!$N$18,'2022-04-27'!$N$22)</c15:sqref>
                  </c15:fullRef>
                </c:ext>
              </c:extLst>
              <c:f>('2022-04-27'!$N$5,'2022-04-27'!$N$8,'2022-04-27'!$N$11,'2022-04-27'!$N$14,'2022-04-27'!$N$18,'2022-04-27'!$N$22)</c:f>
              <c:numCache>
                <c:formatCode>General</c:formatCode>
                <c:ptCount val="6"/>
                <c:pt idx="0">
                  <c:v>9.4256657198125938E-4</c:v>
                </c:pt>
                <c:pt idx="1">
                  <c:v>1.4262996836913579E-4</c:v>
                </c:pt>
                <c:pt idx="2">
                  <c:v>2.0816776778844045E-3</c:v>
                </c:pt>
                <c:pt idx="3">
                  <c:v>2.5012541469870943E-2</c:v>
                </c:pt>
                <c:pt idx="4">
                  <c:v>1.5975430382755004E-2</c:v>
                </c:pt>
                <c:pt idx="5">
                  <c:v>1.7101029543715708E-2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'2022-04-27'!$N$2</c15:sqref>
                  <c15:spPr xmlns:c15="http://schemas.microsoft.com/office/drawing/2012/chart">
                    <a:pattFill prst="zigZag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2700">
                      <a:solidFill>
                        <a:schemeClr val="tx1"/>
                      </a:solidFill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F527-4586-9FD6-DBACAAF2B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2561696"/>
        <c:axId val="602564648"/>
      </c:barChart>
      <c:catAx>
        <c:axId val="60256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4648"/>
        <c:crosses val="autoZero"/>
        <c:auto val="1"/>
        <c:lblAlgn val="ctr"/>
        <c:lblOffset val="100"/>
        <c:noMultiLvlLbl val="0"/>
      </c:catAx>
      <c:valAx>
        <c:axId val="602564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Expression</a:t>
                </a:r>
                <a:r>
                  <a:rPr lang="en-CA" baseline="0"/>
                  <a:t> (relative to SEC5A)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4708786222348"/>
          <c:y val="4.0887227803028732E-2"/>
          <c:w val="0.80589264521905446"/>
          <c:h val="0.85017102522845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olidDmnd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75-4BE9-91BE-8BD51313B8C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75-4BE9-91BE-8BD51313B8C8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75-4BE9-91BE-8BD51313B8C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75-4BE9-91BE-8BD51313B8C8}"/>
              </c:ext>
            </c:extLst>
          </c:dPt>
          <c:dPt>
            <c:idx val="4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75-4BE9-91BE-8BD51313B8C8}"/>
              </c:ext>
            </c:extLst>
          </c:dPt>
          <c:dPt>
            <c:idx val="5"/>
            <c:invertIfNegative val="0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75-4BE9-91BE-8BD51313B8C8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('2022-04-27'!$O$27,'2022-04-27'!$O$30,'2022-04-27'!$O$33,'2022-04-27'!$O$36,'2022-04-27'!$O$39,'2022-04-27'!$O$43,'2022-04-27'!$O$47)</c15:sqref>
                    </c15:fullRef>
                  </c:ext>
                </c:extLst>
                <c:f>('2022-04-27'!$O$30,'2022-04-27'!$O$33,'2022-04-27'!$O$36,'2022-04-27'!$O$39,'2022-04-27'!$O$43,'2022-04-27'!$O$47)</c:f>
                <c:numCache>
                  <c:formatCode>General</c:formatCode>
                  <c:ptCount val="6"/>
                  <c:pt idx="0">
                    <c:v>1.9500280069673439E-4</c:v>
                  </c:pt>
                  <c:pt idx="1">
                    <c:v>6.1011157316340519E-5</c:v>
                  </c:pt>
                  <c:pt idx="2">
                    <c:v>1.5939410707700962E-4</c:v>
                  </c:pt>
                  <c:pt idx="3">
                    <c:v>5.8635854480165533E-4</c:v>
                  </c:pt>
                  <c:pt idx="4">
                    <c:v>7.610129285363918E-4</c:v>
                  </c:pt>
                  <c:pt idx="5">
                    <c:v>2.997912843988754E-3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('2022-04-27'!$O$27,'2022-04-27'!$O$30,'2022-04-27'!$O$33,'2022-04-27'!$O$36,'2022-04-27'!$O$39,'2022-04-27'!$O$43,'2022-04-27'!$O$47)</c15:sqref>
                    </c15:fullRef>
                  </c:ext>
                </c:extLst>
                <c:f>('2022-04-27'!$O$30,'2022-04-27'!$O$33,'2022-04-27'!$O$36,'2022-04-27'!$O$39,'2022-04-27'!$O$43,'2022-04-27'!$O$47)</c:f>
                <c:numCache>
                  <c:formatCode>General</c:formatCode>
                  <c:ptCount val="6"/>
                  <c:pt idx="0">
                    <c:v>1.9500280069673439E-4</c:v>
                  </c:pt>
                  <c:pt idx="1">
                    <c:v>6.1011157316340519E-5</c:v>
                  </c:pt>
                  <c:pt idx="2">
                    <c:v>1.5939410707700962E-4</c:v>
                  </c:pt>
                  <c:pt idx="3">
                    <c:v>5.8635854480165533E-4</c:v>
                  </c:pt>
                  <c:pt idx="4">
                    <c:v>7.610129285363918E-4</c:v>
                  </c:pt>
                  <c:pt idx="5">
                    <c:v>2.997912843988754E-3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('2022-04-27'!$N$27,'2022-04-27'!$N$30,'2022-04-27'!$N$33,'2022-04-27'!$N$36,'2022-04-27'!$N$39,'2022-04-27'!$N$43,'2022-04-27'!$N$47)</c15:sqref>
                  </c15:fullRef>
                </c:ext>
              </c:extLst>
              <c:f>('2022-04-27'!$N$30,'2022-04-27'!$N$33,'2022-04-27'!$N$36,'2022-04-27'!$N$39,'2022-04-27'!$N$43,'2022-04-27'!$N$47)</c:f>
              <c:numCache>
                <c:formatCode>General</c:formatCode>
                <c:ptCount val="6"/>
                <c:pt idx="0">
                  <c:v>1.0811849989387013E-3</c:v>
                </c:pt>
                <c:pt idx="1">
                  <c:v>9.9900469686238499E-5</c:v>
                </c:pt>
                <c:pt idx="2">
                  <c:v>2.5052889898752832E-4</c:v>
                </c:pt>
                <c:pt idx="3">
                  <c:v>1.4599650219007385E-3</c:v>
                </c:pt>
                <c:pt idx="4">
                  <c:v>1.0752100223219306E-3</c:v>
                </c:pt>
                <c:pt idx="5">
                  <c:v>6.6747584647289292E-3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'2022-04-27'!$N$27</c15:sqref>
                  <c15:spPr xmlns:c15="http://schemas.microsoft.com/office/drawing/2012/chart">
                    <a:pattFill prst="zigZag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2700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0D75-4BE9-91BE-8BD51313B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2561696"/>
        <c:axId val="602564648"/>
      </c:barChart>
      <c:catAx>
        <c:axId val="60256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4648"/>
        <c:crosses val="autoZero"/>
        <c:auto val="1"/>
        <c:lblAlgn val="ctr"/>
        <c:lblOffset val="100"/>
        <c:noMultiLvlLbl val="0"/>
      </c:catAx>
      <c:valAx>
        <c:axId val="602564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Expression</a:t>
                </a:r>
                <a:r>
                  <a:rPr lang="en-CA" baseline="0"/>
                  <a:t> (relative to SEC5A)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'2022-04-27'!$F$2:$F$8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'2022-04-27'!$H$3:$H$8</c:f>
                <c:numCache>
                  <c:formatCode>General</c:formatCode>
                  <c:ptCount val="6"/>
                  <c:pt idx="0">
                    <c:v>5.190259658278192E-4</c:v>
                  </c:pt>
                  <c:pt idx="1">
                    <c:v>6.6512844821752841E-5</c:v>
                  </c:pt>
                  <c:pt idx="2">
                    <c:v>3.657852681505046E-4</c:v>
                  </c:pt>
                  <c:pt idx="3">
                    <c:v>1.0464718578506919E-2</c:v>
                  </c:pt>
                  <c:pt idx="4">
                    <c:v>8.1963974193503073E-3</c:v>
                  </c:pt>
                  <c:pt idx="5">
                    <c:v>8.3922714382396093E-3</c:v>
                  </c:pt>
                </c:numCache>
              </c:numRef>
            </c:plus>
            <c:minus>
              <c:numRef>
                <c:f>'2022-04-27'!$H$3:$H$8</c:f>
                <c:numCache>
                  <c:formatCode>General</c:formatCode>
                  <c:ptCount val="6"/>
                  <c:pt idx="0">
                    <c:v>5.190259658278192E-4</c:v>
                  </c:pt>
                  <c:pt idx="1">
                    <c:v>6.6512844821752841E-5</c:v>
                  </c:pt>
                  <c:pt idx="2">
                    <c:v>3.657852681505046E-4</c:v>
                  </c:pt>
                  <c:pt idx="3">
                    <c:v>1.0464718578506919E-2</c:v>
                  </c:pt>
                  <c:pt idx="4">
                    <c:v>8.1963974193503073E-3</c:v>
                  </c:pt>
                  <c:pt idx="5">
                    <c:v>8.3922714382396093E-3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'2022-04-27'!$F$3:$F$8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'2022-04-27'!$G$3:$G$8</c:f>
              <c:numCache>
                <c:formatCode>General</c:formatCode>
                <c:ptCount val="6"/>
                <c:pt idx="0">
                  <c:v>6.869270446626058E-4</c:v>
                </c:pt>
                <c:pt idx="1">
                  <c:v>9.2698955605856692E-5</c:v>
                </c:pt>
                <c:pt idx="2">
                  <c:v>1.1527055265450642E-3</c:v>
                </c:pt>
                <c:pt idx="3">
                  <c:v>2.1904390629789161E-2</c:v>
                </c:pt>
                <c:pt idx="4">
                  <c:v>1.370836905064237E-2</c:v>
                </c:pt>
                <c:pt idx="5">
                  <c:v>1.0218386090714031E-2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6B-4BC9-A369-62D96D5EC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1459096"/>
        <c:axId val="565787560"/>
      </c:barChart>
      <c:catAx>
        <c:axId val="63145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87560"/>
        <c:crosses val="autoZero"/>
        <c:auto val="1"/>
        <c:lblAlgn val="ctr"/>
        <c:lblOffset val="100"/>
        <c:noMultiLvlLbl val="0"/>
      </c:catAx>
      <c:valAx>
        <c:axId val="56578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5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'2022-04-27'!$H$13:$H$18</c:f>
                <c:numCache>
                  <c:formatCode>General</c:formatCode>
                  <c:ptCount val="6"/>
                  <c:pt idx="0">
                    <c:v>8.6809149422557459E-5</c:v>
                  </c:pt>
                  <c:pt idx="1">
                    <c:v>5.9435038267671817E-5</c:v>
                  </c:pt>
                  <c:pt idx="2">
                    <c:v>6.130196844567557E-5</c:v>
                  </c:pt>
                  <c:pt idx="3">
                    <c:v>6.9268667262704291E-4</c:v>
                  </c:pt>
                  <c:pt idx="4">
                    <c:v>6.7638006539247992E-4</c:v>
                  </c:pt>
                  <c:pt idx="5">
                    <c:v>2.930224222280856E-3</c:v>
                  </c:pt>
                </c:numCache>
              </c:numRef>
            </c:plus>
            <c:minus>
              <c:numRef>
                <c:f>'2022-04-27'!$H$13:$H$18</c:f>
                <c:numCache>
                  <c:formatCode>General</c:formatCode>
                  <c:ptCount val="6"/>
                  <c:pt idx="0">
                    <c:v>8.6809149422557459E-5</c:v>
                  </c:pt>
                  <c:pt idx="1">
                    <c:v>5.9435038267671817E-5</c:v>
                  </c:pt>
                  <c:pt idx="2">
                    <c:v>6.130196844567557E-5</c:v>
                  </c:pt>
                  <c:pt idx="3">
                    <c:v>6.9268667262704291E-4</c:v>
                  </c:pt>
                  <c:pt idx="4">
                    <c:v>6.7638006539247992E-4</c:v>
                  </c:pt>
                  <c:pt idx="5">
                    <c:v>2.930224222280856E-3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'2022-04-27'!$F$13:$F$18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'2022-04-27'!$G$13:$G$18</c:f>
              <c:numCache>
                <c:formatCode>General</c:formatCode>
                <c:ptCount val="6"/>
                <c:pt idx="0">
                  <c:v>8.0662709260100117E-4</c:v>
                </c:pt>
                <c:pt idx="1">
                  <c:v>7.7786706339069079E-5</c:v>
                </c:pt>
                <c:pt idx="2">
                  <c:v>1.4036763816447894E-4</c:v>
                </c:pt>
                <c:pt idx="3">
                  <c:v>1.3145143150501248E-3</c:v>
                </c:pt>
                <c:pt idx="4">
                  <c:v>9.2692028395359883E-4</c:v>
                </c:pt>
                <c:pt idx="5">
                  <c:v>4.2042009498033028E-3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4A-44F8-A8DA-DD8B1F3E2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332328"/>
        <c:axId val="620335936"/>
      </c:barChart>
      <c:catAx>
        <c:axId val="62033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35936"/>
        <c:crosses val="autoZero"/>
        <c:auto val="1"/>
        <c:lblAlgn val="ctr"/>
        <c:lblOffset val="100"/>
        <c:noMultiLvlLbl val="0"/>
      </c:catAx>
      <c:valAx>
        <c:axId val="6203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3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4708786222348"/>
          <c:y val="4.0887227803028732E-2"/>
          <c:w val="0.80589264521905446"/>
          <c:h val="0.85017102522845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olidDmnd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1-459B-A597-DB0D2F01E8AA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F1-459B-A597-DB0D2F01E8AA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F1-459B-A597-DB0D2F01E8AA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F1-459B-A597-DB0D2F01E8AA}"/>
              </c:ext>
            </c:extLst>
          </c:dPt>
          <c:dPt>
            <c:idx val="4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F1-459B-A597-DB0D2F01E8AA}"/>
              </c:ext>
            </c:extLst>
          </c:dPt>
          <c:dPt>
            <c:idx val="5"/>
            <c:invertIfNegative val="0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F1-459B-A597-DB0D2F01E8AA}"/>
              </c:ext>
            </c:extLst>
          </c:dPt>
          <c:errBars>
            <c:errBarType val="both"/>
            <c:errValType val="cust"/>
            <c:noEndCap val="0"/>
            <c:plus>
              <c:numRef>
                <c:f>'2022-06-07'!$F$13:$F$16</c:f>
                <c:numCache>
                  <c:formatCode>General</c:formatCode>
                  <c:ptCount val="4"/>
                  <c:pt idx="0">
                    <c:v>2.9812867867787056E-3</c:v>
                  </c:pt>
                  <c:pt idx="1">
                    <c:v>1.1825235706832496E-3</c:v>
                  </c:pt>
                  <c:pt idx="2">
                    <c:v>0.1616029634636014</c:v>
                  </c:pt>
                  <c:pt idx="3">
                    <c:v>0.42659838767222913</c:v>
                  </c:pt>
                </c:numCache>
              </c:numRef>
            </c:plus>
            <c:minus>
              <c:numRef>
                <c:f>'2022-06-07'!$F$13:$F$16</c:f>
                <c:numCache>
                  <c:formatCode>General</c:formatCode>
                  <c:ptCount val="4"/>
                  <c:pt idx="0">
                    <c:v>2.9812867867787056E-3</c:v>
                  </c:pt>
                  <c:pt idx="1">
                    <c:v>1.1825235706832496E-3</c:v>
                  </c:pt>
                  <c:pt idx="2">
                    <c:v>0.1616029634636014</c:v>
                  </c:pt>
                  <c:pt idx="3">
                    <c:v>0.42659838767222913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'2022-06-07'!$D$13:$D$16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'2022-06-07'!$E$13:$E$16</c:f>
              <c:numCache>
                <c:formatCode>General</c:formatCode>
                <c:ptCount val="4"/>
                <c:pt idx="0">
                  <c:v>3.9025611407051612E-3</c:v>
                </c:pt>
                <c:pt idx="1">
                  <c:v>1.533195905051854E-3</c:v>
                </c:pt>
                <c:pt idx="2">
                  <c:v>8.2940451828298831E-2</c:v>
                </c:pt>
                <c:pt idx="3">
                  <c:v>0.6019196373686807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F1-459B-A597-DB0D2F01E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2561696"/>
        <c:axId val="602564648"/>
      </c:barChart>
      <c:catAx>
        <c:axId val="60256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4648"/>
        <c:crosses val="autoZero"/>
        <c:auto val="1"/>
        <c:lblAlgn val="ctr"/>
        <c:lblOffset val="100"/>
        <c:noMultiLvlLbl val="0"/>
      </c:catAx>
      <c:valAx>
        <c:axId val="6025646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Expression</a:t>
                </a:r>
                <a:r>
                  <a:rPr lang="en-CA" baseline="0"/>
                  <a:t> (relative to SEC5A)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4708786222348"/>
          <c:y val="4.0887227803028732E-2"/>
          <c:w val="0.80589264521905446"/>
          <c:h val="0.85017102522845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olidDmnd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73-4BE3-977C-FD51EA63CB2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73-4BE3-977C-FD51EA63CB21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73-4BE3-977C-FD51EA63CB2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73-4BE3-977C-FD51EA63CB21}"/>
              </c:ext>
            </c:extLst>
          </c:dPt>
          <c:dPt>
            <c:idx val="4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73-4BE3-977C-FD51EA63CB21}"/>
              </c:ext>
            </c:extLst>
          </c:dPt>
          <c:dPt>
            <c:idx val="5"/>
            <c:invertIfNegative val="0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73-4BE3-977C-FD51EA63CB21}"/>
              </c:ext>
            </c:extLst>
          </c:dPt>
          <c:errBars>
            <c:errBarType val="both"/>
            <c:errValType val="cust"/>
            <c:noEndCap val="0"/>
            <c:plus>
              <c:numRef>
                <c:f>'2022-06-07'!$H$13:$H$16</c:f>
                <c:numCache>
                  <c:formatCode>General</c:formatCode>
                  <c:ptCount val="4"/>
                  <c:pt idx="0">
                    <c:v>4.3609610438681258E-4</c:v>
                  </c:pt>
                  <c:pt idx="1">
                    <c:v>1.8709915586167112E-2</c:v>
                  </c:pt>
                  <c:pt idx="2">
                    <c:v>9.6625602000949315E-2</c:v>
                  </c:pt>
                  <c:pt idx="3">
                    <c:v>0.69482956017598863</c:v>
                  </c:pt>
                </c:numCache>
              </c:numRef>
            </c:plus>
            <c:minus>
              <c:numRef>
                <c:f>'2022-06-07'!$H$13:$H$16</c:f>
                <c:numCache>
                  <c:formatCode>General</c:formatCode>
                  <c:ptCount val="4"/>
                  <c:pt idx="0">
                    <c:v>4.3609610438681258E-4</c:v>
                  </c:pt>
                  <c:pt idx="1">
                    <c:v>1.8709915586167112E-2</c:v>
                  </c:pt>
                  <c:pt idx="2">
                    <c:v>9.6625602000949315E-2</c:v>
                  </c:pt>
                  <c:pt idx="3">
                    <c:v>0.69482956017598863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'2022-06-07'!$D$13:$D$16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'2022-06-07'!$G$13:$G$16</c:f>
              <c:numCache>
                <c:formatCode>General</c:formatCode>
                <c:ptCount val="4"/>
                <c:pt idx="0">
                  <c:v>6.9491081082928953E-4</c:v>
                </c:pt>
                <c:pt idx="1">
                  <c:v>1.3414932181341994E-2</c:v>
                </c:pt>
                <c:pt idx="2">
                  <c:v>6.0398596132521305E-2</c:v>
                </c:pt>
                <c:pt idx="3">
                  <c:v>0.97706355601280759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3-4BE3-977C-FD51EA63C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2561696"/>
        <c:axId val="602564648"/>
      </c:barChart>
      <c:catAx>
        <c:axId val="60256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4648"/>
        <c:crosses val="autoZero"/>
        <c:auto val="1"/>
        <c:lblAlgn val="ctr"/>
        <c:lblOffset val="100"/>
        <c:noMultiLvlLbl val="0"/>
      </c:catAx>
      <c:valAx>
        <c:axId val="6025646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Expression</a:t>
                </a:r>
                <a:r>
                  <a:rPr lang="en-CA" baseline="0"/>
                  <a:t> (relative to SEC5A)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4708786222348"/>
          <c:y val="4.0887227803028732E-2"/>
          <c:w val="0.80589264521905446"/>
          <c:h val="0.85017102522845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olidDmnd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DAA-4396-BDE4-B4FAD293A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DAA-4396-BDE4-B4FAD293A517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DAA-4396-BDE4-B4FAD293A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BDAA-4396-BDE4-B4FAD293A517}"/>
              </c:ext>
            </c:extLst>
          </c:dPt>
          <c:dPt>
            <c:idx val="4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BDAA-4396-BDE4-B4FAD293A517}"/>
              </c:ext>
            </c:extLst>
          </c:dPt>
          <c:dPt>
            <c:idx val="5"/>
            <c:invertIfNegative val="0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BDAA-4396-BDE4-B4FAD293A517}"/>
              </c:ext>
            </c:extLst>
          </c:dPt>
          <c:errBars>
            <c:errBarType val="both"/>
            <c:errValType val="cust"/>
            <c:noEndCap val="0"/>
            <c:plus>
              <c:numRef>
                <c:f>'2022-06-07'!$J$13:$J$16</c:f>
                <c:numCache>
                  <c:formatCode>General</c:formatCode>
                  <c:ptCount val="4"/>
                  <c:pt idx="0">
                    <c:v>0.10186501880448562</c:v>
                  </c:pt>
                  <c:pt idx="1">
                    <c:v>0.47382592237974608</c:v>
                  </c:pt>
                  <c:pt idx="2">
                    <c:v>0.90163904259103567</c:v>
                  </c:pt>
                  <c:pt idx="3">
                    <c:v>2.4082661283557463</c:v>
                  </c:pt>
                </c:numCache>
              </c:numRef>
            </c:plus>
            <c:minus>
              <c:numRef>
                <c:f>'2022-06-07'!$J$13:$J$16</c:f>
                <c:numCache>
                  <c:formatCode>General</c:formatCode>
                  <c:ptCount val="4"/>
                  <c:pt idx="0">
                    <c:v>0.10186501880448562</c:v>
                  </c:pt>
                  <c:pt idx="1">
                    <c:v>0.47382592237974608</c:v>
                  </c:pt>
                  <c:pt idx="2">
                    <c:v>0.90163904259103567</c:v>
                  </c:pt>
                  <c:pt idx="3">
                    <c:v>2.4082661283557463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'2022-06-07'!$D$13:$D$16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'2022-06-07'!$I$13:$I$16</c:f>
              <c:numCache>
                <c:formatCode>General</c:formatCode>
                <c:ptCount val="4"/>
                <c:pt idx="0">
                  <c:v>1.3155589849518778</c:v>
                </c:pt>
                <c:pt idx="1">
                  <c:v>2.7166035370973693</c:v>
                </c:pt>
                <c:pt idx="2">
                  <c:v>2.7671223180192301</c:v>
                </c:pt>
                <c:pt idx="3">
                  <c:v>6.6220955554418506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DAA-4396-BDE4-B4FAD293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2561696"/>
        <c:axId val="602564648"/>
      </c:barChart>
      <c:catAx>
        <c:axId val="60256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4648"/>
        <c:crosses val="autoZero"/>
        <c:auto val="1"/>
        <c:lblAlgn val="ctr"/>
        <c:lblOffset val="100"/>
        <c:noMultiLvlLbl val="0"/>
      </c:catAx>
      <c:valAx>
        <c:axId val="6025646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Expression</a:t>
                </a:r>
                <a:r>
                  <a:rPr lang="en-CA" baseline="0"/>
                  <a:t> (relative to SEC5A)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4708786222348"/>
          <c:y val="4.0887227803028732E-2"/>
          <c:w val="0.80589264521905446"/>
          <c:h val="0.85017102522845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olidDmnd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EB-48FD-B63D-C94243ED58AD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EB-48FD-B63D-C94243ED58AD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EB-48FD-B63D-C94243ED58AD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EB-48FD-B63D-C94243ED58AD}"/>
              </c:ext>
            </c:extLst>
          </c:dPt>
          <c:dPt>
            <c:idx val="4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EB-48FD-B63D-C94243ED58AD}"/>
              </c:ext>
            </c:extLst>
          </c:dPt>
          <c:dPt>
            <c:idx val="5"/>
            <c:invertIfNegative val="0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7EB-48FD-B63D-C94243ED58AD}"/>
              </c:ext>
            </c:extLst>
          </c:dPt>
          <c:errBars>
            <c:errBarType val="both"/>
            <c:errValType val="cust"/>
            <c:noEndCap val="0"/>
            <c:plus>
              <c:numRef>
                <c:f>'2022-06-07'!$L$13:$L$16</c:f>
                <c:numCache>
                  <c:formatCode>General</c:formatCode>
                  <c:ptCount val="4"/>
                  <c:pt idx="0">
                    <c:v>1.0881406715886956E-4</c:v>
                  </c:pt>
                  <c:pt idx="1">
                    <c:v>3.6858149446821349E-4</c:v>
                  </c:pt>
                  <c:pt idx="2">
                    <c:v>5.958517688073115E-3</c:v>
                  </c:pt>
                  <c:pt idx="3">
                    <c:v>3.9564064921017363E-2</c:v>
                  </c:pt>
                </c:numCache>
              </c:numRef>
            </c:plus>
            <c:minus>
              <c:numRef>
                <c:f>'2022-06-07'!$L$13:$L$16</c:f>
                <c:numCache>
                  <c:formatCode>General</c:formatCode>
                  <c:ptCount val="4"/>
                  <c:pt idx="0">
                    <c:v>1.0881406715886956E-4</c:v>
                  </c:pt>
                  <c:pt idx="1">
                    <c:v>3.6858149446821349E-4</c:v>
                  </c:pt>
                  <c:pt idx="2">
                    <c:v>5.958517688073115E-3</c:v>
                  </c:pt>
                  <c:pt idx="3">
                    <c:v>3.9564064921017363E-2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'2022-06-07'!$D$13:$D$16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'2022-06-07'!$K$13:$K$16</c:f>
              <c:numCache>
                <c:formatCode>General</c:formatCode>
                <c:ptCount val="4"/>
                <c:pt idx="0">
                  <c:v>3.2728420605866477E-4</c:v>
                </c:pt>
                <c:pt idx="1">
                  <c:v>6.2279086664674516E-4</c:v>
                </c:pt>
                <c:pt idx="2">
                  <c:v>8.9354793043968823E-3</c:v>
                </c:pt>
                <c:pt idx="3">
                  <c:v>7.554544803577154E-2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7EB-48FD-B63D-C94243ED5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2561696"/>
        <c:axId val="602564648"/>
      </c:barChart>
      <c:catAx>
        <c:axId val="602561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4648"/>
        <c:crosses val="autoZero"/>
        <c:auto val="1"/>
        <c:lblAlgn val="ctr"/>
        <c:lblOffset val="100"/>
        <c:noMultiLvlLbl val="0"/>
      </c:catAx>
      <c:valAx>
        <c:axId val="6025646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Expression</a:t>
                </a:r>
                <a:r>
                  <a:rPr lang="en-CA" baseline="0"/>
                  <a:t> (relative to SEC5A)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256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593914</xdr:colOff>
      <xdr:row>16</xdr:row>
      <xdr:rowOff>94502</xdr:rowOff>
    </xdr:from>
    <xdr:to>
      <xdr:col>32</xdr:col>
      <xdr:colOff>317501</xdr:colOff>
      <xdr:row>30</xdr:row>
      <xdr:rowOff>170701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6AF1A-BB7B-449B-A43B-7C5DB22C0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82177</xdr:colOff>
      <xdr:row>0</xdr:row>
      <xdr:rowOff>0</xdr:rowOff>
    </xdr:from>
    <xdr:to>
      <xdr:col>25</xdr:col>
      <xdr:colOff>451970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976C16-F708-47EF-A0F1-7E4E0A062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549087</xdr:colOff>
      <xdr:row>0</xdr:row>
      <xdr:rowOff>22412</xdr:rowOff>
    </xdr:from>
    <xdr:to>
      <xdr:col>28</xdr:col>
      <xdr:colOff>280146</xdr:colOff>
      <xdr:row>14</xdr:row>
      <xdr:rowOff>98612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4D1DAF-CB0C-4C41-BBDF-C301AFE34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295090</xdr:colOff>
      <xdr:row>9</xdr:row>
      <xdr:rowOff>51547</xdr:rowOff>
    </xdr:from>
    <xdr:to>
      <xdr:col>23</xdr:col>
      <xdr:colOff>571501</xdr:colOff>
      <xdr:row>23</xdr:row>
      <xdr:rowOff>180041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998258-9F93-45FE-B4BB-1138BAC5D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317501</xdr:colOff>
      <xdr:row>23</xdr:row>
      <xdr:rowOff>148665</xdr:rowOff>
    </xdr:from>
    <xdr:to>
      <xdr:col>23</xdr:col>
      <xdr:colOff>593912</xdr:colOff>
      <xdr:row>38</xdr:row>
      <xdr:rowOff>90394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F221B8-EFA1-41DC-8629-C9B7DAB08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106456</xdr:colOff>
      <xdr:row>7</xdr:row>
      <xdr:rowOff>158003</xdr:rowOff>
    </xdr:from>
    <xdr:to>
      <xdr:col>14</xdr:col>
      <xdr:colOff>689162</xdr:colOff>
      <xdr:row>22</xdr:row>
      <xdr:rowOff>43703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BA6773-3625-A0C3-C625-C8B280124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212912</xdr:colOff>
      <xdr:row>22</xdr:row>
      <xdr:rowOff>1120</xdr:rowOff>
    </xdr:from>
    <xdr:to>
      <xdr:col>15</xdr:col>
      <xdr:colOff>67235</xdr:colOff>
      <xdr:row>36</xdr:row>
      <xdr:rowOff>77320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49D56A-C020-B2D2-375F-F449FA3BD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17</xdr:row>
      <xdr:rowOff>12700</xdr:rowOff>
    </xdr:from>
    <xdr:to>
      <xdr:col>11</xdr:col>
      <xdr:colOff>57150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123B8-565C-6FAD-A859-A87060198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17</xdr:row>
      <xdr:rowOff>12700</xdr:rowOff>
    </xdr:from>
    <xdr:to>
      <xdr:col>18</xdr:col>
      <xdr:colOff>495300</xdr:colOff>
      <xdr:row>31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23C80-DC56-49AA-97AD-9EB6266BD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482600</xdr:colOff>
      <xdr:row>32</xdr:row>
      <xdr:rowOff>133350</xdr:rowOff>
    </xdr:from>
    <xdr:to>
      <xdr:col>11</xdr:col>
      <xdr:colOff>177800</xdr:colOff>
      <xdr:row>47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CFE21D-FC39-4EED-950D-C04DE4370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334819</xdr:colOff>
      <xdr:row>33</xdr:row>
      <xdr:rowOff>0</xdr:rowOff>
    </xdr:from>
    <xdr:to>
      <xdr:col>19</xdr:col>
      <xdr:colOff>27709</xdr:colOff>
      <xdr:row>47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6271B8-0007-4D60-B78F-6CEC82BF7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80CD-979C-489F-8BE3-EC45B444E928}">
  <dimension ref="A1:Y125"/>
  <sheetViews>
    <sheetView tabSelected="1" topLeftCell="J1" zoomScale="85" zoomScaleNormal="85" workbookViewId="0">
      <selection activeCell="Y23" sqref="Y23"/>
    </sheetView>
  </sheetViews>
  <sheetFormatPr defaultRowHeight="14" x14ac:dyDescent="0.3"/>
  <cols>
    <col min="1" max="1" width="11.796875" bestFit="1" customWidth="1"/>
    <col min="3" max="3" width="12.69921875" bestFit="1" customWidth="1"/>
    <col min="4" max="4" width="21.5" customWidth="1"/>
    <col min="7" max="7" width="12.5" bestFit="1" customWidth="1"/>
    <col min="8" max="8" width="12.296875" bestFit="1" customWidth="1"/>
    <col min="10" max="10" width="11.19921875" bestFit="1" customWidth="1"/>
    <col min="13" max="13" width="12.5" bestFit="1" customWidth="1"/>
    <col min="15" max="15" width="11" bestFit="1" customWidth="1"/>
  </cols>
  <sheetData>
    <row r="1" spans="1:15" x14ac:dyDescent="0.3">
      <c r="A1" s="2" t="s">
        <v>1</v>
      </c>
      <c r="B1" s="2"/>
      <c r="C1" t="s">
        <v>29</v>
      </c>
      <c r="D1" t="s">
        <v>40</v>
      </c>
      <c r="F1" t="s">
        <v>41</v>
      </c>
      <c r="G1" t="s">
        <v>27</v>
      </c>
      <c r="H1" t="s">
        <v>28</v>
      </c>
      <c r="J1" t="s">
        <v>34</v>
      </c>
      <c r="K1" t="s">
        <v>35</v>
      </c>
      <c r="L1" t="s">
        <v>36</v>
      </c>
      <c r="M1" t="s">
        <v>37</v>
      </c>
    </row>
    <row r="2" spans="1:15" x14ac:dyDescent="0.3">
      <c r="A2" t="s">
        <v>3</v>
      </c>
      <c r="B2">
        <v>30.88</v>
      </c>
      <c r="C2">
        <f>AVERAGE($B$8:$B$10)</f>
        <v>37.186666666666667</v>
      </c>
      <c r="D2">
        <f>2^(-((B2-B102)))</f>
        <v>8.5491695410995442E-3</v>
      </c>
      <c r="F2">
        <v>1</v>
      </c>
      <c r="G2">
        <f>AVERAGE(D2:D4)</f>
        <v>5.4720662530097818E-3</v>
      </c>
      <c r="H2">
        <f>STDEV(D2:D4)</f>
        <v>2.6649890887359409E-3</v>
      </c>
      <c r="J2">
        <f>2^(-((B2-B77)-(C2-C77)))</f>
        <v>194.46050102215645</v>
      </c>
      <c r="K2">
        <f>AVERAGE(J2:J4)</f>
        <v>272.43389877358896</v>
      </c>
      <c r="L2">
        <f>STDEV(J2:J4)</f>
        <v>226.49188398217399</v>
      </c>
      <c r="M2">
        <f t="shared" ref="M2:M17" si="0">2^(-((B2-B77)))</f>
        <v>2.0760715845257998E-2</v>
      </c>
      <c r="N2">
        <f>AVERAGE(M2:M4)</f>
        <v>1.5463724545449052E-2</v>
      </c>
      <c r="O2">
        <f>STDEV(M2:M4)</f>
        <v>7.4910769359620996E-3</v>
      </c>
    </row>
    <row r="3" spans="1:15" x14ac:dyDescent="0.3">
      <c r="A3" t="s">
        <v>4</v>
      </c>
      <c r="B3">
        <v>31.41</v>
      </c>
      <c r="C3">
        <f t="shared" ref="C3:C25" si="1">AVERAGE($B$8:$B$10)</f>
        <v>37.186666666666667</v>
      </c>
      <c r="D3">
        <f t="shared" ref="D3:D25" si="2">2^(-((B3-B103)))</f>
        <v>3.90625E-3</v>
      </c>
      <c r="F3">
        <v>2</v>
      </c>
      <c r="G3">
        <f>AVERAGE(D5:D7)</f>
        <v>6.869270446626058E-4</v>
      </c>
      <c r="H3">
        <f>STDEV(D5:D7)</f>
        <v>5.190259658278192E-4</v>
      </c>
      <c r="J3">
        <f t="shared" ref="J3:J25" si="3">2^(-((B3-B78)-(C3-C78)))</f>
        <v>95.229280890011594</v>
      </c>
      <c r="M3">
        <f t="shared" si="0"/>
        <v>1.0166733245640104E-2</v>
      </c>
    </row>
    <row r="4" spans="1:15" x14ac:dyDescent="0.3">
      <c r="A4" t="s">
        <v>5</v>
      </c>
      <c r="B4">
        <v>31.46</v>
      </c>
      <c r="C4">
        <f t="shared" si="1"/>
        <v>37.186666666666667</v>
      </c>
      <c r="D4">
        <f t="shared" si="2"/>
        <v>3.9607792179298012E-3</v>
      </c>
      <c r="F4">
        <v>3</v>
      </c>
      <c r="G4">
        <f>AVERAGE(D8:D10)</f>
        <v>9.2698955605856692E-5</v>
      </c>
      <c r="H4">
        <f>STDEV(D8:D10)</f>
        <v>6.6512844821752841E-5</v>
      </c>
      <c r="J4">
        <f t="shared" si="3"/>
        <v>527.61191440859886</v>
      </c>
    </row>
    <row r="5" spans="1:15" x14ac:dyDescent="0.3">
      <c r="A5" t="s">
        <v>6</v>
      </c>
      <c r="B5">
        <v>29.25</v>
      </c>
      <c r="C5">
        <f t="shared" si="1"/>
        <v>37.186666666666667</v>
      </c>
      <c r="F5">
        <v>4</v>
      </c>
      <c r="G5">
        <f>AVERAGE(D11:D13)</f>
        <v>1.1527055265450642E-3</v>
      </c>
      <c r="H5">
        <f>STDEV(D11:D13)</f>
        <v>3.657852681505046E-4</v>
      </c>
      <c r="J5">
        <f t="shared" si="3"/>
        <v>263.80595720430011</v>
      </c>
      <c r="K5">
        <f>AVERAGE(J5:J7)</f>
        <v>93.821178020825826</v>
      </c>
      <c r="L5">
        <f>STDEV(J5:J7)</f>
        <v>147.29724434127411</v>
      </c>
      <c r="N5">
        <f t="shared" ref="N5:N11" si="4">AVERAGE(M5:M7)</f>
        <v>9.4256657198125938E-4</v>
      </c>
      <c r="O5">
        <f t="shared" ref="O5:O11" si="5">STDEV(M5:M7)</f>
        <v>7.6031711448078612E-4</v>
      </c>
    </row>
    <row r="6" spans="1:15" x14ac:dyDescent="0.3">
      <c r="A6" t="s">
        <v>7</v>
      </c>
      <c r="B6">
        <v>35.590000000000003</v>
      </c>
      <c r="C6">
        <f t="shared" si="1"/>
        <v>37.186666666666667</v>
      </c>
      <c r="D6">
        <f t="shared" si="2"/>
        <v>3.1992026461385753E-4</v>
      </c>
      <c r="F6">
        <v>5</v>
      </c>
      <c r="G6">
        <f>AVERAGE(D14:D17)</f>
        <v>2.1904390629789161E-2</v>
      </c>
      <c r="H6">
        <f>STDEV(D14:D17)</f>
        <v>1.0464718578506919E-2</v>
      </c>
      <c r="J6">
        <f t="shared" si="3"/>
        <v>3.7929841246979761</v>
      </c>
      <c r="M6">
        <f t="shared" si="0"/>
        <v>4.0494118447970703E-4</v>
      </c>
    </row>
    <row r="7" spans="1:15" x14ac:dyDescent="0.3">
      <c r="A7" t="s">
        <v>8</v>
      </c>
      <c r="B7">
        <v>33.82</v>
      </c>
      <c r="C7">
        <f t="shared" si="1"/>
        <v>37.186666666666667</v>
      </c>
      <c r="D7">
        <f t="shared" si="2"/>
        <v>1.0539338247113541E-3</v>
      </c>
      <c r="F7">
        <v>6</v>
      </c>
      <c r="G7">
        <f>AVERAGE(D18:D21)</f>
        <v>1.370836905064237E-2</v>
      </c>
      <c r="H7">
        <f>STDEV(D18:D21)</f>
        <v>8.1963974193503073E-3</v>
      </c>
      <c r="J7">
        <f t="shared" si="3"/>
        <v>13.864592733479427</v>
      </c>
      <c r="M7">
        <f t="shared" si="0"/>
        <v>1.4801919594828118E-3</v>
      </c>
    </row>
    <row r="8" spans="1:15" x14ac:dyDescent="0.3">
      <c r="A8" t="s">
        <v>9</v>
      </c>
      <c r="B8">
        <v>38.090000000000003</v>
      </c>
      <c r="C8">
        <f t="shared" si="1"/>
        <v>37.186666666666667</v>
      </c>
      <c r="D8">
        <f t="shared" si="2"/>
        <v>4.7556431864044089E-5</v>
      </c>
      <c r="F8">
        <v>7</v>
      </c>
      <c r="G8">
        <f>AVERAGE(D22:D25)</f>
        <v>1.0218386090714031E-2</v>
      </c>
      <c r="H8">
        <f>STDEV(D22:D25)</f>
        <v>8.3922714382396093E-3</v>
      </c>
      <c r="J8">
        <f t="shared" si="3"/>
        <v>0.50815246608409315</v>
      </c>
      <c r="K8">
        <f t="shared" ref="K8:K11" si="6">AVERAGE(J8:J10)</f>
        <v>1.335979708819707</v>
      </c>
      <c r="L8">
        <f t="shared" ref="L8" si="7">STDEV(J8:J10)</f>
        <v>1.268143058917236</v>
      </c>
      <c r="M8">
        <f t="shared" si="0"/>
        <v>5.4250651926670468E-5</v>
      </c>
      <c r="N8">
        <f t="shared" si="4"/>
        <v>1.4262996836913579E-4</v>
      </c>
      <c r="O8">
        <f t="shared" si="5"/>
        <v>1.353876882910907E-4</v>
      </c>
    </row>
    <row r="9" spans="1:15" x14ac:dyDescent="0.3">
      <c r="A9" t="s">
        <v>10</v>
      </c>
      <c r="B9">
        <v>37.9</v>
      </c>
      <c r="C9">
        <f t="shared" si="1"/>
        <v>37.186666666666667</v>
      </c>
      <c r="D9">
        <f t="shared" si="2"/>
        <v>6.1459689334516628E-5</v>
      </c>
      <c r="J9">
        <f t="shared" si="3"/>
        <v>0.70384679201699429</v>
      </c>
      <c r="M9">
        <f t="shared" si="0"/>
        <v>7.5143091634821661E-5</v>
      </c>
    </row>
    <row r="10" spans="1:15" x14ac:dyDescent="0.3">
      <c r="A10" t="s">
        <v>11</v>
      </c>
      <c r="B10">
        <v>35.57</v>
      </c>
      <c r="C10">
        <f t="shared" si="1"/>
        <v>37.186666666666667</v>
      </c>
      <c r="D10">
        <f t="shared" si="2"/>
        <v>1.6908074561900935E-4</v>
      </c>
      <c r="J10">
        <f t="shared" si="3"/>
        <v>2.7959398683580332</v>
      </c>
      <c r="M10">
        <f t="shared" si="0"/>
        <v>2.984961615459153E-4</v>
      </c>
    </row>
    <row r="11" spans="1:15" x14ac:dyDescent="0.3">
      <c r="A11" t="s">
        <v>12</v>
      </c>
      <c r="B11">
        <v>33.58</v>
      </c>
      <c r="C11">
        <f t="shared" si="1"/>
        <v>37.186666666666667</v>
      </c>
      <c r="D11">
        <f t="shared" si="2"/>
        <v>1.5008546692265754E-3</v>
      </c>
      <c r="F11" t="s">
        <v>41</v>
      </c>
      <c r="G11" t="s">
        <v>27</v>
      </c>
      <c r="H11" t="s">
        <v>28</v>
      </c>
      <c r="J11">
        <f t="shared" si="3"/>
        <v>30.343872997583887</v>
      </c>
      <c r="K11">
        <f t="shared" si="6"/>
        <v>19.498560994971797</v>
      </c>
      <c r="L11">
        <f t="shared" ref="L11" si="8">STDEV(J11:J13)</f>
        <v>10.403437684792921</v>
      </c>
      <c r="M11">
        <f t="shared" si="0"/>
        <v>3.2395294758376632E-3</v>
      </c>
      <c r="N11">
        <f t="shared" si="4"/>
        <v>2.0816776778844045E-3</v>
      </c>
      <c r="O11">
        <f t="shared" si="5"/>
        <v>1.1106770395661262E-3</v>
      </c>
    </row>
    <row r="12" spans="1:15" x14ac:dyDescent="0.3">
      <c r="A12" t="s">
        <v>13</v>
      </c>
      <c r="B12">
        <v>33.54</v>
      </c>
      <c r="C12">
        <f t="shared" si="1"/>
        <v>37.186666666666667</v>
      </c>
      <c r="D12">
        <f t="shared" si="2"/>
        <v>1.1857371917920394E-3</v>
      </c>
      <c r="F12">
        <v>1</v>
      </c>
      <c r="G12">
        <f>AVERAGE(D27:D29)</f>
        <v>6.2707776228237812E-3</v>
      </c>
      <c r="H12">
        <f>STDEV(D27:D29)</f>
        <v>5.8756186500117883E-3</v>
      </c>
      <c r="J12">
        <f t="shared" si="3"/>
        <v>18.549820654009395</v>
      </c>
      <c r="M12">
        <f t="shared" si="0"/>
        <v>1.9803896089649001E-3</v>
      </c>
    </row>
    <row r="13" spans="1:15" x14ac:dyDescent="0.3">
      <c r="A13" t="s">
        <v>14</v>
      </c>
      <c r="B13">
        <v>34.520000000000003</v>
      </c>
      <c r="C13">
        <f t="shared" si="1"/>
        <v>37.186666666666667</v>
      </c>
      <c r="D13">
        <f t="shared" si="2"/>
        <v>7.7152471861657781E-4</v>
      </c>
      <c r="F13">
        <v>2</v>
      </c>
      <c r="G13">
        <f>AVERAGE(D30:D32)</f>
        <v>8.0662709260100117E-4</v>
      </c>
      <c r="H13">
        <f>STDEV(D30:D32)</f>
        <v>8.6809149422557459E-5</v>
      </c>
      <c r="J13">
        <f t="shared" si="3"/>
        <v>9.6019893333221074</v>
      </c>
      <c r="M13">
        <f t="shared" si="0"/>
        <v>1.02511394885065E-3</v>
      </c>
    </row>
    <row r="14" spans="1:15" x14ac:dyDescent="0.3">
      <c r="A14" t="s">
        <v>15</v>
      </c>
      <c r="B14">
        <v>29.61</v>
      </c>
      <c r="C14">
        <f t="shared" si="1"/>
        <v>37.186666666666667</v>
      </c>
      <c r="D14">
        <f t="shared" si="2"/>
        <v>2.3195680791078904E-2</v>
      </c>
      <c r="F14">
        <v>3</v>
      </c>
      <c r="G14">
        <f>AVERAGE(D33:D35)</f>
        <v>7.7786706339069079E-5</v>
      </c>
      <c r="H14">
        <f>STDEV(D33:D35)</f>
        <v>5.9435038267671817E-5</v>
      </c>
      <c r="J14">
        <f t="shared" si="3"/>
        <v>218.77943661181422</v>
      </c>
      <c r="K14">
        <f>AVERAGE(J14:J17)</f>
        <v>184.52619901790004</v>
      </c>
      <c r="L14">
        <f>STDEV(J14:J17)</f>
        <v>37.572328179004977</v>
      </c>
      <c r="M14">
        <f t="shared" si="0"/>
        <v>2.3357019509920942E-2</v>
      </c>
      <c r="N14">
        <f>AVERAGE(M14:M17)</f>
        <v>2.5012541469870943E-2</v>
      </c>
      <c r="O14">
        <f>STDEV(M14:M17)</f>
        <v>1.1118175833949494E-2</v>
      </c>
    </row>
    <row r="15" spans="1:15" x14ac:dyDescent="0.3">
      <c r="A15" t="s">
        <v>16</v>
      </c>
      <c r="B15">
        <v>30.09</v>
      </c>
      <c r="C15">
        <f t="shared" si="1"/>
        <v>37.186666666666667</v>
      </c>
      <c r="D15">
        <f t="shared" si="2"/>
        <v>1.871060475967078E-2</v>
      </c>
      <c r="F15">
        <v>4</v>
      </c>
      <c r="G15">
        <f>AVERAGE(D36:D38)</f>
        <v>1.4036763816447894E-4</v>
      </c>
      <c r="H15">
        <f>STDEV(D36:D38)</f>
        <v>6.130196844567557E-5</v>
      </c>
      <c r="J15">
        <f t="shared" si="3"/>
        <v>190.45856178002319</v>
      </c>
      <c r="M15">
        <f t="shared" si="0"/>
        <v>2.0333466491280199E-2</v>
      </c>
    </row>
    <row r="16" spans="1:15" x14ac:dyDescent="0.3">
      <c r="A16" t="s">
        <v>17</v>
      </c>
      <c r="B16">
        <v>29.97</v>
      </c>
      <c r="C16">
        <f t="shared" si="1"/>
        <v>37.186666666666667</v>
      </c>
      <c r="D16">
        <f t="shared" si="2"/>
        <v>3.5402621415493704E-2</v>
      </c>
      <c r="F16">
        <v>5</v>
      </c>
      <c r="G16">
        <f>AVERAGE(D39:D42)</f>
        <v>1.3145143150501248E-3</v>
      </c>
      <c r="H16">
        <f>STDEV(D39:D42)</f>
        <v>6.9268667262704291E-4</v>
      </c>
      <c r="M16">
        <f t="shared" si="0"/>
        <v>4.0949793870573882E-2</v>
      </c>
    </row>
    <row r="17" spans="1:17" x14ac:dyDescent="0.3">
      <c r="A17" t="s">
        <v>18</v>
      </c>
      <c r="B17">
        <v>29.95</v>
      </c>
      <c r="C17">
        <f t="shared" si="1"/>
        <v>37.186666666666667</v>
      </c>
      <c r="D17">
        <f t="shared" si="2"/>
        <v>1.030865555291325E-2</v>
      </c>
      <c r="F17">
        <v>6</v>
      </c>
      <c r="G17">
        <f>AVERAGE(D43:D46)</f>
        <v>9.2692028395359883E-4</v>
      </c>
      <c r="H17">
        <f>STDEV(D43:D46)</f>
        <v>6.7638006539247992E-4</v>
      </c>
      <c r="J17">
        <f t="shared" si="3"/>
        <v>144.34059866186277</v>
      </c>
      <c r="M17">
        <f t="shared" si="0"/>
        <v>1.5409886007708748E-2</v>
      </c>
    </row>
    <row r="18" spans="1:17" x14ac:dyDescent="0.3">
      <c r="A18" t="s">
        <v>19</v>
      </c>
      <c r="B18">
        <v>26.84</v>
      </c>
      <c r="C18">
        <f t="shared" si="1"/>
        <v>37.186666666666667</v>
      </c>
      <c r="F18">
        <v>7</v>
      </c>
      <c r="G18">
        <f>AVERAGE(D47:D50)</f>
        <v>4.2042009498033028E-3</v>
      </c>
      <c r="H18">
        <f>STDEV(D47:D50)</f>
        <v>2.930224222280856E-3</v>
      </c>
      <c r="K18">
        <f t="shared" ref="K18:K22" si="9">AVERAGE(J18:J21)</f>
        <v>149.63791323143133</v>
      </c>
      <c r="L18">
        <f t="shared" ref="L18" si="10">STDEV(J18:J21)</f>
        <v>84.185403311335776</v>
      </c>
      <c r="N18">
        <f t="shared" ref="N18:N22" si="11">AVERAGE(M18:M21)</f>
        <v>1.5975430382755004E-2</v>
      </c>
      <c r="O18">
        <f t="shared" ref="O18:O22" si="12">STDEV(M18:M21)</f>
        <v>8.9876824716498601E-3</v>
      </c>
      <c r="Q18">
        <v>1</v>
      </c>
    </row>
    <row r="19" spans="1:17" x14ac:dyDescent="0.3">
      <c r="A19" t="s">
        <v>20</v>
      </c>
      <c r="B19">
        <v>30.44</v>
      </c>
      <c r="C19">
        <f t="shared" si="1"/>
        <v>37.186666666666667</v>
      </c>
      <c r="D19">
        <f t="shared" si="2"/>
        <v>1.4477938467037021E-2</v>
      </c>
      <c r="J19">
        <f t="shared" si="3"/>
        <v>160.15592185519969</v>
      </c>
      <c r="M19">
        <f>2^(-((B19-B94)))</f>
        <v>1.7098339082199047E-2</v>
      </c>
      <c r="Q19">
        <v>2</v>
      </c>
    </row>
    <row r="20" spans="1:17" x14ac:dyDescent="0.3">
      <c r="A20" t="s">
        <v>21</v>
      </c>
      <c r="B20">
        <v>29.78</v>
      </c>
      <c r="C20">
        <f t="shared" si="1"/>
        <v>37.186666666666667</v>
      </c>
      <c r="D20">
        <f t="shared" si="2"/>
        <v>2.1492840908433463E-2</v>
      </c>
      <c r="J20">
        <f t="shared" si="3"/>
        <v>228.07007184392654</v>
      </c>
      <c r="M20">
        <f>2^(-((B20-B95)))</f>
        <v>2.4348893114390636E-2</v>
      </c>
      <c r="Q20">
        <v>3</v>
      </c>
    </row>
    <row r="21" spans="1:17" x14ac:dyDescent="0.3">
      <c r="A21" t="s">
        <v>22</v>
      </c>
      <c r="B21">
        <v>31.54</v>
      </c>
      <c r="C21">
        <f t="shared" si="1"/>
        <v>37.186666666666667</v>
      </c>
      <c r="D21">
        <f t="shared" si="2"/>
        <v>5.1543277764566284E-3</v>
      </c>
      <c r="J21">
        <f t="shared" si="3"/>
        <v>60.687745995167774</v>
      </c>
      <c r="M21">
        <f>2^(-((B21-B96)))</f>
        <v>6.4790589516753264E-3</v>
      </c>
      <c r="Q21">
        <v>4</v>
      </c>
    </row>
    <row r="22" spans="1:17" x14ac:dyDescent="0.3">
      <c r="A22" t="s">
        <v>23</v>
      </c>
      <c r="B22">
        <v>27.8</v>
      </c>
      <c r="C22">
        <f t="shared" si="1"/>
        <v>37.186666666666667</v>
      </c>
      <c r="K22">
        <f t="shared" si="9"/>
        <v>160.18112274414833</v>
      </c>
      <c r="L22">
        <f t="shared" ref="L22" si="13">STDEV(J22:J25)</f>
        <v>137.61704779746242</v>
      </c>
      <c r="N22">
        <f t="shared" si="11"/>
        <v>1.7101029543715708E-2</v>
      </c>
      <c r="O22">
        <f t="shared" si="12"/>
        <v>1.4692075818836249E-2</v>
      </c>
      <c r="Q22">
        <v>5</v>
      </c>
    </row>
    <row r="23" spans="1:17" x14ac:dyDescent="0.3">
      <c r="A23" t="s">
        <v>24</v>
      </c>
      <c r="B23">
        <v>30.65</v>
      </c>
      <c r="C23">
        <f t="shared" si="1"/>
        <v>37.186666666666667</v>
      </c>
      <c r="D23">
        <f t="shared" si="2"/>
        <v>1.0525262319263208E-2</v>
      </c>
      <c r="J23">
        <f t="shared" si="3"/>
        <v>118.87762048493434</v>
      </c>
      <c r="M23">
        <f>2^(-((B23-B98)))</f>
        <v>1.2691443693066207E-2</v>
      </c>
      <c r="Q23">
        <v>6</v>
      </c>
    </row>
    <row r="24" spans="1:17" x14ac:dyDescent="0.3">
      <c r="A24" t="s">
        <v>25</v>
      </c>
      <c r="B24">
        <v>29</v>
      </c>
      <c r="C24">
        <f t="shared" si="1"/>
        <v>37.186666666666667</v>
      </c>
      <c r="D24">
        <f t="shared" si="2"/>
        <v>1.8453010334836397E-2</v>
      </c>
      <c r="J24">
        <f t="shared" si="3"/>
        <v>313.71992128745694</v>
      </c>
      <c r="M24">
        <f>2^(-((B24-B99)))</f>
        <v>3.3492920704259195E-2</v>
      </c>
      <c r="Q24">
        <v>7</v>
      </c>
    </row>
    <row r="25" spans="1:17" x14ac:dyDescent="0.3">
      <c r="A25" t="s">
        <v>26</v>
      </c>
      <c r="B25">
        <v>32.92</v>
      </c>
      <c r="C25">
        <f t="shared" si="1"/>
        <v>37.186666666666667</v>
      </c>
      <c r="D25">
        <f t="shared" si="2"/>
        <v>1.6768856180424856E-3</v>
      </c>
      <c r="J25">
        <f t="shared" si="3"/>
        <v>47.945826460053645</v>
      </c>
      <c r="M25">
        <f>2^(-((B25-B100)))</f>
        <v>5.1187242338217222E-3</v>
      </c>
    </row>
    <row r="26" spans="1:17" x14ac:dyDescent="0.3">
      <c r="A26" s="2" t="s">
        <v>2</v>
      </c>
      <c r="B26" s="2"/>
      <c r="C26" t="s">
        <v>29</v>
      </c>
      <c r="J26" t="s">
        <v>38</v>
      </c>
      <c r="K26" t="s">
        <v>27</v>
      </c>
      <c r="L26" t="s">
        <v>28</v>
      </c>
      <c r="M26" t="s">
        <v>37</v>
      </c>
    </row>
    <row r="27" spans="1:17" x14ac:dyDescent="0.3">
      <c r="A27" t="s">
        <v>3</v>
      </c>
      <c r="B27">
        <v>30.27</v>
      </c>
      <c r="C27">
        <f>AVERAGE($B$33:$B$35)</f>
        <v>37.47</v>
      </c>
      <c r="D27">
        <f>2^(-((B27-B102)))</f>
        <v>1.3048248741068288E-2</v>
      </c>
      <c r="J27">
        <f>2^(-((B27-B77)-(C27-C77)))</f>
        <v>361.20315062221948</v>
      </c>
      <c r="K27">
        <f>AVERAGE(J27:J29)</f>
        <v>292.77335583322275</v>
      </c>
      <c r="L27">
        <f>STDEV(J27:J29)</f>
        <v>175.3885563512828</v>
      </c>
      <c r="M27">
        <f>2^(-((B27-B77)))</f>
        <v>3.1686233743438402E-2</v>
      </c>
      <c r="N27">
        <f>AVERAGE(M27:M29)</f>
        <v>1.9943572667121809E-2</v>
      </c>
      <c r="O27">
        <f>STDEV(M27:M29)</f>
        <v>1.6606630552477568E-2</v>
      </c>
    </row>
    <row r="28" spans="1:17" x14ac:dyDescent="0.3">
      <c r="A28" t="s">
        <v>4</v>
      </c>
      <c r="B28">
        <v>31.72</v>
      </c>
      <c r="C28">
        <f t="shared" ref="C28:C50" si="14">AVERAGE($B$33:$B$35)</f>
        <v>37.47</v>
      </c>
      <c r="D28">
        <f t="shared" ref="D28:D50" si="15">2^(-((B28-B103)))</f>
        <v>3.1509443719614336E-3</v>
      </c>
      <c r="J28">
        <f t="shared" ref="J28:J50" si="16">2^(-((B28-B78)-(C28-C78)))</f>
        <v>93.485238055044434</v>
      </c>
      <c r="M28">
        <f t="shared" ref="M28:M50" si="17">2^(-((B28-B78)))</f>
        <v>8.2009115908052155E-3</v>
      </c>
    </row>
    <row r="29" spans="1:17" x14ac:dyDescent="0.3">
      <c r="A29" t="s">
        <v>5</v>
      </c>
      <c r="B29">
        <v>32.06</v>
      </c>
      <c r="C29">
        <f t="shared" si="14"/>
        <v>37.47</v>
      </c>
      <c r="D29">
        <f t="shared" si="15"/>
        <v>2.613139755441622E-3</v>
      </c>
      <c r="J29">
        <f t="shared" si="16"/>
        <v>423.6316788224043</v>
      </c>
    </row>
    <row r="30" spans="1:17" x14ac:dyDescent="0.3">
      <c r="A30" t="s">
        <v>6</v>
      </c>
      <c r="B30">
        <v>29.15</v>
      </c>
      <c r="C30">
        <f t="shared" si="14"/>
        <v>37.47</v>
      </c>
      <c r="J30">
        <f t="shared" si="16"/>
        <v>344.0958462959145</v>
      </c>
      <c r="K30">
        <f>AVERAGE(J30:J32)</f>
        <v>122.91516842433653</v>
      </c>
      <c r="L30">
        <f>STDEV(J30:J32)</f>
        <v>191.5545349524227</v>
      </c>
      <c r="N30">
        <f t="shared" ref="N30:N36" si="18">AVERAGE(M30:M32)</f>
        <v>1.0811849989387013E-3</v>
      </c>
      <c r="O30">
        <f t="shared" ref="O30:O36" si="19">STDEV(M30:M32)</f>
        <v>1.9500280069673439E-4</v>
      </c>
    </row>
    <row r="31" spans="1:17" x14ac:dyDescent="0.3">
      <c r="A31" t="s">
        <v>7</v>
      </c>
      <c r="B31">
        <v>34.369999999999997</v>
      </c>
      <c r="C31">
        <f t="shared" si="14"/>
        <v>37.47</v>
      </c>
      <c r="D31">
        <f t="shared" si="15"/>
        <v>7.4524375437527452E-4</v>
      </c>
      <c r="J31">
        <f t="shared" si="16"/>
        <v>10.752995196747333</v>
      </c>
      <c r="M31">
        <f t="shared" si="17"/>
        <v>9.4329719621567159E-4</v>
      </c>
    </row>
    <row r="32" spans="1:17" x14ac:dyDescent="0.3">
      <c r="A32" t="s">
        <v>8</v>
      </c>
      <c r="B32">
        <v>34.1</v>
      </c>
      <c r="C32">
        <f t="shared" si="14"/>
        <v>37.47</v>
      </c>
      <c r="D32">
        <f t="shared" si="15"/>
        <v>8.6801043082672781E-4</v>
      </c>
      <c r="J32">
        <f t="shared" si="16"/>
        <v>13.896663780347744</v>
      </c>
      <c r="M32">
        <f t="shared" si="17"/>
        <v>1.219072801661731E-3</v>
      </c>
    </row>
    <row r="33" spans="1:25" x14ac:dyDescent="0.3">
      <c r="A33" t="s">
        <v>9</v>
      </c>
      <c r="B33">
        <v>36.47</v>
      </c>
      <c r="C33">
        <f t="shared" si="14"/>
        <v>37.47</v>
      </c>
      <c r="D33">
        <f t="shared" si="15"/>
        <v>1.4617659968492816E-4</v>
      </c>
      <c r="J33">
        <f t="shared" si="16"/>
        <v>1.900878955421603</v>
      </c>
      <c r="K33">
        <f t="shared" ref="K33:K36" si="20">AVERAGE(J33:J35)</f>
        <v>1.1388025693265358</v>
      </c>
      <c r="L33">
        <f t="shared" ref="L33" si="21">STDEV(J33:J35)</f>
        <v>0.69548884932825361</v>
      </c>
      <c r="M33">
        <f t="shared" si="17"/>
        <v>1.6675296102958978E-4</v>
      </c>
      <c r="N33">
        <f t="shared" si="18"/>
        <v>9.9900469686238499E-5</v>
      </c>
      <c r="O33">
        <f t="shared" si="19"/>
        <v>6.1011157316340519E-5</v>
      </c>
      <c r="T33" s="2" t="s">
        <v>30</v>
      </c>
      <c r="U33" s="2"/>
      <c r="V33" s="2"/>
      <c r="W33" s="2"/>
      <c r="X33" s="2"/>
      <c r="Y33" s="2"/>
    </row>
    <row r="34" spans="1:25" x14ac:dyDescent="0.3">
      <c r="A34" t="s">
        <v>10</v>
      </c>
      <c r="B34">
        <v>38.57</v>
      </c>
      <c r="C34">
        <f t="shared" si="14"/>
        <v>37.47</v>
      </c>
      <c r="D34">
        <f t="shared" si="15"/>
        <v>3.8627825743721949E-5</v>
      </c>
      <c r="J34">
        <f t="shared" si="16"/>
        <v>0.53836878412375977</v>
      </c>
      <c r="M34">
        <f t="shared" si="17"/>
        <v>4.722793559394503E-5</v>
      </c>
      <c r="U34" s="2" t="s">
        <v>1</v>
      </c>
      <c r="V34" s="2"/>
      <c r="W34" s="2" t="s">
        <v>2</v>
      </c>
      <c r="X34" s="2"/>
    </row>
    <row r="35" spans="1:25" x14ac:dyDescent="0.3">
      <c r="A35" t="s">
        <v>11</v>
      </c>
      <c r="B35">
        <v>37.369999999999997</v>
      </c>
      <c r="C35">
        <f t="shared" si="14"/>
        <v>37.47</v>
      </c>
      <c r="D35">
        <f t="shared" si="15"/>
        <v>4.8555693588557124E-5</v>
      </c>
      <c r="J35">
        <f t="shared" si="16"/>
        <v>0.9771599684342448</v>
      </c>
      <c r="M35">
        <f t="shared" si="17"/>
        <v>8.5720512435180673E-5</v>
      </c>
      <c r="U35" t="s">
        <v>27</v>
      </c>
      <c r="V35" t="s">
        <v>28</v>
      </c>
      <c r="W35" t="s">
        <v>27</v>
      </c>
      <c r="X35" t="s">
        <v>28</v>
      </c>
    </row>
    <row r="36" spans="1:25" x14ac:dyDescent="0.3">
      <c r="A36" t="s">
        <v>12</v>
      </c>
      <c r="B36">
        <v>36.49</v>
      </c>
      <c r="C36">
        <f t="shared" si="14"/>
        <v>37.47</v>
      </c>
      <c r="D36">
        <f t="shared" si="15"/>
        <v>1.9968311976508311E-4</v>
      </c>
      <c r="J36">
        <f t="shared" si="16"/>
        <v>4.9132125974766749</v>
      </c>
      <c r="K36">
        <f t="shared" si="20"/>
        <v>2.8558719969346331</v>
      </c>
      <c r="L36">
        <f t="shared" ref="L36" si="22">STDEV(J36:J38)</f>
        <v>1.8169926452288965</v>
      </c>
      <c r="M36">
        <f t="shared" si="17"/>
        <v>4.3100732240754534E-4</v>
      </c>
      <c r="N36">
        <f t="shared" si="18"/>
        <v>2.5052889898752832E-4</v>
      </c>
      <c r="O36">
        <f t="shared" si="19"/>
        <v>1.5939410707700962E-4</v>
      </c>
      <c r="T36">
        <v>1</v>
      </c>
      <c r="U36">
        <v>272.43389877358896</v>
      </c>
      <c r="V36">
        <v>226.49188398217399</v>
      </c>
      <c r="W36">
        <v>292.77335583322275</v>
      </c>
      <c r="X36">
        <v>175.3885563512828</v>
      </c>
    </row>
    <row r="37" spans="1:25" x14ac:dyDescent="0.3">
      <c r="A37" t="s">
        <v>13</v>
      </c>
      <c r="B37">
        <v>37.479999999999997</v>
      </c>
      <c r="C37">
        <f t="shared" si="14"/>
        <v>37.47</v>
      </c>
      <c r="D37">
        <f t="shared" si="15"/>
        <v>7.7255651487444048E-5</v>
      </c>
      <c r="J37">
        <f t="shared" si="16"/>
        <v>1.4708668641859479</v>
      </c>
      <c r="M37">
        <f t="shared" si="17"/>
        <v>1.290305225294655E-4</v>
      </c>
      <c r="T37">
        <v>2</v>
      </c>
      <c r="U37">
        <v>93.821178020825826</v>
      </c>
      <c r="V37">
        <v>147.29724434127411</v>
      </c>
      <c r="W37">
        <v>122.91516842433653</v>
      </c>
      <c r="X37">
        <v>191.5545349524227</v>
      </c>
    </row>
    <row r="38" spans="1:25" x14ac:dyDescent="0.3">
      <c r="A38" t="s">
        <v>14</v>
      </c>
      <c r="B38">
        <v>36.94</v>
      </c>
      <c r="C38">
        <f t="shared" si="14"/>
        <v>37.47</v>
      </c>
      <c r="D38">
        <f t="shared" si="15"/>
        <v>1.4416414324090973E-4</v>
      </c>
      <c r="J38">
        <f t="shared" si="16"/>
        <v>2.1835365291412767</v>
      </c>
      <c r="M38">
        <f t="shared" si="17"/>
        <v>1.9154885202557413E-4</v>
      </c>
      <c r="T38">
        <v>3</v>
      </c>
      <c r="U38">
        <v>1.335979708819707</v>
      </c>
      <c r="V38">
        <v>1.268143058917236</v>
      </c>
      <c r="W38">
        <v>1.1388025693265358</v>
      </c>
      <c r="X38">
        <v>0.69548884932825361</v>
      </c>
    </row>
    <row r="39" spans="1:25" x14ac:dyDescent="0.3">
      <c r="A39" t="s">
        <v>15</v>
      </c>
      <c r="B39">
        <v>33.01</v>
      </c>
      <c r="C39">
        <f t="shared" si="14"/>
        <v>37.47</v>
      </c>
      <c r="D39">
        <f t="shared" si="15"/>
        <v>2.1973798529078335E-3</v>
      </c>
      <c r="J39">
        <f t="shared" si="16"/>
        <v>25.222977151335591</v>
      </c>
      <c r="K39">
        <f>AVERAGE(J39:J42)</f>
        <v>16.642683695975279</v>
      </c>
      <c r="L39">
        <f>STDEV(J39:J42)</f>
        <v>6.6841188981784967</v>
      </c>
      <c r="M39">
        <f t="shared" si="17"/>
        <v>2.2126638384683617E-3</v>
      </c>
      <c r="N39">
        <f>AVERAGE(M39:M42)</f>
        <v>1.4599650219007385E-3</v>
      </c>
      <c r="O39">
        <f>STDEV(M39:M42)</f>
        <v>5.8635854480165533E-4</v>
      </c>
      <c r="T39">
        <v>4</v>
      </c>
      <c r="U39">
        <v>19.498560994971797</v>
      </c>
      <c r="V39">
        <v>10.403437684792921</v>
      </c>
      <c r="W39">
        <v>2.8558719969346331</v>
      </c>
      <c r="X39">
        <v>1.8169926452288965</v>
      </c>
    </row>
    <row r="40" spans="1:25" x14ac:dyDescent="0.3">
      <c r="A40" t="s">
        <v>16</v>
      </c>
      <c r="B40">
        <v>33.78</v>
      </c>
      <c r="C40">
        <f t="shared" si="14"/>
        <v>37.47</v>
      </c>
      <c r="D40">
        <f t="shared" si="15"/>
        <v>1.449730049442431E-3</v>
      </c>
      <c r="J40">
        <f t="shared" si="16"/>
        <v>17.95939277294989</v>
      </c>
      <c r="M40">
        <f t="shared" si="17"/>
        <v>1.5754721859807135E-3</v>
      </c>
      <c r="T40">
        <v>5</v>
      </c>
      <c r="U40">
        <v>184.52619901790004</v>
      </c>
      <c r="V40">
        <v>37.572328179004977</v>
      </c>
      <c r="W40">
        <v>16.642683695975279</v>
      </c>
      <c r="X40">
        <v>6.6841188981784967</v>
      </c>
    </row>
    <row r="41" spans="1:25" x14ac:dyDescent="0.3">
      <c r="A41" t="s">
        <v>17</v>
      </c>
      <c r="B41">
        <v>35.04</v>
      </c>
      <c r="C41">
        <f t="shared" si="14"/>
        <v>37.47</v>
      </c>
      <c r="D41">
        <f t="shared" si="15"/>
        <v>1.0539338247113541E-3</v>
      </c>
      <c r="J41">
        <f t="shared" si="16"/>
        <v>13.896663780347744</v>
      </c>
      <c r="M41">
        <f t="shared" si="17"/>
        <v>1.219072801661731E-3</v>
      </c>
      <c r="T41">
        <v>6</v>
      </c>
      <c r="U41">
        <v>149.63791323143133</v>
      </c>
      <c r="V41">
        <v>84.185403311335776</v>
      </c>
      <c r="W41">
        <v>12.256718510248691</v>
      </c>
      <c r="X41">
        <v>8.6750691065803593</v>
      </c>
    </row>
    <row r="42" spans="1:25" x14ac:dyDescent="0.3">
      <c r="A42" t="s">
        <v>18</v>
      </c>
      <c r="B42">
        <v>34.159999999999997</v>
      </c>
      <c r="C42">
        <f t="shared" si="14"/>
        <v>37.47</v>
      </c>
      <c r="D42">
        <f t="shared" si="15"/>
        <v>5.5701353313888056E-4</v>
      </c>
      <c r="J42">
        <f t="shared" si="16"/>
        <v>9.4917010792678909</v>
      </c>
      <c r="M42">
        <f t="shared" si="17"/>
        <v>8.326512614921476E-4</v>
      </c>
      <c r="T42">
        <v>7</v>
      </c>
      <c r="U42">
        <v>160.18112274414833</v>
      </c>
      <c r="V42">
        <v>137.61704779746242</v>
      </c>
      <c r="W42">
        <v>76.088051569135317</v>
      </c>
      <c r="X42">
        <v>34.174322303728943</v>
      </c>
    </row>
    <row r="43" spans="1:25" x14ac:dyDescent="0.3">
      <c r="A43" t="s">
        <v>19</v>
      </c>
      <c r="B43">
        <v>28.56</v>
      </c>
      <c r="C43">
        <f t="shared" si="14"/>
        <v>37.47</v>
      </c>
      <c r="K43">
        <f t="shared" ref="K43:K47" si="23">AVERAGE(J43:J46)</f>
        <v>12.256718510248691</v>
      </c>
      <c r="L43">
        <f t="shared" ref="L43" si="24">STDEV(J43:J46)</f>
        <v>8.6750691065803593</v>
      </c>
      <c r="N43">
        <f t="shared" ref="N43:N47" si="25">AVERAGE(M43:M46)</f>
        <v>1.0752100223219306E-3</v>
      </c>
      <c r="O43">
        <f t="shared" ref="O43:O47" si="26">STDEV(M43:M46)</f>
        <v>7.610129285363918E-4</v>
      </c>
    </row>
    <row r="44" spans="1:25" x14ac:dyDescent="0.3">
      <c r="A44" t="s">
        <v>20</v>
      </c>
      <c r="B44">
        <v>34.159999999999997</v>
      </c>
      <c r="C44">
        <f t="shared" si="14"/>
        <v>37.47</v>
      </c>
      <c r="D44">
        <f t="shared" si="15"/>
        <v>1.0986899264539165E-3</v>
      </c>
      <c r="J44">
        <f t="shared" si="16"/>
        <v>14.791194563381763</v>
      </c>
      <c r="M44">
        <f t="shared" si="17"/>
        <v>1.2975447403286286E-3</v>
      </c>
    </row>
    <row r="45" spans="1:25" x14ac:dyDescent="0.3">
      <c r="A45" t="s">
        <v>21</v>
      </c>
      <c r="B45">
        <v>33.619999999999997</v>
      </c>
      <c r="C45">
        <f t="shared" si="14"/>
        <v>37.47</v>
      </c>
      <c r="D45">
        <f t="shared" si="15"/>
        <v>1.5008546692265754E-3</v>
      </c>
      <c r="J45">
        <f t="shared" si="16"/>
        <v>19.382283791041157</v>
      </c>
      <c r="M45">
        <f t="shared" si="17"/>
        <v>1.7002940689377472E-3</v>
      </c>
    </row>
    <row r="46" spans="1:25" x14ac:dyDescent="0.3">
      <c r="A46" t="s">
        <v>22</v>
      </c>
      <c r="B46">
        <v>36.369999999999997</v>
      </c>
      <c r="C46">
        <f t="shared" si="14"/>
        <v>37.47</v>
      </c>
      <c r="D46">
        <f t="shared" si="15"/>
        <v>1.8121625618030429E-4</v>
      </c>
      <c r="J46">
        <f t="shared" si="16"/>
        <v>2.5966771763231526</v>
      </c>
      <c r="M46">
        <f t="shared" si="17"/>
        <v>2.2779125769941625E-4</v>
      </c>
    </row>
    <row r="47" spans="1:25" x14ac:dyDescent="0.3">
      <c r="A47" t="s">
        <v>23</v>
      </c>
      <c r="B47">
        <v>30.09</v>
      </c>
      <c r="C47">
        <f t="shared" si="14"/>
        <v>37.47</v>
      </c>
      <c r="K47">
        <f t="shared" si="23"/>
        <v>76.088051569135317</v>
      </c>
      <c r="L47">
        <f t="shared" ref="L47" si="27">STDEV(J47:J50)</f>
        <v>34.174322303728943</v>
      </c>
      <c r="N47">
        <f t="shared" si="25"/>
        <v>6.6747584647289292E-3</v>
      </c>
      <c r="O47">
        <f t="shared" si="26"/>
        <v>2.997912843988754E-3</v>
      </c>
    </row>
    <row r="48" spans="1:25" x14ac:dyDescent="0.3">
      <c r="A48" t="s">
        <v>24</v>
      </c>
      <c r="B48">
        <v>31.27</v>
      </c>
      <c r="C48">
        <f t="shared" si="14"/>
        <v>37.47</v>
      </c>
      <c r="D48">
        <f t="shared" si="15"/>
        <v>6.8484821977815215E-3</v>
      </c>
      <c r="J48">
        <f t="shared" si="16"/>
        <v>94.135479307900681</v>
      </c>
      <c r="M48">
        <f t="shared" si="17"/>
        <v>8.2579534418857972E-3</v>
      </c>
    </row>
    <row r="49" spans="1:15" x14ac:dyDescent="0.3">
      <c r="A49" t="s">
        <v>25</v>
      </c>
      <c r="B49">
        <v>30.97</v>
      </c>
      <c r="C49">
        <f t="shared" si="14"/>
        <v>37.47</v>
      </c>
      <c r="D49">
        <f t="shared" si="15"/>
        <v>4.7101868269170339E-3</v>
      </c>
      <c r="J49">
        <f t="shared" si="16"/>
        <v>97.455159816465411</v>
      </c>
      <c r="M49">
        <f t="shared" si="17"/>
        <v>8.5491695410995442E-3</v>
      </c>
    </row>
    <row r="50" spans="1:15" x14ac:dyDescent="0.3">
      <c r="A50" t="s">
        <v>26</v>
      </c>
      <c r="B50">
        <v>33.590000000000003</v>
      </c>
      <c r="C50">
        <f t="shared" si="14"/>
        <v>37.47</v>
      </c>
      <c r="D50">
        <f t="shared" si="15"/>
        <v>1.0539338247113521E-3</v>
      </c>
      <c r="J50">
        <f t="shared" si="16"/>
        <v>36.67351558303988</v>
      </c>
      <c r="M50">
        <f t="shared" si="17"/>
        <v>3.2171524112014484E-3</v>
      </c>
    </row>
    <row r="51" spans="1:15" x14ac:dyDescent="0.3">
      <c r="A51" s="2" t="s">
        <v>39</v>
      </c>
      <c r="B51" s="2"/>
      <c r="C51" t="s">
        <v>29</v>
      </c>
    </row>
    <row r="52" spans="1:15" x14ac:dyDescent="0.3">
      <c r="A52" t="s">
        <v>3</v>
      </c>
      <c r="B52">
        <v>23.7</v>
      </c>
      <c r="C52">
        <f>AVERAGE($B$58:$B$60)</f>
        <v>22.78</v>
      </c>
    </row>
    <row r="53" spans="1:15" x14ac:dyDescent="0.3">
      <c r="A53" t="s">
        <v>4</v>
      </c>
      <c r="B53">
        <v>23.23</v>
      </c>
      <c r="C53">
        <f t="shared" ref="C53:C75" si="28">AVERAGE($B$58:$B$60)</f>
        <v>22.78</v>
      </c>
    </row>
    <row r="54" spans="1:15" x14ac:dyDescent="0.3">
      <c r="A54" t="s">
        <v>5</v>
      </c>
      <c r="B54">
        <v>23.26</v>
      </c>
      <c r="C54">
        <f t="shared" si="28"/>
        <v>22.78</v>
      </c>
      <c r="F54" s="2" t="s">
        <v>1</v>
      </c>
      <c r="G54" s="2"/>
      <c r="H54" s="1"/>
      <c r="I54" s="1"/>
      <c r="J54" s="2" t="s">
        <v>2</v>
      </c>
      <c r="K54" s="2"/>
      <c r="L54" s="2" t="s">
        <v>39</v>
      </c>
      <c r="M54" s="2"/>
      <c r="N54" s="2" t="s">
        <v>0</v>
      </c>
      <c r="O54" s="2"/>
    </row>
    <row r="55" spans="1:15" x14ac:dyDescent="0.3">
      <c r="A55" t="s">
        <v>6</v>
      </c>
      <c r="B55">
        <v>22.6</v>
      </c>
      <c r="C55">
        <f t="shared" si="28"/>
        <v>22.78</v>
      </c>
      <c r="E55">
        <v>1</v>
      </c>
      <c r="F55">
        <f>AVERAGE(B2:B4)</f>
        <v>31.25</v>
      </c>
      <c r="G55">
        <f>STDEV(B2:B4)</f>
        <v>0.32140317359976484</v>
      </c>
      <c r="J55">
        <f>AVERAGE(B27:B29)</f>
        <v>31.349999999999998</v>
      </c>
      <c r="K55">
        <f>STDEV(B27:B29)</f>
        <v>0.9506313691436874</v>
      </c>
      <c r="L55">
        <f>AVERAGE(B52:B54)</f>
        <v>23.396666666666665</v>
      </c>
      <c r="M55">
        <f>STDEV(B52:B54)</f>
        <v>0.26312227829154416</v>
      </c>
      <c r="N55">
        <f>AVERAGE(B77:B79)</f>
        <v>25.796666666666667</v>
      </c>
      <c r="O55">
        <f>STDEV(B77:B79)</f>
        <v>1.3342163742561897</v>
      </c>
    </row>
    <row r="56" spans="1:15" x14ac:dyDescent="0.3">
      <c r="A56" t="s">
        <v>7</v>
      </c>
      <c r="B56">
        <v>22.92</v>
      </c>
      <c r="C56">
        <f t="shared" si="28"/>
        <v>22.78</v>
      </c>
      <c r="E56">
        <v>2</v>
      </c>
      <c r="F56">
        <f>AVERAGE(B5:B7)</f>
        <v>32.886666666666663</v>
      </c>
      <c r="G56">
        <f>STDEV(B5:B7)</f>
        <v>3.2714268039088608</v>
      </c>
      <c r="J56">
        <f>AVERAGE(B30:B32)</f>
        <v>32.54</v>
      </c>
      <c r="K56">
        <f>STDEV(B31:B33)</f>
        <v>1.2974205177967544</v>
      </c>
      <c r="L56">
        <f>AVERAGE(B55:B57)</f>
        <v>22.813333333333333</v>
      </c>
      <c r="M56">
        <f>STDEV(B55:B57)</f>
        <v>0.18475208614068042</v>
      </c>
      <c r="N56">
        <f>AVERAGE(B80:B82)</f>
        <v>24.28</v>
      </c>
      <c r="O56">
        <f>STDEV(B80:B82)</f>
        <v>0.16370705543744898</v>
      </c>
    </row>
    <row r="57" spans="1:15" x14ac:dyDescent="0.3">
      <c r="A57" t="s">
        <v>8</v>
      </c>
      <c r="B57">
        <v>22.92</v>
      </c>
      <c r="C57">
        <f t="shared" si="28"/>
        <v>22.78</v>
      </c>
      <c r="E57">
        <v>3</v>
      </c>
      <c r="F57">
        <f>AVERAGE(B8:B10)</f>
        <v>37.186666666666667</v>
      </c>
      <c r="G57">
        <f>STDEV(B8:B10)</f>
        <v>1.4032937444930533</v>
      </c>
      <c r="J57">
        <f>AVERAGE(B33:B35)</f>
        <v>37.47</v>
      </c>
      <c r="K57">
        <f>STDEV(B33:B35)</f>
        <v>1.0535653752852747</v>
      </c>
      <c r="L57">
        <f>AVERAGE(B58:B60)</f>
        <v>22.78</v>
      </c>
      <c r="M57">
        <f>STDEV(B58:B60)</f>
        <v>0.16703293088490156</v>
      </c>
      <c r="N57">
        <f>AVERAGE(B83:B85)</f>
        <v>23.993333333333336</v>
      </c>
      <c r="O57">
        <f>STDEV(B83:B85)</f>
        <v>0.18147543451754877</v>
      </c>
    </row>
    <row r="58" spans="1:15" x14ac:dyDescent="0.3">
      <c r="A58" t="s">
        <v>9</v>
      </c>
      <c r="B58">
        <v>22.75</v>
      </c>
      <c r="C58">
        <f t="shared" si="28"/>
        <v>22.78</v>
      </c>
      <c r="E58">
        <v>4</v>
      </c>
      <c r="F58">
        <f>AVERAGE(B11:B13)</f>
        <v>33.880000000000003</v>
      </c>
      <c r="G58">
        <f>STDEV(B11:B13)</f>
        <v>0.55461698495448442</v>
      </c>
      <c r="J58">
        <f>AVERAGE(B36:B38)</f>
        <v>36.97</v>
      </c>
      <c r="K58">
        <f>STDEV(B36:B38)</f>
        <v>0.49568134925574664</v>
      </c>
      <c r="L58">
        <f>AVERAGE(B61:B63)</f>
        <v>23.433333333333337</v>
      </c>
      <c r="M58">
        <f>STDEV(B61:B63)</f>
        <v>0.38083242158898845</v>
      </c>
      <c r="N58">
        <f>AVERAGE(B86:B88)</f>
        <v>24.819999999999997</v>
      </c>
      <c r="O58">
        <f>STDEV(B86:B88)</f>
        <v>0.42461747491124258</v>
      </c>
    </row>
    <row r="59" spans="1:15" x14ac:dyDescent="0.3">
      <c r="A59" t="s">
        <v>10</v>
      </c>
      <c r="B59">
        <v>22.96</v>
      </c>
      <c r="C59">
        <f t="shared" si="28"/>
        <v>22.78</v>
      </c>
      <c r="E59">
        <v>5</v>
      </c>
      <c r="F59">
        <f>AVERAGE(B14:B17)</f>
        <v>29.905000000000001</v>
      </c>
      <c r="G59">
        <f>STDEV(B14:B17)</f>
        <v>0.20615528128088306</v>
      </c>
      <c r="J59">
        <f>AVERAGE(B39:B42)</f>
        <v>33.997499999999995</v>
      </c>
      <c r="K59">
        <f>STDEV(B39:B42)</f>
        <v>0.84373672829068358</v>
      </c>
      <c r="L59">
        <f>AVERAGE(B64:B67)</f>
        <v>22.997500000000002</v>
      </c>
      <c r="M59">
        <f>STDEV(B64:B67)</f>
        <v>0.34042865135982159</v>
      </c>
      <c r="N59">
        <f>AVERAGE(B89:B92)</f>
        <v>24.487499999999997</v>
      </c>
      <c r="O59">
        <f>STDEV(B89:B92)</f>
        <v>0.62205975061350249</v>
      </c>
    </row>
    <row r="60" spans="1:15" x14ac:dyDescent="0.3">
      <c r="A60" t="s">
        <v>11</v>
      </c>
      <c r="B60">
        <v>22.63</v>
      </c>
      <c r="C60">
        <f t="shared" si="28"/>
        <v>22.78</v>
      </c>
      <c r="E60">
        <v>6</v>
      </c>
      <c r="F60">
        <f>AVERAGE(B18:B21)</f>
        <v>29.65</v>
      </c>
      <c r="G60">
        <f>STDEV(B18:B21)</f>
        <v>2.0090793911640228</v>
      </c>
      <c r="J60">
        <f>AVERAGE(B43:B46)</f>
        <v>33.177500000000002</v>
      </c>
      <c r="K60">
        <f>STDEV(B43:B46)</f>
        <v>3.3002260023620598</v>
      </c>
      <c r="L60">
        <f>AVERAGE(B68:B71)</f>
        <v>22.795000000000002</v>
      </c>
      <c r="M60">
        <f>STDEV(B68:B71)</f>
        <v>0.29557852876463553</v>
      </c>
      <c r="N60">
        <f>AVERAGE(B93:B96)</f>
        <v>24.324999999999999</v>
      </c>
      <c r="O60">
        <f>STDEV(B93:B96)</f>
        <v>0.22605309110914704</v>
      </c>
    </row>
    <row r="61" spans="1:15" x14ac:dyDescent="0.3">
      <c r="A61" t="s">
        <v>12</v>
      </c>
      <c r="B61">
        <v>23.87</v>
      </c>
      <c r="C61">
        <f t="shared" si="28"/>
        <v>22.78</v>
      </c>
      <c r="E61">
        <v>7</v>
      </c>
      <c r="F61">
        <f>AVERAGE(B22:B25)</f>
        <v>30.092500000000001</v>
      </c>
      <c r="G61">
        <f>STDEV(B22:B25)</f>
        <v>2.2177071492872997</v>
      </c>
      <c r="J61">
        <f>AVERAGE(B47:B50)</f>
        <v>31.48</v>
      </c>
      <c r="K61">
        <f>STDEV(B47:B50)</f>
        <v>1.4931398684204611</v>
      </c>
      <c r="L61">
        <f>AVERAGE(B72:B75)</f>
        <v>22.984999999999999</v>
      </c>
      <c r="M61">
        <f>STDEV(B72:B75)</f>
        <v>0.57029232270243035</v>
      </c>
      <c r="N61">
        <f>AVERAGE(B97:B100)</f>
        <v>24.765000000000001</v>
      </c>
      <c r="O61">
        <f>STDEV(B97:B100)</f>
        <v>0.63184913811235988</v>
      </c>
    </row>
    <row r="62" spans="1:15" x14ac:dyDescent="0.3">
      <c r="A62" t="s">
        <v>13</v>
      </c>
      <c r="B62">
        <v>23.26</v>
      </c>
      <c r="C62">
        <f t="shared" si="28"/>
        <v>22.78</v>
      </c>
    </row>
    <row r="63" spans="1:15" x14ac:dyDescent="0.3">
      <c r="A63" t="s">
        <v>14</v>
      </c>
      <c r="B63">
        <v>23.17</v>
      </c>
      <c r="C63">
        <f t="shared" si="28"/>
        <v>22.78</v>
      </c>
    </row>
    <row r="64" spans="1:15" x14ac:dyDescent="0.3">
      <c r="A64" t="s">
        <v>15</v>
      </c>
      <c r="B64">
        <v>22.97</v>
      </c>
      <c r="C64">
        <f t="shared" si="28"/>
        <v>22.78</v>
      </c>
    </row>
    <row r="65" spans="1:3" x14ac:dyDescent="0.3">
      <c r="A65" t="s">
        <v>16</v>
      </c>
      <c r="B65">
        <v>23.14</v>
      </c>
      <c r="C65">
        <f t="shared" si="28"/>
        <v>22.78</v>
      </c>
    </row>
    <row r="66" spans="1:3" x14ac:dyDescent="0.3">
      <c r="A66" t="s">
        <v>17</v>
      </c>
      <c r="B66">
        <v>23.34</v>
      </c>
      <c r="C66">
        <f t="shared" si="28"/>
        <v>22.78</v>
      </c>
    </row>
    <row r="67" spans="1:3" x14ac:dyDescent="0.3">
      <c r="A67" t="s">
        <v>18</v>
      </c>
      <c r="B67">
        <v>22.54</v>
      </c>
      <c r="C67">
        <f t="shared" si="28"/>
        <v>22.78</v>
      </c>
    </row>
    <row r="68" spans="1:3" x14ac:dyDescent="0.3">
      <c r="A68" t="s">
        <v>19</v>
      </c>
      <c r="B68">
        <v>22.9</v>
      </c>
      <c r="C68">
        <f t="shared" si="28"/>
        <v>22.78</v>
      </c>
    </row>
    <row r="69" spans="1:3" x14ac:dyDescent="0.3">
      <c r="A69" t="s">
        <v>20</v>
      </c>
      <c r="B69">
        <v>23.13</v>
      </c>
      <c r="C69">
        <f t="shared" si="28"/>
        <v>22.78</v>
      </c>
    </row>
    <row r="70" spans="1:3" x14ac:dyDescent="0.3">
      <c r="A70" t="s">
        <v>21</v>
      </c>
      <c r="B70">
        <v>22.72</v>
      </c>
      <c r="C70">
        <f t="shared" si="28"/>
        <v>22.78</v>
      </c>
    </row>
    <row r="71" spans="1:3" x14ac:dyDescent="0.3">
      <c r="A71" t="s">
        <v>22</v>
      </c>
      <c r="B71">
        <v>22.43</v>
      </c>
      <c r="C71">
        <f t="shared" si="28"/>
        <v>22.78</v>
      </c>
    </row>
    <row r="72" spans="1:3" x14ac:dyDescent="0.3">
      <c r="A72" t="s">
        <v>23</v>
      </c>
      <c r="B72">
        <v>23.35</v>
      </c>
      <c r="C72">
        <f t="shared" si="28"/>
        <v>22.78</v>
      </c>
    </row>
    <row r="73" spans="1:3" x14ac:dyDescent="0.3">
      <c r="A73" t="s">
        <v>24</v>
      </c>
      <c r="B73">
        <v>22.81</v>
      </c>
      <c r="C73">
        <f t="shared" si="28"/>
        <v>22.78</v>
      </c>
    </row>
    <row r="74" spans="1:3" x14ac:dyDescent="0.3">
      <c r="A74" t="s">
        <v>25</v>
      </c>
      <c r="B74">
        <v>22.26</v>
      </c>
      <c r="C74">
        <f t="shared" si="28"/>
        <v>22.78</v>
      </c>
    </row>
    <row r="75" spans="1:3" x14ac:dyDescent="0.3">
      <c r="A75" t="s">
        <v>26</v>
      </c>
      <c r="B75">
        <v>23.52</v>
      </c>
      <c r="C75">
        <f t="shared" si="28"/>
        <v>22.78</v>
      </c>
    </row>
    <row r="76" spans="1:3" x14ac:dyDescent="0.3">
      <c r="A76" s="2" t="s">
        <v>0</v>
      </c>
      <c r="B76" s="2"/>
      <c r="C76" t="s">
        <v>29</v>
      </c>
    </row>
    <row r="77" spans="1:3" x14ac:dyDescent="0.3">
      <c r="A77" t="s">
        <v>3</v>
      </c>
      <c r="B77">
        <v>25.29</v>
      </c>
      <c r="C77">
        <f>AVERAGE($B$83:$B$85)</f>
        <v>23.993333333333336</v>
      </c>
    </row>
    <row r="78" spans="1:3" x14ac:dyDescent="0.3">
      <c r="A78" t="s">
        <v>4</v>
      </c>
      <c r="B78">
        <v>24.79</v>
      </c>
      <c r="C78">
        <f t="shared" ref="C78:C100" si="29">AVERAGE($B$83:$B$85)</f>
        <v>23.993333333333336</v>
      </c>
    </row>
    <row r="79" spans="1:3" x14ac:dyDescent="0.3">
      <c r="A79" t="s">
        <v>5</v>
      </c>
      <c r="B79">
        <v>27.31</v>
      </c>
      <c r="C79">
        <f t="shared" si="29"/>
        <v>23.993333333333336</v>
      </c>
    </row>
    <row r="80" spans="1:3" x14ac:dyDescent="0.3">
      <c r="A80" t="s">
        <v>6</v>
      </c>
      <c r="B80">
        <v>24.1</v>
      </c>
      <c r="C80">
        <f t="shared" si="29"/>
        <v>23.993333333333336</v>
      </c>
    </row>
    <row r="81" spans="1:3" x14ac:dyDescent="0.3">
      <c r="A81" t="s">
        <v>7</v>
      </c>
      <c r="B81">
        <v>24.32</v>
      </c>
      <c r="C81">
        <f t="shared" si="29"/>
        <v>23.993333333333336</v>
      </c>
    </row>
    <row r="82" spans="1:3" x14ac:dyDescent="0.3">
      <c r="A82" t="s">
        <v>8</v>
      </c>
      <c r="B82">
        <v>24.42</v>
      </c>
      <c r="C82">
        <f t="shared" si="29"/>
        <v>23.993333333333336</v>
      </c>
    </row>
    <row r="83" spans="1:3" x14ac:dyDescent="0.3">
      <c r="A83" t="s">
        <v>9</v>
      </c>
      <c r="B83">
        <v>23.92</v>
      </c>
      <c r="C83">
        <f t="shared" si="29"/>
        <v>23.993333333333336</v>
      </c>
    </row>
    <row r="84" spans="1:3" x14ac:dyDescent="0.3">
      <c r="A84" t="s">
        <v>10</v>
      </c>
      <c r="B84">
        <v>24.2</v>
      </c>
      <c r="C84">
        <f t="shared" si="29"/>
        <v>23.993333333333336</v>
      </c>
    </row>
    <row r="85" spans="1:3" x14ac:dyDescent="0.3">
      <c r="A85" t="s">
        <v>11</v>
      </c>
      <c r="B85">
        <v>23.86</v>
      </c>
      <c r="C85">
        <f t="shared" si="29"/>
        <v>23.993333333333336</v>
      </c>
    </row>
    <row r="86" spans="1:3" x14ac:dyDescent="0.3">
      <c r="A86" t="s">
        <v>12</v>
      </c>
      <c r="B86">
        <v>25.31</v>
      </c>
      <c r="C86">
        <f t="shared" si="29"/>
        <v>23.993333333333336</v>
      </c>
    </row>
    <row r="87" spans="1:3" x14ac:dyDescent="0.3">
      <c r="A87" t="s">
        <v>13</v>
      </c>
      <c r="B87">
        <v>24.56</v>
      </c>
      <c r="C87">
        <f t="shared" si="29"/>
        <v>23.993333333333336</v>
      </c>
    </row>
    <row r="88" spans="1:3" x14ac:dyDescent="0.3">
      <c r="A88" t="s">
        <v>14</v>
      </c>
      <c r="B88">
        <v>24.59</v>
      </c>
      <c r="C88">
        <f t="shared" si="29"/>
        <v>23.993333333333336</v>
      </c>
    </row>
    <row r="89" spans="1:3" x14ac:dyDescent="0.3">
      <c r="A89" t="s">
        <v>15</v>
      </c>
      <c r="B89">
        <v>24.19</v>
      </c>
      <c r="C89">
        <f t="shared" si="29"/>
        <v>23.993333333333336</v>
      </c>
    </row>
    <row r="90" spans="1:3" x14ac:dyDescent="0.3">
      <c r="A90" t="s">
        <v>16</v>
      </c>
      <c r="B90">
        <v>24.47</v>
      </c>
      <c r="C90">
        <f t="shared" si="29"/>
        <v>23.993333333333336</v>
      </c>
    </row>
    <row r="91" spans="1:3" x14ac:dyDescent="0.3">
      <c r="A91" t="s">
        <v>17</v>
      </c>
      <c r="B91">
        <v>25.36</v>
      </c>
      <c r="C91">
        <f t="shared" si="29"/>
        <v>23.993333333333336</v>
      </c>
    </row>
    <row r="92" spans="1:3" x14ac:dyDescent="0.3">
      <c r="A92" t="s">
        <v>18</v>
      </c>
      <c r="B92">
        <v>23.93</v>
      </c>
      <c r="C92">
        <f t="shared" si="29"/>
        <v>23.993333333333336</v>
      </c>
    </row>
    <row r="93" spans="1:3" x14ac:dyDescent="0.3">
      <c r="A93" t="s">
        <v>19</v>
      </c>
      <c r="B93">
        <v>24.04</v>
      </c>
      <c r="C93">
        <f t="shared" si="29"/>
        <v>23.993333333333336</v>
      </c>
    </row>
    <row r="94" spans="1:3" x14ac:dyDescent="0.3">
      <c r="A94" t="s">
        <v>20</v>
      </c>
      <c r="B94">
        <v>24.57</v>
      </c>
      <c r="C94">
        <f t="shared" si="29"/>
        <v>23.993333333333336</v>
      </c>
    </row>
    <row r="95" spans="1:3" x14ac:dyDescent="0.3">
      <c r="A95" t="s">
        <v>21</v>
      </c>
      <c r="B95">
        <v>24.42</v>
      </c>
      <c r="C95">
        <f t="shared" si="29"/>
        <v>23.993333333333336</v>
      </c>
    </row>
    <row r="96" spans="1:3" x14ac:dyDescent="0.3">
      <c r="A96" t="s">
        <v>22</v>
      </c>
      <c r="B96">
        <v>24.27</v>
      </c>
      <c r="C96">
        <f t="shared" si="29"/>
        <v>23.993333333333336</v>
      </c>
    </row>
    <row r="97" spans="1:3" x14ac:dyDescent="0.3">
      <c r="A97" t="s">
        <v>23</v>
      </c>
      <c r="B97">
        <v>25.3</v>
      </c>
      <c r="C97">
        <f t="shared" si="29"/>
        <v>23.993333333333336</v>
      </c>
    </row>
    <row r="98" spans="1:3" x14ac:dyDescent="0.3">
      <c r="A98" t="s">
        <v>24</v>
      </c>
      <c r="B98">
        <v>24.35</v>
      </c>
      <c r="C98">
        <f t="shared" si="29"/>
        <v>23.993333333333336</v>
      </c>
    </row>
    <row r="99" spans="1:3" x14ac:dyDescent="0.3">
      <c r="A99" t="s">
        <v>25</v>
      </c>
      <c r="B99">
        <v>24.1</v>
      </c>
      <c r="C99">
        <f t="shared" si="29"/>
        <v>23.993333333333336</v>
      </c>
    </row>
    <row r="100" spans="1:3" x14ac:dyDescent="0.3">
      <c r="A100" t="s">
        <v>26</v>
      </c>
      <c r="B100">
        <v>25.31</v>
      </c>
      <c r="C100">
        <f t="shared" si="29"/>
        <v>23.993333333333336</v>
      </c>
    </row>
    <row r="101" spans="1:3" x14ac:dyDescent="0.3">
      <c r="A101" s="2" t="s">
        <v>33</v>
      </c>
      <c r="B101" s="2"/>
    </row>
    <row r="102" spans="1:3" x14ac:dyDescent="0.3">
      <c r="A102" t="s">
        <v>3</v>
      </c>
      <c r="B102">
        <v>24.01</v>
      </c>
      <c r="C102">
        <f>AVERAGE(B102:B104)</f>
        <v>23.633333333333336</v>
      </c>
    </row>
    <row r="103" spans="1:3" x14ac:dyDescent="0.3">
      <c r="A103" t="s">
        <v>4</v>
      </c>
      <c r="B103">
        <v>23.41</v>
      </c>
    </row>
    <row r="104" spans="1:3" x14ac:dyDescent="0.3">
      <c r="A104" t="s">
        <v>5</v>
      </c>
      <c r="B104">
        <v>23.48</v>
      </c>
    </row>
    <row r="105" spans="1:3" x14ac:dyDescent="0.3">
      <c r="A105" t="s">
        <v>6</v>
      </c>
      <c r="B105">
        <v>23.47</v>
      </c>
      <c r="C105">
        <f t="shared" ref="C105:C111" si="30">AVERAGE(B105:B107)</f>
        <v>23.793333333333333</v>
      </c>
    </row>
    <row r="106" spans="1:3" x14ac:dyDescent="0.3">
      <c r="A106" t="s">
        <v>7</v>
      </c>
      <c r="B106">
        <v>23.98</v>
      </c>
    </row>
    <row r="107" spans="1:3" x14ac:dyDescent="0.3">
      <c r="A107" t="s">
        <v>8</v>
      </c>
      <c r="B107">
        <v>23.93</v>
      </c>
    </row>
    <row r="108" spans="1:3" x14ac:dyDescent="0.3">
      <c r="A108" t="s">
        <v>9</v>
      </c>
      <c r="B108">
        <v>23.73</v>
      </c>
      <c r="C108">
        <f t="shared" si="30"/>
        <v>23.560000000000002</v>
      </c>
    </row>
    <row r="109" spans="1:3" x14ac:dyDescent="0.3">
      <c r="A109" t="s">
        <v>10</v>
      </c>
      <c r="B109">
        <v>23.91</v>
      </c>
    </row>
    <row r="110" spans="1:3" x14ac:dyDescent="0.3">
      <c r="A110" t="s">
        <v>11</v>
      </c>
      <c r="B110">
        <v>23.04</v>
      </c>
    </row>
    <row r="111" spans="1:3" x14ac:dyDescent="0.3">
      <c r="A111" t="s">
        <v>12</v>
      </c>
      <c r="B111">
        <v>24.2</v>
      </c>
      <c r="C111">
        <f t="shared" si="30"/>
        <v>24.066666666666663</v>
      </c>
    </row>
    <row r="112" spans="1:3" x14ac:dyDescent="0.3">
      <c r="A112" t="s">
        <v>13</v>
      </c>
      <c r="B112">
        <v>23.82</v>
      </c>
    </row>
    <row r="113" spans="1:3" x14ac:dyDescent="0.3">
      <c r="A113" t="s">
        <v>14</v>
      </c>
      <c r="B113">
        <v>24.18</v>
      </c>
    </row>
    <row r="114" spans="1:3" x14ac:dyDescent="0.3">
      <c r="A114" t="s">
        <v>15</v>
      </c>
      <c r="B114">
        <v>24.18</v>
      </c>
      <c r="C114">
        <f>AVERAGE(B114:B117)</f>
        <v>24.2575</v>
      </c>
    </row>
    <row r="115" spans="1:3" x14ac:dyDescent="0.3">
      <c r="A115" t="s">
        <v>16</v>
      </c>
      <c r="B115">
        <v>24.35</v>
      </c>
    </row>
    <row r="116" spans="1:3" x14ac:dyDescent="0.3">
      <c r="A116" t="s">
        <v>17</v>
      </c>
      <c r="B116">
        <v>25.15</v>
      </c>
    </row>
    <row r="117" spans="1:3" x14ac:dyDescent="0.3">
      <c r="A117" t="s">
        <v>18</v>
      </c>
      <c r="B117">
        <v>23.35</v>
      </c>
    </row>
    <row r="118" spans="1:3" x14ac:dyDescent="0.3">
      <c r="A118" t="s">
        <v>19</v>
      </c>
      <c r="B118">
        <v>23.8</v>
      </c>
      <c r="C118">
        <f t="shared" ref="C118:C122" si="31">AVERAGE(B118:B121)</f>
        <v>24.077499999999997</v>
      </c>
    </row>
    <row r="119" spans="1:3" x14ac:dyDescent="0.3">
      <c r="A119" t="s">
        <v>20</v>
      </c>
      <c r="B119">
        <v>24.33</v>
      </c>
    </row>
    <row r="120" spans="1:3" x14ac:dyDescent="0.3">
      <c r="A120" t="s">
        <v>21</v>
      </c>
      <c r="B120">
        <v>24.24</v>
      </c>
    </row>
    <row r="121" spans="1:3" x14ac:dyDescent="0.3">
      <c r="A121" t="s">
        <v>22</v>
      </c>
      <c r="B121">
        <v>23.94</v>
      </c>
    </row>
    <row r="122" spans="1:3" x14ac:dyDescent="0.3">
      <c r="A122" t="s">
        <v>23</v>
      </c>
      <c r="B122">
        <v>24.32</v>
      </c>
      <c r="C122">
        <f t="shared" si="31"/>
        <v>23.835000000000001</v>
      </c>
    </row>
    <row r="123" spans="1:3" x14ac:dyDescent="0.3">
      <c r="A123" t="s">
        <v>24</v>
      </c>
      <c r="B123">
        <v>24.08</v>
      </c>
    </row>
    <row r="124" spans="1:3" x14ac:dyDescent="0.3">
      <c r="A124" t="s">
        <v>25</v>
      </c>
      <c r="B124">
        <v>23.24</v>
      </c>
    </row>
    <row r="125" spans="1:3" x14ac:dyDescent="0.3">
      <c r="A125" t="s">
        <v>26</v>
      </c>
      <c r="B125">
        <v>23.7</v>
      </c>
    </row>
  </sheetData>
  <mergeCells count="12">
    <mergeCell ref="A101:B101"/>
    <mergeCell ref="A1:B1"/>
    <mergeCell ref="A26:B26"/>
    <mergeCell ref="T33:Y33"/>
    <mergeCell ref="U34:V34"/>
    <mergeCell ref="W34:X34"/>
    <mergeCell ref="A51:B51"/>
    <mergeCell ref="F54:G54"/>
    <mergeCell ref="J54:K54"/>
    <mergeCell ref="L54:M54"/>
    <mergeCell ref="N54:O54"/>
    <mergeCell ref="A76:B7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1FC-8CD2-48AD-97E6-1D19F1D25D0A}">
  <dimension ref="A1:S112"/>
  <sheetViews>
    <sheetView zoomScale="55" zoomScaleNormal="55" workbookViewId="0">
      <selection activeCell="Y22" sqref="Y22"/>
    </sheetView>
  </sheetViews>
  <sheetFormatPr defaultRowHeight="14" x14ac:dyDescent="0.3"/>
  <cols>
    <col min="3" max="3" width="14.3984375" bestFit="1" customWidth="1"/>
  </cols>
  <sheetData>
    <row r="1" spans="1:19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9" x14ac:dyDescent="0.3">
      <c r="A2" t="s">
        <v>42</v>
      </c>
      <c r="B2">
        <v>37.01</v>
      </c>
      <c r="C2">
        <v>37.020000000000003</v>
      </c>
      <c r="D2">
        <v>35.880000000000003</v>
      </c>
      <c r="E2" t="s">
        <v>31</v>
      </c>
      <c r="F2">
        <v>25.35</v>
      </c>
      <c r="G2">
        <v>25.9</v>
      </c>
      <c r="H2">
        <v>37.619999999999997</v>
      </c>
      <c r="I2">
        <v>35.51</v>
      </c>
      <c r="J2">
        <v>25.63</v>
      </c>
      <c r="K2">
        <v>27.18</v>
      </c>
      <c r="L2">
        <v>24.42</v>
      </c>
      <c r="M2">
        <v>25.6</v>
      </c>
    </row>
    <row r="3" spans="1:19" x14ac:dyDescent="0.3">
      <c r="A3" t="s">
        <v>43</v>
      </c>
      <c r="B3">
        <v>33.19</v>
      </c>
      <c r="C3">
        <v>28.22</v>
      </c>
      <c r="D3" t="s">
        <v>31</v>
      </c>
      <c r="E3">
        <v>29.14</v>
      </c>
      <c r="F3">
        <v>25.5</v>
      </c>
      <c r="G3">
        <v>24.57</v>
      </c>
      <c r="H3">
        <v>37.49</v>
      </c>
      <c r="I3">
        <v>34.15</v>
      </c>
      <c r="J3">
        <v>26.04</v>
      </c>
      <c r="K3">
        <v>26.6</v>
      </c>
      <c r="L3">
        <v>24.69</v>
      </c>
      <c r="M3">
        <v>24.97</v>
      </c>
    </row>
    <row r="4" spans="1:19" x14ac:dyDescent="0.3">
      <c r="A4" t="s">
        <v>44</v>
      </c>
      <c r="B4">
        <v>33.770000000000003</v>
      </c>
      <c r="C4">
        <v>36.090000000000003</v>
      </c>
      <c r="D4">
        <v>37.42</v>
      </c>
      <c r="E4">
        <v>33.549999999999997</v>
      </c>
      <c r="F4">
        <v>24.85</v>
      </c>
      <c r="G4">
        <v>25.33</v>
      </c>
      <c r="H4">
        <v>37.24</v>
      </c>
      <c r="I4">
        <v>32.29</v>
      </c>
      <c r="J4">
        <v>25.2</v>
      </c>
      <c r="K4">
        <v>26.36</v>
      </c>
      <c r="L4">
        <v>24.28</v>
      </c>
      <c r="M4">
        <v>24.73</v>
      </c>
    </row>
    <row r="5" spans="1:19" x14ac:dyDescent="0.3">
      <c r="A5" t="s">
        <v>45</v>
      </c>
      <c r="B5">
        <v>33.659999999999997</v>
      </c>
      <c r="C5">
        <v>34.08</v>
      </c>
      <c r="D5">
        <v>36.06</v>
      </c>
      <c r="E5">
        <v>34.869999999999997</v>
      </c>
      <c r="F5">
        <v>25.77</v>
      </c>
      <c r="G5">
        <v>24.84</v>
      </c>
      <c r="H5">
        <v>37.229999999999997</v>
      </c>
      <c r="I5">
        <v>32.69</v>
      </c>
      <c r="J5">
        <v>26.17</v>
      </c>
      <c r="K5">
        <v>26.17</v>
      </c>
      <c r="L5">
        <v>25.25</v>
      </c>
      <c r="M5">
        <v>24.48</v>
      </c>
    </row>
    <row r="6" spans="1:19" x14ac:dyDescent="0.3">
      <c r="A6" t="s">
        <v>46</v>
      </c>
      <c r="B6" t="s">
        <v>31</v>
      </c>
      <c r="C6">
        <v>24.9</v>
      </c>
      <c r="D6" t="s">
        <v>31</v>
      </c>
      <c r="E6">
        <v>24.17</v>
      </c>
      <c r="F6">
        <v>25.63</v>
      </c>
      <c r="G6">
        <v>22.15</v>
      </c>
      <c r="H6" t="s">
        <v>31</v>
      </c>
      <c r="I6">
        <v>29.51</v>
      </c>
      <c r="J6">
        <v>27.03</v>
      </c>
      <c r="K6">
        <v>24.99</v>
      </c>
      <c r="L6">
        <v>25.66</v>
      </c>
      <c r="M6">
        <v>23.12</v>
      </c>
    </row>
    <row r="7" spans="1:19" x14ac:dyDescent="0.3">
      <c r="A7" t="s">
        <v>47</v>
      </c>
      <c r="B7">
        <v>36.159999999999997</v>
      </c>
      <c r="C7">
        <v>26.5</v>
      </c>
      <c r="D7" t="s">
        <v>31</v>
      </c>
      <c r="E7">
        <v>26.04</v>
      </c>
      <c r="F7">
        <v>25.35</v>
      </c>
      <c r="G7">
        <v>23.09</v>
      </c>
      <c r="H7">
        <v>37.299999999999997</v>
      </c>
      <c r="I7">
        <v>29.14</v>
      </c>
      <c r="J7">
        <v>26.83</v>
      </c>
      <c r="K7">
        <v>25.55</v>
      </c>
      <c r="L7">
        <v>25.04</v>
      </c>
      <c r="M7">
        <v>23.89</v>
      </c>
    </row>
    <row r="8" spans="1:19" x14ac:dyDescent="0.3">
      <c r="A8" t="s">
        <v>48</v>
      </c>
      <c r="B8">
        <v>36.9</v>
      </c>
      <c r="C8">
        <v>28.39</v>
      </c>
      <c r="D8">
        <v>37.78</v>
      </c>
      <c r="E8">
        <v>27.37</v>
      </c>
      <c r="F8">
        <v>24.28</v>
      </c>
      <c r="G8">
        <v>24.19</v>
      </c>
      <c r="H8">
        <v>37.53</v>
      </c>
      <c r="I8">
        <v>30.64</v>
      </c>
      <c r="J8">
        <v>25.38</v>
      </c>
      <c r="K8">
        <v>26.23</v>
      </c>
      <c r="L8">
        <v>23.99</v>
      </c>
      <c r="M8">
        <v>24.55</v>
      </c>
    </row>
    <row r="9" spans="1:19" x14ac:dyDescent="0.3">
      <c r="A9" t="s">
        <v>49</v>
      </c>
      <c r="B9">
        <v>35.72</v>
      </c>
      <c r="C9">
        <v>24.23</v>
      </c>
      <c r="D9">
        <v>32.42</v>
      </c>
      <c r="E9">
        <v>23.75</v>
      </c>
      <c r="F9">
        <v>25.47</v>
      </c>
      <c r="G9">
        <v>22.45</v>
      </c>
      <c r="H9">
        <v>37.24</v>
      </c>
      <c r="I9">
        <v>28.69</v>
      </c>
      <c r="J9">
        <v>27.19</v>
      </c>
      <c r="K9">
        <v>25.73</v>
      </c>
      <c r="L9">
        <v>25.37</v>
      </c>
      <c r="M9">
        <v>24.36</v>
      </c>
    </row>
    <row r="11" spans="1:19" x14ac:dyDescent="0.3">
      <c r="A11" t="s">
        <v>50</v>
      </c>
      <c r="B11" t="s">
        <v>1</v>
      </c>
      <c r="C11" t="s">
        <v>53</v>
      </c>
      <c r="E11" s="2" t="s">
        <v>1</v>
      </c>
      <c r="F11" s="2"/>
      <c r="G11" s="2" t="s">
        <v>2</v>
      </c>
      <c r="H11" s="2"/>
      <c r="I11" s="2" t="s">
        <v>52</v>
      </c>
      <c r="J11" s="2"/>
      <c r="K11" s="2" t="s">
        <v>32</v>
      </c>
      <c r="L11" s="2"/>
    </row>
    <row r="12" spans="1:19" x14ac:dyDescent="0.3">
      <c r="A12" t="s">
        <v>12</v>
      </c>
      <c r="B12">
        <v>37.01</v>
      </c>
      <c r="C12">
        <f>2^(-(B12-B80))</f>
        <v>3.7521366730664413E-4</v>
      </c>
      <c r="D12" t="s">
        <v>54</v>
      </c>
      <c r="E12" t="s">
        <v>35</v>
      </c>
      <c r="F12" t="s">
        <v>36</v>
      </c>
      <c r="G12" t="s">
        <v>35</v>
      </c>
      <c r="H12" t="s">
        <v>36</v>
      </c>
      <c r="I12" t="s">
        <v>35</v>
      </c>
      <c r="J12" t="s">
        <v>36</v>
      </c>
      <c r="K12" t="s">
        <v>35</v>
      </c>
      <c r="L12" t="s">
        <v>36</v>
      </c>
    </row>
    <row r="13" spans="1:19" x14ac:dyDescent="0.3">
      <c r="A13" t="s">
        <v>13</v>
      </c>
      <c r="B13">
        <v>33.19</v>
      </c>
      <c r="C13">
        <f t="shared" ref="C13:C26" si="0">2^(-(B13-B81))</f>
        <v>7.0410192391471222E-3</v>
      </c>
      <c r="D13">
        <v>4</v>
      </c>
      <c r="E13">
        <f>AVERAGE(C12:C15)</f>
        <v>3.9025611407051612E-3</v>
      </c>
      <c r="F13">
        <f>STDEV(C12:C15)</f>
        <v>2.9812867867787056E-3</v>
      </c>
      <c r="G13">
        <f>AVERAGE(C29:C32)</f>
        <v>6.9491081082928953E-4</v>
      </c>
      <c r="H13">
        <f>STDEV(C29:C32)</f>
        <v>4.3609610438681258E-4</v>
      </c>
      <c r="I13">
        <f>AVERAGE(C46:C49)</f>
        <v>1.3155589849518778</v>
      </c>
      <c r="J13">
        <f>STDEV(C46:C49)</f>
        <v>0.10186501880448562</v>
      </c>
      <c r="K13">
        <f>AVERAGE(C63:C66)</f>
        <v>3.2728420605866477E-4</v>
      </c>
      <c r="L13">
        <f>STDEV(C63:C66)</f>
        <v>1.0881406715886956E-4</v>
      </c>
    </row>
    <row r="14" spans="1:19" x14ac:dyDescent="0.3">
      <c r="A14" t="s">
        <v>14</v>
      </c>
      <c r="B14">
        <v>33.770000000000003</v>
      </c>
      <c r="C14">
        <f t="shared" si="0"/>
        <v>2.6313155798157947E-3</v>
      </c>
      <c r="D14">
        <v>5</v>
      </c>
      <c r="E14">
        <f>AVERAGE(C16:C19)</f>
        <v>1.533195905051854E-3</v>
      </c>
      <c r="F14">
        <f>STDEV(C16:C19)</f>
        <v>1.1825235706832496E-3</v>
      </c>
      <c r="G14">
        <f>AVERAGE(C33:C36)</f>
        <v>1.3414932181341994E-2</v>
      </c>
      <c r="H14">
        <f>STDEV(C33:C36)</f>
        <v>1.8709915586167112E-2</v>
      </c>
      <c r="I14">
        <f>AVERAGE(C50:C53)</f>
        <v>2.7166035370973693</v>
      </c>
      <c r="J14">
        <f>STDEV(C50:C53)</f>
        <v>0.47382592237974608</v>
      </c>
      <c r="K14">
        <f>AVERAGE(C67:C70)</f>
        <v>6.2279086664674516E-4</v>
      </c>
      <c r="L14">
        <f>STDEV(C67:C70)</f>
        <v>3.6858149446821349E-4</v>
      </c>
      <c r="P14">
        <f>E16/E13</f>
        <v>154.23708064184709</v>
      </c>
      <c r="Q14">
        <f>F16/F13</f>
        <v>143.09203313283749</v>
      </c>
      <c r="R14">
        <f>I16/I13</f>
        <v>5.0336743781078592</v>
      </c>
      <c r="S14">
        <f>K16/K13</f>
        <v>230.825217463229</v>
      </c>
    </row>
    <row r="15" spans="1:19" x14ac:dyDescent="0.3">
      <c r="A15" t="s">
        <v>51</v>
      </c>
      <c r="B15">
        <v>33.659999999999997</v>
      </c>
      <c r="C15">
        <f t="shared" si="0"/>
        <v>5.5626960765510838E-3</v>
      </c>
      <c r="D15">
        <v>6</v>
      </c>
      <c r="E15">
        <f>AVERAGE(C20:C23)</f>
        <v>8.2940451828298831E-2</v>
      </c>
      <c r="F15">
        <f>STDEV(C20:C23)</f>
        <v>0.1616029634636014</v>
      </c>
      <c r="G15">
        <f>AVERAGE(C37:C40)</f>
        <v>6.0398596132521305E-2</v>
      </c>
      <c r="H15">
        <f>STDEV(C37:C40)</f>
        <v>9.6625602000949315E-2</v>
      </c>
      <c r="I15">
        <f>AVERAGE(C54:C57)</f>
        <v>2.7671223180192301</v>
      </c>
      <c r="J15">
        <f>STDEV(C54:C57)</f>
        <v>0.90163904259103567</v>
      </c>
      <c r="K15">
        <f>AVERAGE(C71:C74)</f>
        <v>8.9354793043968823E-3</v>
      </c>
      <c r="L15">
        <f>STDEV(C71:C74)</f>
        <v>5.958517688073115E-3</v>
      </c>
    </row>
    <row r="16" spans="1:19" x14ac:dyDescent="0.3">
      <c r="A16" t="s">
        <v>15</v>
      </c>
      <c r="B16" t="s">
        <v>31</v>
      </c>
      <c r="D16">
        <v>7</v>
      </c>
      <c r="E16">
        <f>AVERAGE(C24:C27)</f>
        <v>0.6019196373686807</v>
      </c>
      <c r="F16">
        <f>STDEV(C24:C27)</f>
        <v>0.42659838767222913</v>
      </c>
      <c r="G16">
        <f>AVERAGE(C41:C44)</f>
        <v>0.97706355601280759</v>
      </c>
      <c r="H16">
        <f>STDEV(C41:C44)</f>
        <v>0.69482956017598863</v>
      </c>
      <c r="I16">
        <f>AVERAGE(C58:C61)</f>
        <v>6.6220955554418506</v>
      </c>
      <c r="J16">
        <f>STDEV(C58:C61)</f>
        <v>2.4082661283557463</v>
      </c>
      <c r="K16">
        <f>AVERAGE(C75:C78)</f>
        <v>7.554544803577154E-2</v>
      </c>
      <c r="L16">
        <f>STDEV(C75:C78)</f>
        <v>3.9564064921017363E-2</v>
      </c>
    </row>
    <row r="17" spans="1:3" x14ac:dyDescent="0.3">
      <c r="A17" t="s">
        <v>16</v>
      </c>
      <c r="B17">
        <v>36.159999999999997</v>
      </c>
      <c r="C17">
        <f t="shared" si="0"/>
        <v>1.5537821948338271E-3</v>
      </c>
    </row>
    <row r="18" spans="1:3" x14ac:dyDescent="0.3">
      <c r="A18" t="s">
        <v>17</v>
      </c>
      <c r="B18">
        <v>36.9</v>
      </c>
      <c r="C18">
        <f t="shared" si="0"/>
        <v>3.4051359041757954E-4</v>
      </c>
    </row>
    <row r="19" spans="1:3" x14ac:dyDescent="0.3">
      <c r="A19" t="s">
        <v>18</v>
      </c>
      <c r="B19">
        <v>35.72</v>
      </c>
      <c r="C19">
        <f t="shared" si="0"/>
        <v>2.7052919299041553E-3</v>
      </c>
    </row>
    <row r="20" spans="1:3" x14ac:dyDescent="0.3">
      <c r="A20" t="s">
        <v>19</v>
      </c>
      <c r="B20">
        <v>37.020000000000003</v>
      </c>
      <c r="C20">
        <f t="shared" si="0"/>
        <v>1.0911007207736502E-3</v>
      </c>
    </row>
    <row r="21" spans="1:3" x14ac:dyDescent="0.3">
      <c r="A21" t="s">
        <v>20</v>
      </c>
      <c r="B21">
        <v>28.22</v>
      </c>
      <c r="C21">
        <f t="shared" si="0"/>
        <v>0.32533546386048395</v>
      </c>
    </row>
    <row r="22" spans="1:3" x14ac:dyDescent="0.3">
      <c r="A22" t="s">
        <v>21</v>
      </c>
      <c r="B22">
        <v>36.090000000000003</v>
      </c>
      <c r="C22">
        <f t="shared" si="0"/>
        <v>1.1775467067292552E-3</v>
      </c>
    </row>
    <row r="23" spans="1:3" x14ac:dyDescent="0.3">
      <c r="A23" t="s">
        <v>22</v>
      </c>
      <c r="B23">
        <v>34.08</v>
      </c>
      <c r="C23">
        <f t="shared" si="0"/>
        <v>4.157696025208448E-3</v>
      </c>
    </row>
    <row r="24" spans="1:3" x14ac:dyDescent="0.3">
      <c r="A24" t="s">
        <v>23</v>
      </c>
      <c r="B24">
        <v>24.9</v>
      </c>
      <c r="C24">
        <f t="shared" si="0"/>
        <v>1.0643701824533598</v>
      </c>
    </row>
    <row r="25" spans="1:3" x14ac:dyDescent="0.3">
      <c r="A25" t="s">
        <v>24</v>
      </c>
      <c r="B25">
        <v>26.5</v>
      </c>
      <c r="C25">
        <f t="shared" si="0"/>
        <v>0.51763246192068901</v>
      </c>
    </row>
    <row r="26" spans="1:3" x14ac:dyDescent="0.3">
      <c r="A26" t="s">
        <v>25</v>
      </c>
      <c r="B26">
        <v>28.39</v>
      </c>
      <c r="C26">
        <f t="shared" si="0"/>
        <v>0.22375626773199309</v>
      </c>
    </row>
    <row r="27" spans="1:3" x14ac:dyDescent="0.3">
      <c r="A27" t="s">
        <v>26</v>
      </c>
      <c r="B27">
        <v>24.23</v>
      </c>
    </row>
    <row r="28" spans="1:3" x14ac:dyDescent="0.3">
      <c r="A28" t="s">
        <v>2</v>
      </c>
    </row>
    <row r="29" spans="1:3" x14ac:dyDescent="0.3">
      <c r="A29" t="s">
        <v>12</v>
      </c>
      <c r="B29">
        <v>35.880000000000003</v>
      </c>
      <c r="C29">
        <f>2^(-(B29-B80))</f>
        <v>8.2118790552120383E-4</v>
      </c>
    </row>
    <row r="30" spans="1:3" x14ac:dyDescent="0.3">
      <c r="A30" t="s">
        <v>13</v>
      </c>
      <c r="B30" t="s">
        <v>31</v>
      </c>
    </row>
    <row r="31" spans="1:3" x14ac:dyDescent="0.3">
      <c r="A31" t="s">
        <v>14</v>
      </c>
      <c r="B31">
        <v>37.42</v>
      </c>
      <c r="C31">
        <f t="shared" ref="C31:C43" si="1">2^(-(B31-B82))</f>
        <v>2.0961070225531062E-4</v>
      </c>
    </row>
    <row r="32" spans="1:3" x14ac:dyDescent="0.3">
      <c r="A32" t="s">
        <v>51</v>
      </c>
      <c r="B32">
        <v>36.06</v>
      </c>
      <c r="C32">
        <f t="shared" si="1"/>
        <v>1.0539338247113541E-3</v>
      </c>
    </row>
    <row r="33" spans="1:3" x14ac:dyDescent="0.3">
      <c r="A33" t="s">
        <v>15</v>
      </c>
      <c r="B33" t="s">
        <v>31</v>
      </c>
    </row>
    <row r="34" spans="1:3" x14ac:dyDescent="0.3">
      <c r="A34" t="s">
        <v>16</v>
      </c>
      <c r="B34" t="s">
        <v>31</v>
      </c>
    </row>
    <row r="35" spans="1:3" x14ac:dyDescent="0.3">
      <c r="A35" t="s">
        <v>17</v>
      </c>
      <c r="B35">
        <v>37.78</v>
      </c>
      <c r="C35">
        <f t="shared" si="1"/>
        <v>1.8502399493535113E-4</v>
      </c>
    </row>
    <row r="36" spans="1:3" x14ac:dyDescent="0.3">
      <c r="A36" t="s">
        <v>18</v>
      </c>
      <c r="B36">
        <v>32.42</v>
      </c>
      <c r="C36">
        <f t="shared" si="1"/>
        <v>2.6644840367748637E-2</v>
      </c>
    </row>
    <row r="37" spans="1:3" x14ac:dyDescent="0.3">
      <c r="A37" t="s">
        <v>19</v>
      </c>
      <c r="B37" t="s">
        <v>31</v>
      </c>
    </row>
    <row r="38" spans="1:3" x14ac:dyDescent="0.3">
      <c r="A38" t="s">
        <v>20</v>
      </c>
      <c r="B38">
        <v>29.14</v>
      </c>
      <c r="C38">
        <f t="shared" si="1"/>
        <v>0.17194272726746809</v>
      </c>
    </row>
    <row r="39" spans="1:3" x14ac:dyDescent="0.3">
      <c r="A39" t="s">
        <v>21</v>
      </c>
      <c r="B39">
        <v>33.549999999999997</v>
      </c>
      <c r="C39">
        <f t="shared" si="1"/>
        <v>6.8484821977815337E-3</v>
      </c>
    </row>
    <row r="40" spans="1:3" x14ac:dyDescent="0.3">
      <c r="A40" t="s">
        <v>22</v>
      </c>
      <c r="B40">
        <v>34.869999999999997</v>
      </c>
      <c r="C40">
        <f t="shared" si="1"/>
        <v>2.4045789323142962E-3</v>
      </c>
    </row>
    <row r="41" spans="1:3" x14ac:dyDescent="0.3">
      <c r="A41" t="s">
        <v>23</v>
      </c>
      <c r="B41">
        <v>24.17</v>
      </c>
      <c r="C41">
        <f t="shared" si="1"/>
        <v>1.7654059925813057</v>
      </c>
    </row>
    <row r="42" spans="1:3" x14ac:dyDescent="0.3">
      <c r="A42" t="s">
        <v>24</v>
      </c>
      <c r="B42">
        <v>26.04</v>
      </c>
      <c r="C42">
        <f t="shared" si="1"/>
        <v>0.71202509779853662</v>
      </c>
    </row>
    <row r="43" spans="1:3" x14ac:dyDescent="0.3">
      <c r="A43" t="s">
        <v>25</v>
      </c>
      <c r="B43">
        <v>27.37</v>
      </c>
      <c r="C43">
        <f t="shared" si="1"/>
        <v>0.45375957765858027</v>
      </c>
    </row>
    <row r="44" spans="1:3" x14ac:dyDescent="0.3">
      <c r="A44" t="s">
        <v>26</v>
      </c>
      <c r="B44">
        <v>23.75</v>
      </c>
    </row>
    <row r="45" spans="1:3" x14ac:dyDescent="0.3">
      <c r="A45" t="s">
        <v>52</v>
      </c>
    </row>
    <row r="46" spans="1:3" x14ac:dyDescent="0.3">
      <c r="A46" t="s">
        <v>12</v>
      </c>
      <c r="B46">
        <v>25.35</v>
      </c>
      <c r="C46">
        <f>2^(-(B46-B80))</f>
        <v>1.2141948843950447</v>
      </c>
    </row>
    <row r="47" spans="1:3" x14ac:dyDescent="0.3">
      <c r="A47" t="s">
        <v>13</v>
      </c>
      <c r="B47">
        <v>25.5</v>
      </c>
      <c r="C47">
        <f t="shared" ref="C47:C61" si="2">2^(-(B47-B81))</f>
        <v>1.4539725173203097</v>
      </c>
    </row>
    <row r="48" spans="1:3" x14ac:dyDescent="0.3">
      <c r="A48" t="s">
        <v>14</v>
      </c>
      <c r="B48">
        <v>24.85</v>
      </c>
      <c r="C48">
        <f t="shared" si="2"/>
        <v>1.2745606273192602</v>
      </c>
    </row>
    <row r="49" spans="1:3" x14ac:dyDescent="0.3">
      <c r="A49" t="s">
        <v>51</v>
      </c>
      <c r="B49">
        <v>25.77</v>
      </c>
      <c r="C49">
        <f t="shared" si="2"/>
        <v>1.3195079107728962</v>
      </c>
    </row>
    <row r="50" spans="1:3" x14ac:dyDescent="0.3">
      <c r="A50" t="s">
        <v>15</v>
      </c>
      <c r="B50">
        <v>25.63</v>
      </c>
      <c r="C50">
        <f t="shared" si="2"/>
        <v>2.6390158215457924</v>
      </c>
    </row>
    <row r="51" spans="1:3" x14ac:dyDescent="0.3">
      <c r="A51" t="s">
        <v>16</v>
      </c>
      <c r="B51">
        <v>25.35</v>
      </c>
      <c r="C51">
        <f t="shared" si="2"/>
        <v>2.789487332700805</v>
      </c>
    </row>
    <row r="52" spans="1:3" x14ac:dyDescent="0.3">
      <c r="A52" t="s">
        <v>17</v>
      </c>
      <c r="B52">
        <v>24.28</v>
      </c>
      <c r="C52">
        <f t="shared" si="2"/>
        <v>2.1435469250725832</v>
      </c>
    </row>
    <row r="53" spans="1:3" x14ac:dyDescent="0.3">
      <c r="A53" t="s">
        <v>18</v>
      </c>
      <c r="B53">
        <v>25.47</v>
      </c>
      <c r="C53">
        <f t="shared" si="2"/>
        <v>3.2943640690702978</v>
      </c>
    </row>
    <row r="54" spans="1:3" x14ac:dyDescent="0.3">
      <c r="A54" t="s">
        <v>19</v>
      </c>
      <c r="B54">
        <v>25.9</v>
      </c>
      <c r="C54">
        <f t="shared" si="2"/>
        <v>2.4283897687900957</v>
      </c>
    </row>
    <row r="55" spans="1:3" x14ac:dyDescent="0.3">
      <c r="A55" t="s">
        <v>20</v>
      </c>
      <c r="B55">
        <v>24.57</v>
      </c>
      <c r="C55">
        <f t="shared" si="2"/>
        <v>4.0840485028287761</v>
      </c>
    </row>
    <row r="56" spans="1:3" x14ac:dyDescent="0.3">
      <c r="A56" t="s">
        <v>21</v>
      </c>
      <c r="B56">
        <v>25.33</v>
      </c>
      <c r="C56">
        <f t="shared" si="2"/>
        <v>2.042024251414388</v>
      </c>
    </row>
    <row r="57" spans="1:3" x14ac:dyDescent="0.3">
      <c r="A57" t="s">
        <v>22</v>
      </c>
      <c r="B57">
        <v>24.84</v>
      </c>
      <c r="C57">
        <f t="shared" si="2"/>
        <v>2.5140267490436599</v>
      </c>
    </row>
    <row r="58" spans="1:3" x14ac:dyDescent="0.3">
      <c r="A58" t="s">
        <v>23</v>
      </c>
      <c r="B58">
        <v>22.15</v>
      </c>
      <c r="C58">
        <f t="shared" si="2"/>
        <v>7.1602005674237779</v>
      </c>
    </row>
    <row r="59" spans="1:3" x14ac:dyDescent="0.3">
      <c r="A59" t="s">
        <v>24</v>
      </c>
      <c r="B59">
        <v>23.09</v>
      </c>
      <c r="C59">
        <f t="shared" si="2"/>
        <v>5.5021672725589772</v>
      </c>
    </row>
    <row r="60" spans="1:3" x14ac:dyDescent="0.3">
      <c r="A60" t="s">
        <v>25</v>
      </c>
      <c r="B60">
        <v>24.19</v>
      </c>
      <c r="C60">
        <f t="shared" si="2"/>
        <v>4.1124553066242635</v>
      </c>
    </row>
    <row r="61" spans="1:3" x14ac:dyDescent="0.3">
      <c r="A61" t="s">
        <v>26</v>
      </c>
      <c r="B61">
        <v>22.45</v>
      </c>
      <c r="C61">
        <f t="shared" si="2"/>
        <v>9.7135590751603811</v>
      </c>
    </row>
    <row r="62" spans="1:3" x14ac:dyDescent="0.3">
      <c r="A62" t="s">
        <v>32</v>
      </c>
    </row>
    <row r="63" spans="1:3" x14ac:dyDescent="0.3">
      <c r="A63" t="s">
        <v>12</v>
      </c>
      <c r="B63">
        <v>37.619999999999997</v>
      </c>
      <c r="C63">
        <f>2^(-(B63-B80))</f>
        <v>2.4583875733806657E-4</v>
      </c>
    </row>
    <row r="64" spans="1:3" x14ac:dyDescent="0.3">
      <c r="A64" t="s">
        <v>13</v>
      </c>
      <c r="B64">
        <v>37.49</v>
      </c>
      <c r="C64">
        <f t="shared" ref="C64:C78" si="3">2^(-(B64-B81))</f>
        <v>3.5744279686172447E-4</v>
      </c>
    </row>
    <row r="65" spans="1:3" x14ac:dyDescent="0.3">
      <c r="A65" t="s">
        <v>14</v>
      </c>
      <c r="B65">
        <v>37.24</v>
      </c>
      <c r="C65">
        <f t="shared" si="3"/>
        <v>2.3746458677057701E-4</v>
      </c>
    </row>
    <row r="66" spans="1:3" x14ac:dyDescent="0.3">
      <c r="A66" t="s">
        <v>51</v>
      </c>
      <c r="B66">
        <v>37.229999999999997</v>
      </c>
      <c r="C66">
        <f t="shared" si="3"/>
        <v>4.6839068326429096E-4</v>
      </c>
    </row>
    <row r="67" spans="1:3" x14ac:dyDescent="0.3">
      <c r="A67" t="s">
        <v>15</v>
      </c>
      <c r="B67" t="s">
        <v>31</v>
      </c>
    </row>
    <row r="68" spans="1:3" x14ac:dyDescent="0.3">
      <c r="A68" t="s">
        <v>16</v>
      </c>
      <c r="B68">
        <v>37.299999999999997</v>
      </c>
      <c r="C68">
        <f t="shared" si="3"/>
        <v>7.0504355250121929E-4</v>
      </c>
    </row>
    <row r="69" spans="1:3" x14ac:dyDescent="0.3">
      <c r="A69" t="s">
        <v>17</v>
      </c>
      <c r="B69">
        <v>37.53</v>
      </c>
      <c r="C69">
        <f t="shared" si="3"/>
        <v>2.2003185122334708E-4</v>
      </c>
    </row>
    <row r="70" spans="1:3" x14ac:dyDescent="0.3">
      <c r="A70" t="s">
        <v>18</v>
      </c>
      <c r="B70">
        <v>37.24</v>
      </c>
      <c r="C70">
        <f t="shared" si="3"/>
        <v>9.4329719621566899E-4</v>
      </c>
    </row>
    <row r="71" spans="1:3" x14ac:dyDescent="0.3">
      <c r="A71" t="s">
        <v>19</v>
      </c>
      <c r="B71">
        <v>35.51</v>
      </c>
      <c r="C71">
        <f t="shared" si="3"/>
        <v>3.1075643896676546E-3</v>
      </c>
    </row>
    <row r="72" spans="1:3" x14ac:dyDescent="0.3">
      <c r="A72" t="s">
        <v>20</v>
      </c>
      <c r="B72">
        <v>34.15</v>
      </c>
      <c r="C72">
        <f t="shared" si="3"/>
        <v>5.3360947529468702E-3</v>
      </c>
    </row>
    <row r="73" spans="1:3" x14ac:dyDescent="0.3">
      <c r="A73" t="s">
        <v>21</v>
      </c>
      <c r="B73">
        <v>32.29</v>
      </c>
      <c r="C73">
        <f t="shared" si="3"/>
        <v>1.6401823181610431E-2</v>
      </c>
    </row>
    <row r="74" spans="1:3" x14ac:dyDescent="0.3">
      <c r="A74" t="s">
        <v>22</v>
      </c>
      <c r="B74">
        <v>32.69</v>
      </c>
      <c r="C74">
        <f t="shared" si="3"/>
        <v>1.0896434893362578E-2</v>
      </c>
    </row>
    <row r="75" spans="1:3" x14ac:dyDescent="0.3">
      <c r="A75" t="s">
        <v>23</v>
      </c>
      <c r="B75">
        <v>29.51</v>
      </c>
      <c r="C75">
        <f t="shared" si="3"/>
        <v>4.358573957345007E-2</v>
      </c>
    </row>
    <row r="76" spans="1:3" x14ac:dyDescent="0.3">
      <c r="A76" t="s">
        <v>24</v>
      </c>
      <c r="B76">
        <v>29.14</v>
      </c>
      <c r="C76">
        <f t="shared" si="3"/>
        <v>8.3042863381032006E-2</v>
      </c>
    </row>
    <row r="77" spans="1:3" x14ac:dyDescent="0.3">
      <c r="A77" t="s">
        <v>25</v>
      </c>
      <c r="B77">
        <v>30.64</v>
      </c>
      <c r="C77">
        <f t="shared" si="3"/>
        <v>4.7038960856595841E-2</v>
      </c>
    </row>
    <row r="78" spans="1:3" x14ac:dyDescent="0.3">
      <c r="A78" t="s">
        <v>26</v>
      </c>
      <c r="B78">
        <v>28.69</v>
      </c>
      <c r="C78">
        <f t="shared" si="3"/>
        <v>0.12851422833200823</v>
      </c>
    </row>
    <row r="79" spans="1:3" x14ac:dyDescent="0.3">
      <c r="A79" t="s">
        <v>0</v>
      </c>
    </row>
    <row r="80" spans="1:3" x14ac:dyDescent="0.3">
      <c r="A80" t="s">
        <v>12</v>
      </c>
      <c r="B80">
        <v>25.63</v>
      </c>
    </row>
    <row r="81" spans="1:2" x14ac:dyDescent="0.3">
      <c r="A81" t="s">
        <v>13</v>
      </c>
      <c r="B81">
        <v>26.04</v>
      </c>
    </row>
    <row r="82" spans="1:2" x14ac:dyDescent="0.3">
      <c r="A82" t="s">
        <v>14</v>
      </c>
      <c r="B82">
        <v>25.2</v>
      </c>
    </row>
    <row r="83" spans="1:2" x14ac:dyDescent="0.3">
      <c r="A83" t="s">
        <v>51</v>
      </c>
      <c r="B83">
        <v>26.17</v>
      </c>
    </row>
    <row r="84" spans="1:2" x14ac:dyDescent="0.3">
      <c r="A84" t="s">
        <v>15</v>
      </c>
      <c r="B84">
        <v>27.03</v>
      </c>
    </row>
    <row r="85" spans="1:2" x14ac:dyDescent="0.3">
      <c r="A85" t="s">
        <v>16</v>
      </c>
      <c r="B85">
        <v>26.83</v>
      </c>
    </row>
    <row r="86" spans="1:2" x14ac:dyDescent="0.3">
      <c r="A86" t="s">
        <v>17</v>
      </c>
      <c r="B86">
        <v>25.38</v>
      </c>
    </row>
    <row r="87" spans="1:2" x14ac:dyDescent="0.3">
      <c r="A87" t="s">
        <v>18</v>
      </c>
      <c r="B87">
        <v>27.19</v>
      </c>
    </row>
    <row r="88" spans="1:2" x14ac:dyDescent="0.3">
      <c r="A88" t="s">
        <v>19</v>
      </c>
      <c r="B88">
        <v>27.18</v>
      </c>
    </row>
    <row r="89" spans="1:2" x14ac:dyDescent="0.3">
      <c r="A89" t="s">
        <v>20</v>
      </c>
      <c r="B89">
        <v>26.6</v>
      </c>
    </row>
    <row r="90" spans="1:2" x14ac:dyDescent="0.3">
      <c r="A90" t="s">
        <v>21</v>
      </c>
      <c r="B90">
        <v>26.36</v>
      </c>
    </row>
    <row r="91" spans="1:2" x14ac:dyDescent="0.3">
      <c r="A91" t="s">
        <v>22</v>
      </c>
      <c r="B91">
        <v>26.17</v>
      </c>
    </row>
    <row r="92" spans="1:2" x14ac:dyDescent="0.3">
      <c r="A92" t="s">
        <v>23</v>
      </c>
      <c r="B92">
        <v>24.99</v>
      </c>
    </row>
    <row r="93" spans="1:2" x14ac:dyDescent="0.3">
      <c r="A93" t="s">
        <v>24</v>
      </c>
      <c r="B93">
        <v>25.55</v>
      </c>
    </row>
    <row r="94" spans="1:2" x14ac:dyDescent="0.3">
      <c r="A94" t="s">
        <v>25</v>
      </c>
      <c r="B94">
        <v>26.23</v>
      </c>
    </row>
    <row r="95" spans="1:2" x14ac:dyDescent="0.3">
      <c r="A95" t="s">
        <v>26</v>
      </c>
      <c r="B95">
        <v>25.73</v>
      </c>
    </row>
    <row r="96" spans="1:2" x14ac:dyDescent="0.3">
      <c r="A96" t="s">
        <v>39</v>
      </c>
    </row>
    <row r="97" spans="1:2" x14ac:dyDescent="0.3">
      <c r="A97" t="s">
        <v>12</v>
      </c>
      <c r="B97">
        <v>24.42</v>
      </c>
    </row>
    <row r="98" spans="1:2" x14ac:dyDescent="0.3">
      <c r="A98" t="s">
        <v>13</v>
      </c>
      <c r="B98">
        <v>24.69</v>
      </c>
    </row>
    <row r="99" spans="1:2" x14ac:dyDescent="0.3">
      <c r="A99" t="s">
        <v>14</v>
      </c>
      <c r="B99">
        <v>24.28</v>
      </c>
    </row>
    <row r="100" spans="1:2" x14ac:dyDescent="0.3">
      <c r="A100" t="s">
        <v>51</v>
      </c>
      <c r="B100">
        <v>25.25</v>
      </c>
    </row>
    <row r="101" spans="1:2" x14ac:dyDescent="0.3">
      <c r="A101" t="s">
        <v>15</v>
      </c>
      <c r="B101">
        <v>25.66</v>
      </c>
    </row>
    <row r="102" spans="1:2" x14ac:dyDescent="0.3">
      <c r="A102" t="s">
        <v>16</v>
      </c>
      <c r="B102">
        <v>25.04</v>
      </c>
    </row>
    <row r="103" spans="1:2" x14ac:dyDescent="0.3">
      <c r="A103" t="s">
        <v>17</v>
      </c>
      <c r="B103">
        <v>23.99</v>
      </c>
    </row>
    <row r="104" spans="1:2" x14ac:dyDescent="0.3">
      <c r="A104" t="s">
        <v>18</v>
      </c>
      <c r="B104">
        <v>25.37</v>
      </c>
    </row>
    <row r="105" spans="1:2" x14ac:dyDescent="0.3">
      <c r="A105" t="s">
        <v>19</v>
      </c>
      <c r="B105">
        <v>25.6</v>
      </c>
    </row>
    <row r="106" spans="1:2" x14ac:dyDescent="0.3">
      <c r="A106" t="s">
        <v>20</v>
      </c>
      <c r="B106">
        <v>24.97</v>
      </c>
    </row>
    <row r="107" spans="1:2" x14ac:dyDescent="0.3">
      <c r="A107" t="s">
        <v>21</v>
      </c>
      <c r="B107">
        <v>24.73</v>
      </c>
    </row>
    <row r="108" spans="1:2" x14ac:dyDescent="0.3">
      <c r="A108" t="s">
        <v>22</v>
      </c>
      <c r="B108">
        <v>24.48</v>
      </c>
    </row>
    <row r="109" spans="1:2" x14ac:dyDescent="0.3">
      <c r="A109" t="s">
        <v>23</v>
      </c>
      <c r="B109">
        <v>23.12</v>
      </c>
    </row>
    <row r="110" spans="1:2" x14ac:dyDescent="0.3">
      <c r="A110" t="s">
        <v>24</v>
      </c>
      <c r="B110">
        <v>23.89</v>
      </c>
    </row>
    <row r="111" spans="1:2" x14ac:dyDescent="0.3">
      <c r="A111" t="s">
        <v>25</v>
      </c>
      <c r="B111">
        <v>24.55</v>
      </c>
    </row>
    <row r="112" spans="1:2" x14ac:dyDescent="0.3">
      <c r="A112" t="s">
        <v>26</v>
      </c>
      <c r="B112">
        <v>24.36</v>
      </c>
    </row>
  </sheetData>
  <mergeCells count="4">
    <mergeCell ref="E11:F11"/>
    <mergeCell ref="G11:H11"/>
    <mergeCell ref="I11:J11"/>
    <mergeCell ref="K11:L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AD7F-9C0C-42EF-912D-B613C960CA5A}">
  <dimension ref="A1"/>
  <sheetViews>
    <sheetView workbookViewId="0">
      <selection activeCell="D38" sqref="D38"/>
    </sheetView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2022-04-27</vt:lpstr>
      <vt:lpstr>2022-06-07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2023-03-06T18:18:42Z</dcterms:modified>
</cp:coreProperties>
</file>