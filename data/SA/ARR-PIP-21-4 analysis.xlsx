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https://d.docs.live.net/ee79a4e02b04ab15/Documents/Cameron Lab- McMaster University/Data/Data-ARR RNA-seq/Exp-ARR-Expr/Intercellular SA/"/>
    </mc:Choice>
  </mc:AlternateContent>
  <xr:revisionPtr revIDLastSave="861" documentId="11_F25DC773A252ABDACC104811D99E70BC5BDE58EF" xr6:coauthVersionLast="47" xr6:coauthVersionMax="47" xr10:uidLastSave="{ED68428C-8735-4910-8ECD-237CAEE29298}"/>
  <bookViews>
    <workbookView xWindow="-108" yWindow="-108" windowWidth="23256" windowHeight="12456" xr2:uid="{00000000-000D-0000-FFFF-FFFF00000000}"/>
  </bookViews>
  <sheets>
    <sheet name="Chll contamination" sheetId="1" r:id="rId1"/>
    <sheet name="SA 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8" i="2" l="1"/>
  <c r="S13" i="2"/>
  <c r="T13" i="2"/>
  <c r="U13" i="2"/>
  <c r="V13" i="2"/>
  <c r="W13" i="2"/>
  <c r="X13" i="2"/>
  <c r="Y13" i="2"/>
  <c r="Z13" i="2"/>
  <c r="AA13" i="2"/>
  <c r="AB13" i="2"/>
  <c r="AC13" i="2"/>
  <c r="AD13" i="2"/>
  <c r="S14" i="2"/>
  <c r="T14" i="2"/>
  <c r="U14" i="2"/>
  <c r="V14" i="2"/>
  <c r="W14" i="2"/>
  <c r="X14" i="2"/>
  <c r="Y14" i="2"/>
  <c r="Z14" i="2"/>
  <c r="AA14" i="2"/>
  <c r="AB14" i="2"/>
  <c r="AC14" i="2"/>
  <c r="AD14" i="2"/>
  <c r="S15" i="2"/>
  <c r="T15" i="2"/>
  <c r="U15" i="2"/>
  <c r="V15" i="2"/>
  <c r="W15" i="2"/>
  <c r="X15" i="2"/>
  <c r="Y15" i="2"/>
  <c r="Z15" i="2"/>
  <c r="AA15" i="2"/>
  <c r="AB15" i="2"/>
  <c r="AC15" i="2"/>
  <c r="AD15" i="2"/>
  <c r="S16" i="2"/>
  <c r="T16" i="2"/>
  <c r="U16" i="2"/>
  <c r="V16" i="2"/>
  <c r="W16" i="2"/>
  <c r="X16" i="2"/>
  <c r="Y16" i="2"/>
  <c r="Z16" i="2"/>
  <c r="AA16" i="2"/>
  <c r="AB16" i="2"/>
  <c r="AC16" i="2"/>
  <c r="AD16" i="2"/>
  <c r="S17" i="2"/>
  <c r="T17" i="2"/>
  <c r="U17" i="2"/>
  <c r="V17" i="2"/>
  <c r="W17" i="2"/>
  <c r="X17" i="2"/>
  <c r="Y17" i="2"/>
  <c r="Z17" i="2"/>
  <c r="AA17" i="2"/>
  <c r="AB17" i="2"/>
  <c r="AC17" i="2"/>
  <c r="AD17" i="2"/>
  <c r="S18" i="2"/>
  <c r="T18" i="2"/>
  <c r="U18" i="2"/>
  <c r="V18" i="2"/>
  <c r="W18" i="2"/>
  <c r="X18" i="2"/>
  <c r="Y18" i="2"/>
  <c r="Z18" i="2"/>
  <c r="AA18" i="2"/>
  <c r="AB18" i="2"/>
  <c r="AC18" i="2"/>
  <c r="AD18" i="2"/>
  <c r="S19" i="2"/>
  <c r="T19" i="2"/>
  <c r="U19" i="2"/>
  <c r="V19" i="2"/>
  <c r="W19" i="2"/>
  <c r="X19" i="2"/>
  <c r="Y19" i="2"/>
  <c r="Z19" i="2"/>
  <c r="AA19" i="2"/>
  <c r="AB19" i="2"/>
  <c r="AC19" i="2"/>
  <c r="AD19" i="2"/>
  <c r="T12" i="2"/>
  <c r="U12" i="2"/>
  <c r="V12" i="2"/>
  <c r="W12" i="2"/>
  <c r="X12" i="2"/>
  <c r="Y12" i="2"/>
  <c r="Z12" i="2"/>
  <c r="AA12" i="2"/>
  <c r="AB12" i="2"/>
  <c r="AC12" i="2"/>
  <c r="AD12" i="2"/>
  <c r="S12" i="2"/>
  <c r="B14" i="2"/>
  <c r="C14" i="2"/>
  <c r="D14" i="2"/>
  <c r="E14" i="2"/>
  <c r="F14" i="2"/>
  <c r="G14" i="2"/>
  <c r="H14" i="2"/>
  <c r="I14" i="2"/>
  <c r="J14" i="2"/>
  <c r="K14" i="2"/>
  <c r="L14" i="2"/>
  <c r="M14" i="2"/>
  <c r="B15" i="2"/>
  <c r="C15" i="2"/>
  <c r="D15" i="2"/>
  <c r="E15" i="2"/>
  <c r="F15" i="2"/>
  <c r="G15" i="2"/>
  <c r="H15" i="2"/>
  <c r="I15" i="2"/>
  <c r="J15" i="2"/>
  <c r="K15" i="2"/>
  <c r="L15" i="2"/>
  <c r="M15" i="2"/>
  <c r="B16" i="2"/>
  <c r="C16" i="2"/>
  <c r="D16" i="2"/>
  <c r="E16" i="2"/>
  <c r="F16" i="2"/>
  <c r="G16" i="2"/>
  <c r="H16" i="2"/>
  <c r="I16" i="2"/>
  <c r="J16" i="2"/>
  <c r="K16" i="2"/>
  <c r="L16" i="2"/>
  <c r="M16" i="2"/>
  <c r="B17" i="2"/>
  <c r="C17" i="2"/>
  <c r="D17" i="2"/>
  <c r="E17" i="2"/>
  <c r="F17" i="2"/>
  <c r="G17" i="2"/>
  <c r="H17" i="2"/>
  <c r="I17" i="2"/>
  <c r="J17" i="2"/>
  <c r="K17" i="2"/>
  <c r="L17" i="2"/>
  <c r="M17" i="2"/>
  <c r="B18" i="2"/>
  <c r="C18" i="2"/>
  <c r="D18" i="2"/>
  <c r="E18" i="2"/>
  <c r="F18" i="2"/>
  <c r="G18" i="2"/>
  <c r="H18" i="2"/>
  <c r="I18" i="2"/>
  <c r="J18" i="2"/>
  <c r="K18" i="2"/>
  <c r="L18" i="2"/>
  <c r="M18" i="2"/>
  <c r="B19" i="2"/>
  <c r="C19" i="2"/>
  <c r="D19" i="2"/>
  <c r="E19" i="2"/>
  <c r="F19" i="2"/>
  <c r="G19" i="2"/>
  <c r="H19" i="2"/>
  <c r="I19" i="2"/>
  <c r="J19" i="2"/>
  <c r="K19" i="2"/>
  <c r="L19" i="2"/>
  <c r="M19" i="2"/>
  <c r="B13" i="2"/>
  <c r="B20" i="2" s="1"/>
  <c r="C13" i="2"/>
  <c r="D13" i="2"/>
  <c r="E13" i="2"/>
  <c r="F13" i="2"/>
  <c r="G13" i="2"/>
  <c r="H13" i="2"/>
  <c r="I13" i="2"/>
  <c r="J13" i="2"/>
  <c r="K13" i="2"/>
  <c r="L13" i="2"/>
  <c r="M13" i="2"/>
  <c r="C12" i="2"/>
  <c r="D12" i="2"/>
  <c r="E12" i="2"/>
  <c r="F12" i="2"/>
  <c r="G12" i="2"/>
  <c r="H12" i="2"/>
  <c r="I12" i="2"/>
  <c r="J12" i="2"/>
  <c r="K12" i="2"/>
  <c r="L12" i="2"/>
  <c r="M12" i="2"/>
  <c r="B12" i="2"/>
  <c r="Y31" i="2"/>
  <c r="Z31" i="2"/>
  <c r="AA31" i="2"/>
  <c r="Y32" i="2"/>
  <c r="Z32" i="2"/>
  <c r="AA32" i="2"/>
  <c r="G6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2" i="1"/>
  <c r="G2" i="1" s="1"/>
  <c r="H2" i="1" l="1"/>
  <c r="H3" i="1"/>
  <c r="H4" i="1"/>
  <c r="H5" i="1"/>
  <c r="H6" i="1"/>
  <c r="H7" i="1"/>
  <c r="H8" i="1"/>
  <c r="H9" i="1"/>
  <c r="H10" i="1"/>
  <c r="H11" i="1"/>
  <c r="H12" i="1"/>
  <c r="H13" i="1"/>
  <c r="N32" i="2"/>
  <c r="O32" i="2"/>
  <c r="P32" i="2"/>
  <c r="Q32" i="2"/>
  <c r="R32" i="2"/>
  <c r="S32" i="2"/>
  <c r="T32" i="2"/>
  <c r="U32" i="2"/>
  <c r="V32" i="2"/>
  <c r="W32" i="2"/>
  <c r="X32" i="2"/>
  <c r="M32" i="2"/>
  <c r="N31" i="2"/>
  <c r="O31" i="2"/>
  <c r="P31" i="2"/>
  <c r="Q31" i="2"/>
  <c r="R31" i="2"/>
  <c r="S31" i="2"/>
  <c r="T31" i="2"/>
  <c r="U31" i="2"/>
  <c r="V31" i="2"/>
  <c r="W31" i="2"/>
  <c r="X31" i="2"/>
  <c r="M31" i="2"/>
  <c r="H29" i="1" l="1"/>
  <c r="H40" i="1"/>
  <c r="H41" i="1"/>
  <c r="H14" i="1" l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0" i="1"/>
  <c r="H31" i="1"/>
  <c r="H32" i="1"/>
  <c r="H33" i="1"/>
  <c r="H34" i="1"/>
  <c r="H35" i="1"/>
  <c r="H36" i="1"/>
  <c r="H37" i="1"/>
  <c r="H38" i="1"/>
  <c r="H39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</calcChain>
</file>

<file path=xl/sharedStrings.xml><?xml version="1.0" encoding="utf-8"?>
<sst xmlns="http://schemas.openxmlformats.org/spreadsheetml/2006/main" count="155" uniqueCount="55">
  <si>
    <t>Sample</t>
  </si>
  <si>
    <t>Col-0 1</t>
  </si>
  <si>
    <t>Col-0 2</t>
  </si>
  <si>
    <t>Col-0 3</t>
  </si>
  <si>
    <t>Col-0 4</t>
  </si>
  <si>
    <t>ald1-T2 1</t>
  </si>
  <si>
    <t>ald1-T2 2</t>
  </si>
  <si>
    <t>ald1-T2 3</t>
  </si>
  <si>
    <t>ald1-T2 4</t>
  </si>
  <si>
    <t>fmo1-1 1</t>
  </si>
  <si>
    <t>fmo1-1 2</t>
  </si>
  <si>
    <t>fmo1-1 3</t>
  </si>
  <si>
    <t>fmo1-1 4</t>
  </si>
  <si>
    <t>Tube weight (mg)</t>
  </si>
  <si>
    <t>OD664</t>
  </si>
  <si>
    <t>OD700</t>
  </si>
  <si>
    <t>OD664-OD700/2</t>
  </si>
  <si>
    <t>Normalized to 1 ml</t>
  </si>
  <si>
    <t>M Unt</t>
  </si>
  <si>
    <t>M 12 hpi</t>
  </si>
  <si>
    <t>M 24 hpi</t>
  </si>
  <si>
    <t>M 48 hpi</t>
  </si>
  <si>
    <t>Plate 1 r1</t>
  </si>
  <si>
    <t>A</t>
  </si>
  <si>
    <t>high:Lum</t>
  </si>
  <si>
    <t>B</t>
  </si>
  <si>
    <t>C</t>
  </si>
  <si>
    <t>D</t>
  </si>
  <si>
    <t>E</t>
  </si>
  <si>
    <t>F</t>
  </si>
  <si>
    <t>G</t>
  </si>
  <si>
    <t>H</t>
  </si>
  <si>
    <t>SA conc</t>
  </si>
  <si>
    <t>Plate 1 SA levels</t>
  </si>
  <si>
    <t>M.Un</t>
  </si>
  <si>
    <t>M.12</t>
  </si>
  <si>
    <t>M.24</t>
  </si>
  <si>
    <t>M.48</t>
  </si>
  <si>
    <t>Col-0</t>
  </si>
  <si>
    <t>ald1-T2</t>
  </si>
  <si>
    <t>fmo1-1</t>
  </si>
  <si>
    <t>Rep</t>
  </si>
  <si>
    <t>Average</t>
  </si>
  <si>
    <t>Stdev</t>
  </si>
  <si>
    <t>ng SA per ml IWF with chll contaminated samples removed</t>
  </si>
  <si>
    <t>Is it high (automatic)</t>
  </si>
  <si>
    <t>M 18 hpi</t>
  </si>
  <si>
    <t>M.18</t>
  </si>
  <si>
    <t>SA in well amount</t>
  </si>
  <si>
    <t>High lum\</t>
  </si>
  <si>
    <t>High lum std curve</t>
  </si>
  <si>
    <t>low lum std curve</t>
  </si>
  <si>
    <t>`20 ul per well (1 part IWF:2.5 parts buffer) therefore 20/3.5 = 5.71 ul of IWF per well</t>
  </si>
  <si>
    <t>`Using high sensitivity luminscence curve diagram below</t>
  </si>
  <si>
    <t>`Therefore to bring up SA to SA/ml IWF need to multiply by 1000ul/5.71 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</si>
</sst>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 inden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'SA analysis'!$A$24:$A$31</c:f>
              <c:numCache>
                <c:formatCode>General</c:formatCode>
                <c:ptCount val="8"/>
                <c:pt idx="0">
                  <c:v>16</c:v>
                </c:pt>
                <c:pt idx="1">
                  <c:v>8</c:v>
                </c:pt>
                <c:pt idx="2">
                  <c:v>3.2</c:v>
                </c:pt>
                <c:pt idx="3">
                  <c:v>1.6</c:v>
                </c:pt>
                <c:pt idx="4">
                  <c:v>16</c:v>
                </c:pt>
                <c:pt idx="5">
                  <c:v>8</c:v>
                </c:pt>
                <c:pt idx="6">
                  <c:v>3.2</c:v>
                </c:pt>
                <c:pt idx="7">
                  <c:v>1.6</c:v>
                </c:pt>
              </c:numCache>
            </c:numRef>
          </c:xVal>
          <c:yVal>
            <c:numRef>
              <c:f>'SA analysis'!$B$24:$B$31</c:f>
              <c:numCache>
                <c:formatCode>General</c:formatCode>
                <c:ptCount val="8"/>
                <c:pt idx="0">
                  <c:v>1527</c:v>
                </c:pt>
                <c:pt idx="1">
                  <c:v>889</c:v>
                </c:pt>
                <c:pt idx="2">
                  <c:v>430</c:v>
                </c:pt>
                <c:pt idx="3">
                  <c:v>294</c:v>
                </c:pt>
                <c:pt idx="4">
                  <c:v>1560</c:v>
                </c:pt>
                <c:pt idx="5">
                  <c:v>937</c:v>
                </c:pt>
                <c:pt idx="6">
                  <c:v>404</c:v>
                </c:pt>
                <c:pt idx="7">
                  <c:v>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72-4F7F-B5A3-50A2DBA79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801424"/>
        <c:axId val="611802408"/>
      </c:scatterChart>
      <c:valAx>
        <c:axId val="61180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802408"/>
        <c:crosses val="autoZero"/>
        <c:crossBetween val="midCat"/>
      </c:valAx>
      <c:valAx>
        <c:axId val="611802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801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'SA analysis'!$A$41:$A$62</c:f>
              <c:numCache>
                <c:formatCode>General</c:formatCode>
                <c:ptCount val="22"/>
                <c:pt idx="0">
                  <c:v>24</c:v>
                </c:pt>
                <c:pt idx="1">
                  <c:v>16</c:v>
                </c:pt>
                <c:pt idx="2">
                  <c:v>8</c:v>
                </c:pt>
                <c:pt idx="3">
                  <c:v>3.2</c:v>
                </c:pt>
                <c:pt idx="4">
                  <c:v>1.6</c:v>
                </c:pt>
                <c:pt idx="5">
                  <c:v>24</c:v>
                </c:pt>
                <c:pt idx="6">
                  <c:v>16</c:v>
                </c:pt>
                <c:pt idx="7">
                  <c:v>8</c:v>
                </c:pt>
                <c:pt idx="8">
                  <c:v>3.2</c:v>
                </c:pt>
                <c:pt idx="9">
                  <c:v>1.6</c:v>
                </c:pt>
              </c:numCache>
            </c:numRef>
          </c:xVal>
          <c:yVal>
            <c:numRef>
              <c:f>'SA analysis'!$B$41:$B$62</c:f>
              <c:numCache>
                <c:formatCode>General</c:formatCode>
                <c:ptCount val="22"/>
                <c:pt idx="1">
                  <c:v>33568</c:v>
                </c:pt>
                <c:pt idx="2">
                  <c:v>19351</c:v>
                </c:pt>
                <c:pt idx="3">
                  <c:v>8697</c:v>
                </c:pt>
                <c:pt idx="4">
                  <c:v>6116</c:v>
                </c:pt>
                <c:pt idx="6">
                  <c:v>34111</c:v>
                </c:pt>
                <c:pt idx="7">
                  <c:v>19408</c:v>
                </c:pt>
                <c:pt idx="8">
                  <c:v>9111</c:v>
                </c:pt>
                <c:pt idx="9">
                  <c:v>5575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F7-4ED6-BA46-1E60AEC06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801424"/>
        <c:axId val="611802408"/>
      </c:scatterChart>
      <c:valAx>
        <c:axId val="61180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802408"/>
        <c:crosses val="autoZero"/>
        <c:crossBetween val="midCat"/>
      </c:valAx>
      <c:valAx>
        <c:axId val="611802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801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98362349418174"/>
          <c:y val="5.0925925925925923E-2"/>
          <c:w val="0.8581733771890071"/>
          <c:h val="0.80038523697426189"/>
        </c:manualLayout>
      </c:layout>
      <c:barChart>
        <c:barDir val="col"/>
        <c:grouping val="clustered"/>
        <c:varyColors val="0"/>
        <c:ser>
          <c:idx val="0"/>
          <c:order val="0"/>
          <c:tx>
            <c:v>Col-0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('SA analysis'!$M$32,'SA analysis'!$P$32,'SA analysis'!$S$32,'SA analysis'!$V$32,'SA analysis'!$Y$32)</c:f>
                <c:numCache>
                  <c:formatCode>General</c:formatCode>
                  <c:ptCount val="5"/>
                  <c:pt idx="0">
                    <c:v>35.661349194111345</c:v>
                  </c:pt>
                  <c:pt idx="1">
                    <c:v>104.20063292462137</c:v>
                  </c:pt>
                  <c:pt idx="2">
                    <c:v>208.39981669063692</c:v>
                  </c:pt>
                  <c:pt idx="3">
                    <c:v>322.1709429106362</c:v>
                  </c:pt>
                  <c:pt idx="4">
                    <c:v>111.32975296293465</c:v>
                  </c:pt>
                </c:numCache>
              </c:numRef>
            </c:plus>
            <c:minus>
              <c:numRef>
                <c:f>('SA analysis'!$M$32,'SA analysis'!$P$32,'SA analysis'!$S$32,'SA analysis'!$V$32,'SA analysis'!$Y$32)</c:f>
                <c:numCache>
                  <c:formatCode>General</c:formatCode>
                  <c:ptCount val="5"/>
                  <c:pt idx="0">
                    <c:v>35.661349194111345</c:v>
                  </c:pt>
                  <c:pt idx="1">
                    <c:v>104.20063292462137</c:v>
                  </c:pt>
                  <c:pt idx="2">
                    <c:v>208.39981669063692</c:v>
                  </c:pt>
                  <c:pt idx="3">
                    <c:v>322.1709429106362</c:v>
                  </c:pt>
                  <c:pt idx="4">
                    <c:v>111.32975296293465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('SA analysis'!$M$31,'SA analysis'!$P$31,'SA analysis'!$S$31,'SA analysis'!$V$31,'SA analysis'!$Y$31)</c:f>
              <c:numCache>
                <c:formatCode>General</c:formatCode>
                <c:ptCount val="5"/>
                <c:pt idx="0">
                  <c:v>54.681832160080667</c:v>
                </c:pt>
                <c:pt idx="1">
                  <c:v>170.63781140167333</c:v>
                </c:pt>
                <c:pt idx="2">
                  <c:v>280.03884712161596</c:v>
                </c:pt>
                <c:pt idx="3">
                  <c:v>1037.2207780916776</c:v>
                </c:pt>
                <c:pt idx="4">
                  <c:v>294.72580723568905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7B-43CC-BF39-73F8C58454D4}"/>
            </c:ext>
          </c:extLst>
        </c:ser>
        <c:ser>
          <c:idx val="1"/>
          <c:order val="1"/>
          <c:tx>
            <c:v>ald1-T2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('SA analysis'!$N$32,'SA analysis'!$Q$32,'SA analysis'!$T$32,'SA analysis'!$W$32,'SA analysis'!$Z$32)</c:f>
                <c:numCache>
                  <c:formatCode>General</c:formatCode>
                  <c:ptCount val="5"/>
                  <c:pt idx="0">
                    <c:v>34.558109127757916</c:v>
                  </c:pt>
                  <c:pt idx="1">
                    <c:v>43.718902923907059</c:v>
                  </c:pt>
                  <c:pt idx="2">
                    <c:v>280.25902739616782</c:v>
                  </c:pt>
                  <c:pt idx="3">
                    <c:v>214.66241597914924</c:v>
                  </c:pt>
                  <c:pt idx="4">
                    <c:v>89.812346261025539</c:v>
                  </c:pt>
                </c:numCache>
              </c:numRef>
            </c:plus>
            <c:minus>
              <c:numRef>
                <c:f>('SA analysis'!$N$32,'SA analysis'!$Q$32,'SA analysis'!$T$32,'SA analysis'!$W$32,'SA analysis'!$Z$32)</c:f>
                <c:numCache>
                  <c:formatCode>General</c:formatCode>
                  <c:ptCount val="5"/>
                  <c:pt idx="0">
                    <c:v>34.558109127757916</c:v>
                  </c:pt>
                  <c:pt idx="1">
                    <c:v>43.718902923907059</c:v>
                  </c:pt>
                  <c:pt idx="2">
                    <c:v>280.25902739616782</c:v>
                  </c:pt>
                  <c:pt idx="3">
                    <c:v>214.66241597914924</c:v>
                  </c:pt>
                  <c:pt idx="4">
                    <c:v>89.812346261025539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('SA analysis'!$N$31,'SA analysis'!$Q$31,'SA analysis'!$T$31,'SA analysis'!$W$31,'SA analysis'!$Z$31)</c:f>
              <c:numCache>
                <c:formatCode>General</c:formatCode>
                <c:ptCount val="5"/>
                <c:pt idx="0">
                  <c:v>52.708622251625037</c:v>
                </c:pt>
                <c:pt idx="1">
                  <c:v>203.28546625066619</c:v>
                </c:pt>
                <c:pt idx="2">
                  <c:v>325.98324601281547</c:v>
                </c:pt>
                <c:pt idx="3">
                  <c:v>946.62503074171354</c:v>
                </c:pt>
                <c:pt idx="4">
                  <c:v>115.02916852701496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7B-43CC-BF39-73F8C58454D4}"/>
            </c:ext>
          </c:extLst>
        </c:ser>
        <c:ser>
          <c:idx val="2"/>
          <c:order val="2"/>
          <c:tx>
            <c:v>fmo1-1</c:v>
          </c:tx>
          <c:spPr>
            <a:pattFill prst="pct10">
              <a:fgClr>
                <a:schemeClr val="tx1">
                  <a:lumMod val="65000"/>
                  <a:lumOff val="35000"/>
                </a:schemeClr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('SA analysis'!$O$32,'SA analysis'!$R$32,'SA analysis'!$U$32,'SA analysis'!$X$32,'SA analysis'!$AA$32)</c:f>
                <c:numCache>
                  <c:formatCode>General</c:formatCode>
                  <c:ptCount val="5"/>
                  <c:pt idx="0">
                    <c:v>31.592415393117516</c:v>
                  </c:pt>
                  <c:pt idx="1">
                    <c:v>59.591994894930018</c:v>
                  </c:pt>
                  <c:pt idx="2">
                    <c:v>70.83987534227073</c:v>
                  </c:pt>
                  <c:pt idx="3">
                    <c:v>454.73969772423811</c:v>
                  </c:pt>
                  <c:pt idx="4">
                    <c:v>61.892166914615181</c:v>
                  </c:pt>
                </c:numCache>
              </c:numRef>
            </c:plus>
            <c:minus>
              <c:numRef>
                <c:f>('SA analysis'!$O$32,'SA analysis'!$R$32,'SA analysis'!$U$32,'SA analysis'!$X$32,'SA analysis'!$AA$32)</c:f>
                <c:numCache>
                  <c:formatCode>General</c:formatCode>
                  <c:ptCount val="5"/>
                  <c:pt idx="0">
                    <c:v>31.592415393117516</c:v>
                  </c:pt>
                  <c:pt idx="1">
                    <c:v>59.591994894930018</c:v>
                  </c:pt>
                  <c:pt idx="2">
                    <c:v>70.83987534227073</c:v>
                  </c:pt>
                  <c:pt idx="3">
                    <c:v>454.73969772423811</c:v>
                  </c:pt>
                  <c:pt idx="4">
                    <c:v>61.892166914615181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('SA analysis'!$O$31,'SA analysis'!$R$31,'SA analysis'!$U$31,'SA analysis'!$X$31,'SA analysis'!$AA$31)</c:f>
              <c:numCache>
                <c:formatCode>General</c:formatCode>
                <c:ptCount val="5"/>
                <c:pt idx="0">
                  <c:v>98.002758786628988</c:v>
                </c:pt>
                <c:pt idx="1">
                  <c:v>140.23244053956171</c:v>
                </c:pt>
                <c:pt idx="2">
                  <c:v>81.73125132182642</c:v>
                </c:pt>
                <c:pt idx="3">
                  <c:v>1445.6154349023402</c:v>
                </c:pt>
                <c:pt idx="4">
                  <c:v>85.812208177950538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7B-43CC-BF39-73F8C5845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208912"/>
        <c:axId val="612221880"/>
      </c:barChart>
      <c:catAx>
        <c:axId val="612208912"/>
        <c:scaling>
          <c:orientation val="minMax"/>
        </c:scaling>
        <c:delete val="0"/>
        <c:axPos val="b"/>
        <c:majorTickMark val="out"/>
        <c:minorTickMark val="none"/>
        <c:tickLblPos val="none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21880"/>
        <c:crosses val="autoZero"/>
        <c:auto val="1"/>
        <c:lblAlgn val="ctr"/>
        <c:lblOffset val="100"/>
        <c:noMultiLvlLbl val="0"/>
      </c:catAx>
      <c:valAx>
        <c:axId val="612221880"/>
        <c:scaling>
          <c:orientation val="minMax"/>
          <c:max val="250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08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23</xdr:row>
      <xdr:rowOff>176212</xdr:rowOff>
    </xdr:from>
    <xdr:to>
      <xdr:col>10</xdr:col>
      <xdr:colOff>400050</xdr:colOff>
      <xdr:row>38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A2CB2D-074C-4AE3-B1B5-F6AFEDA2E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41</xdr:row>
      <xdr:rowOff>0</xdr:rowOff>
    </xdr:from>
    <xdr:to>
      <xdr:col>10</xdr:col>
      <xdr:colOff>304800</xdr:colOff>
      <xdr:row>55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43CE2A-13CD-4583-A68F-B072984D27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409989</xdr:colOff>
      <xdr:row>40</xdr:row>
      <xdr:rowOff>42333</xdr:rowOff>
    </xdr:from>
    <xdr:to>
      <xdr:col>24</xdr:col>
      <xdr:colOff>199313</xdr:colOff>
      <xdr:row>56</xdr:row>
      <xdr:rowOff>151870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0F8E2E-912E-4EB9-A4CD-583D20D336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0.19271</cdr:y>
    </cdr:from>
    <cdr:to>
      <cdr:x>0.05259</cdr:x>
      <cdr:y>0.67882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ECE2739-15C2-4B49-9426-CB1F7CBD5DBA}"/>
            </a:ext>
          </a:extLst>
        </cdr:cNvPr>
        <cdr:cNvSpPr txBox="1"/>
      </cdr:nvSpPr>
      <cdr:spPr>
        <a:xfrm xmlns:a="http://schemas.openxmlformats.org/drawingml/2006/main" rot="16200000">
          <a:off x="-523875" y="1052513"/>
          <a:ext cx="13335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CA" sz="1100" b="1"/>
            <a:t>SA (ng</a:t>
          </a:r>
          <a:r>
            <a:rPr lang="en-CA" sz="1100" b="1" baseline="0"/>
            <a:t> ml IWF </a:t>
          </a:r>
          <a:r>
            <a:rPr lang="en-CA" sz="1100" b="1" baseline="30000"/>
            <a:t>-1</a:t>
          </a:r>
          <a:r>
            <a:rPr lang="en-CA" sz="1100" b="1" baseline="0"/>
            <a:t>)</a:t>
          </a:r>
          <a:endParaRPr lang="en-CA" sz="1100" b="1"/>
        </a:p>
      </cdr:txBody>
    </cdr:sp>
  </cdr:relSizeAnchor>
  <cdr:relSizeAnchor xmlns:cdr="http://schemas.openxmlformats.org/drawingml/2006/chartDrawing">
    <cdr:from>
      <cdr:x>0.09904</cdr:x>
      <cdr:y>0.84163</cdr:y>
    </cdr:from>
    <cdr:to>
      <cdr:x>0.26731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67E11BF-6498-492F-8DD5-58DCAFBF75BD}"/>
            </a:ext>
          </a:extLst>
        </cdr:cNvPr>
        <cdr:cNvSpPr txBox="1"/>
      </cdr:nvSpPr>
      <cdr:spPr>
        <a:xfrm xmlns:a="http://schemas.openxmlformats.org/drawingml/2006/main">
          <a:off x="538164" y="2657475"/>
          <a:ext cx="914400" cy="5000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0.12883</cdr:x>
      <cdr:y>0.86274</cdr:y>
    </cdr:from>
    <cdr:to>
      <cdr:x>0.29711</cdr:x>
      <cdr:y>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BDAFC5E-BECF-4E57-B7EB-C499F53DC177}"/>
            </a:ext>
          </a:extLst>
        </cdr:cNvPr>
        <cdr:cNvSpPr txBox="1"/>
      </cdr:nvSpPr>
      <cdr:spPr>
        <a:xfrm xmlns:a="http://schemas.openxmlformats.org/drawingml/2006/main">
          <a:off x="700089" y="2724149"/>
          <a:ext cx="914400" cy="4333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0.17842</cdr:x>
      <cdr:y>0.85726</cdr:y>
    </cdr:from>
    <cdr:to>
      <cdr:x>0.2573</cdr:x>
      <cdr:y>0.94021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EBEC85FB-5800-4B19-A12B-FC1C4F0C3312}"/>
            </a:ext>
          </a:extLst>
        </cdr:cNvPr>
        <cdr:cNvSpPr txBox="1"/>
      </cdr:nvSpPr>
      <cdr:spPr>
        <a:xfrm xmlns:a="http://schemas.openxmlformats.org/drawingml/2006/main">
          <a:off x="974842" y="2706833"/>
          <a:ext cx="430987" cy="2619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Untreated</a:t>
          </a:r>
        </a:p>
      </cdr:txBody>
    </cdr:sp>
  </cdr:relSizeAnchor>
  <cdr:relSizeAnchor xmlns:cdr="http://schemas.openxmlformats.org/drawingml/2006/chartDrawing">
    <cdr:from>
      <cdr:x>0.33119</cdr:x>
      <cdr:y>0.86789</cdr:y>
    </cdr:from>
    <cdr:to>
      <cdr:x>0.41007</cdr:x>
      <cdr:y>0.95084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6122EA05-2E8E-4DD9-8220-020AEE163166}"/>
            </a:ext>
          </a:extLst>
        </cdr:cNvPr>
        <cdr:cNvSpPr txBox="1"/>
      </cdr:nvSpPr>
      <cdr:spPr>
        <a:xfrm xmlns:a="http://schemas.openxmlformats.org/drawingml/2006/main">
          <a:off x="2299692" y="2593418"/>
          <a:ext cx="547715" cy="2478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12</a:t>
          </a:r>
          <a:r>
            <a:rPr lang="en-CA" sz="1100" baseline="0"/>
            <a:t> hpi</a:t>
          </a:r>
          <a:endParaRPr lang="en-CA" sz="1100"/>
        </a:p>
      </cdr:txBody>
    </cdr:sp>
  </cdr:relSizeAnchor>
  <cdr:relSizeAnchor xmlns:cdr="http://schemas.openxmlformats.org/drawingml/2006/chartDrawing">
    <cdr:from>
      <cdr:x>0.50378</cdr:x>
      <cdr:y>0.87497</cdr:y>
    </cdr:from>
    <cdr:to>
      <cdr:x>0.58266</cdr:x>
      <cdr:y>0.95792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71FCCF4-797E-43CC-A809-3B5FBE029769}"/>
            </a:ext>
          </a:extLst>
        </cdr:cNvPr>
        <cdr:cNvSpPr txBox="1"/>
      </cdr:nvSpPr>
      <cdr:spPr>
        <a:xfrm xmlns:a="http://schemas.openxmlformats.org/drawingml/2006/main">
          <a:off x="3498078" y="2614585"/>
          <a:ext cx="547715" cy="2478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 baseline="0"/>
            <a:t>18 hpi</a:t>
          </a:r>
          <a:endParaRPr lang="en-CA" sz="1100"/>
        </a:p>
      </cdr:txBody>
    </cdr:sp>
  </cdr:relSizeAnchor>
  <cdr:relSizeAnchor xmlns:cdr="http://schemas.openxmlformats.org/drawingml/2006/chartDrawing">
    <cdr:from>
      <cdr:x>0.85927</cdr:x>
      <cdr:y>0.87851</cdr:y>
    </cdr:from>
    <cdr:to>
      <cdr:x>0.93815</cdr:x>
      <cdr:y>0.96146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A7121F-C4C1-48E1-8FBC-FB20A220B838}"/>
            </a:ext>
          </a:extLst>
        </cdr:cNvPr>
        <cdr:cNvSpPr txBox="1"/>
      </cdr:nvSpPr>
      <cdr:spPr>
        <a:xfrm xmlns:a="http://schemas.openxmlformats.org/drawingml/2006/main">
          <a:off x="5966465" y="2625168"/>
          <a:ext cx="547716" cy="2478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 baseline="0"/>
            <a:t>48 hpi</a:t>
          </a:r>
          <a:endParaRPr lang="en-CA" sz="1100"/>
        </a:p>
      </cdr:txBody>
    </cdr:sp>
  </cdr:relSizeAnchor>
  <cdr:relSizeAnchor xmlns:cdr="http://schemas.openxmlformats.org/drawingml/2006/chartDrawing">
    <cdr:from>
      <cdr:x>0.68252</cdr:x>
      <cdr:y>0.86701</cdr:y>
    </cdr:from>
    <cdr:to>
      <cdr:x>0.7614</cdr:x>
      <cdr:y>0.94996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737E47B1-7B79-4259-9F1F-66AFA0118839}"/>
            </a:ext>
          </a:extLst>
        </cdr:cNvPr>
        <cdr:cNvSpPr txBox="1"/>
      </cdr:nvSpPr>
      <cdr:spPr>
        <a:xfrm xmlns:a="http://schemas.openxmlformats.org/drawingml/2006/main">
          <a:off x="4739216" y="2590800"/>
          <a:ext cx="547715" cy="2478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 baseline="0"/>
            <a:t>24 hpi</a:t>
          </a:r>
          <a:endParaRPr lang="en-CA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workbookViewId="0">
      <selection activeCell="I15" sqref="I15"/>
    </sheetView>
  </sheetViews>
  <sheetFormatPr defaultRowHeight="14.4" x14ac:dyDescent="0.3"/>
  <cols>
    <col min="1" max="1" width="9.21875" style="1"/>
    <col min="3" max="3" width="16.77734375" bestFit="1" customWidth="1"/>
    <col min="6" max="6" width="13.21875" customWidth="1"/>
    <col min="7" max="7" width="23.77734375" customWidth="1"/>
  </cols>
  <sheetData>
    <row r="1" spans="1:8" x14ac:dyDescent="0.3">
      <c r="B1" t="s">
        <v>0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45</v>
      </c>
    </row>
    <row r="2" spans="1:8" x14ac:dyDescent="0.3">
      <c r="A2" s="7" t="s">
        <v>18</v>
      </c>
      <c r="B2" t="s">
        <v>1</v>
      </c>
      <c r="C2">
        <v>133</v>
      </c>
      <c r="D2">
        <v>1.3249999999999998E-2</v>
      </c>
      <c r="E2">
        <v>9.5000000000000015E-3</v>
      </c>
      <c r="F2">
        <f>D2-E2</f>
        <v>3.7499999999999964E-3</v>
      </c>
      <c r="G2">
        <f>F2*(1000/C2)/2</f>
        <v>1.4097744360902243E-2</v>
      </c>
      <c r="H2" t="str">
        <f>IF(G2&gt;0.15,"High","")</f>
        <v/>
      </c>
    </row>
    <row r="3" spans="1:8" x14ac:dyDescent="0.3">
      <c r="A3" s="7"/>
      <c r="B3" t="s">
        <v>2</v>
      </c>
      <c r="C3">
        <v>136</v>
      </c>
      <c r="D3">
        <v>5.2499999999999977E-3</v>
      </c>
      <c r="E3">
        <v>1.5000000000000013E-3</v>
      </c>
      <c r="F3">
        <f t="shared" ref="F3:F61" si="0">D3-E3</f>
        <v>3.7499999999999964E-3</v>
      </c>
      <c r="G3">
        <f t="shared" ref="G3:G61" si="1">F3*(1000/C3)/2</f>
        <v>1.3786764705882339E-2</v>
      </c>
      <c r="H3" t="str">
        <f t="shared" ref="H3:H66" si="2">IF(G3&gt;0.15,"High","")</f>
        <v/>
      </c>
    </row>
    <row r="4" spans="1:8" x14ac:dyDescent="0.3">
      <c r="A4" s="7"/>
      <c r="B4" t="s">
        <v>3</v>
      </c>
      <c r="C4">
        <v>154</v>
      </c>
      <c r="D4">
        <v>1.0250000000000002E-2</v>
      </c>
      <c r="E4">
        <v>3.4999999999999962E-3</v>
      </c>
      <c r="F4">
        <f t="shared" si="0"/>
        <v>6.750000000000006E-3</v>
      </c>
      <c r="G4">
        <f t="shared" si="1"/>
        <v>2.1915584415584433E-2</v>
      </c>
      <c r="H4" t="str">
        <f t="shared" si="2"/>
        <v/>
      </c>
    </row>
    <row r="5" spans="1:8" x14ac:dyDescent="0.3">
      <c r="A5" s="7"/>
      <c r="B5" t="s">
        <v>4</v>
      </c>
      <c r="C5">
        <v>125</v>
      </c>
      <c r="D5">
        <v>1.7250000000000001E-2</v>
      </c>
      <c r="E5">
        <v>4.4999999999999971E-3</v>
      </c>
      <c r="F5">
        <f t="shared" si="0"/>
        <v>1.2750000000000004E-2</v>
      </c>
      <c r="G5">
        <f t="shared" si="1"/>
        <v>5.1000000000000018E-2</v>
      </c>
      <c r="H5" t="str">
        <f t="shared" si="2"/>
        <v/>
      </c>
    </row>
    <row r="6" spans="1:8" x14ac:dyDescent="0.3">
      <c r="A6" s="7"/>
      <c r="B6" t="s">
        <v>5</v>
      </c>
      <c r="C6">
        <v>162</v>
      </c>
      <c r="D6">
        <v>3.2499999999999959E-3</v>
      </c>
      <c r="E6">
        <v>-5.0000000000000044E-4</v>
      </c>
      <c r="F6">
        <f t="shared" si="0"/>
        <v>3.7499999999999964E-3</v>
      </c>
      <c r="G6">
        <f t="shared" si="1"/>
        <v>1.1574074074074063E-2</v>
      </c>
      <c r="H6" t="str">
        <f t="shared" si="2"/>
        <v/>
      </c>
    </row>
    <row r="7" spans="1:8" x14ac:dyDescent="0.3">
      <c r="A7" s="7"/>
      <c r="B7" t="s">
        <v>6</v>
      </c>
      <c r="C7">
        <v>139</v>
      </c>
      <c r="D7">
        <v>9.2500000000000013E-3</v>
      </c>
      <c r="E7">
        <v>3.4999999999999962E-3</v>
      </c>
      <c r="F7">
        <f t="shared" si="0"/>
        <v>5.7500000000000051E-3</v>
      </c>
      <c r="G7">
        <f t="shared" si="1"/>
        <v>2.0683453237410089E-2</v>
      </c>
      <c r="H7" t="str">
        <f t="shared" si="2"/>
        <v/>
      </c>
    </row>
    <row r="8" spans="1:8" x14ac:dyDescent="0.3">
      <c r="A8" s="7"/>
      <c r="B8" t="s">
        <v>7</v>
      </c>
      <c r="C8">
        <v>144</v>
      </c>
      <c r="D8">
        <v>2.2249999999999999E-2</v>
      </c>
      <c r="E8">
        <v>1.4499999999999999E-2</v>
      </c>
      <c r="F8">
        <f t="shared" si="0"/>
        <v>7.7499999999999999E-3</v>
      </c>
      <c r="G8">
        <f t="shared" si="1"/>
        <v>2.6909722222222224E-2</v>
      </c>
      <c r="H8" t="str">
        <f t="shared" si="2"/>
        <v/>
      </c>
    </row>
    <row r="9" spans="1:8" x14ac:dyDescent="0.3">
      <c r="A9" s="7"/>
      <c r="B9" t="s">
        <v>8</v>
      </c>
      <c r="C9">
        <v>159</v>
      </c>
      <c r="D9">
        <v>7.2499999999999995E-3</v>
      </c>
      <c r="E9">
        <v>1.5000000000000013E-3</v>
      </c>
      <c r="F9">
        <f t="shared" si="0"/>
        <v>5.7499999999999982E-3</v>
      </c>
      <c r="G9">
        <f t="shared" si="1"/>
        <v>1.8081761006289304E-2</v>
      </c>
      <c r="H9" t="str">
        <f t="shared" si="2"/>
        <v/>
      </c>
    </row>
    <row r="10" spans="1:8" x14ac:dyDescent="0.3">
      <c r="A10" s="7"/>
      <c r="B10" t="s">
        <v>9</v>
      </c>
      <c r="C10">
        <v>134</v>
      </c>
      <c r="D10">
        <v>9.2500000000000013E-3</v>
      </c>
      <c r="E10">
        <v>1.5000000000000013E-3</v>
      </c>
      <c r="F10">
        <f t="shared" si="0"/>
        <v>7.7499999999999999E-3</v>
      </c>
      <c r="G10">
        <f t="shared" si="1"/>
        <v>2.8917910447761194E-2</v>
      </c>
      <c r="H10" t="str">
        <f t="shared" si="2"/>
        <v/>
      </c>
    </row>
    <row r="11" spans="1:8" x14ac:dyDescent="0.3">
      <c r="A11" s="7"/>
      <c r="B11" t="s">
        <v>10</v>
      </c>
      <c r="C11">
        <v>155</v>
      </c>
      <c r="D11">
        <v>5.2499999999999977E-3</v>
      </c>
      <c r="E11">
        <v>-5.0000000000000044E-4</v>
      </c>
      <c r="F11">
        <f t="shared" si="0"/>
        <v>5.7499999999999982E-3</v>
      </c>
      <c r="G11">
        <f t="shared" si="1"/>
        <v>1.8548387096774185E-2</v>
      </c>
      <c r="H11" t="str">
        <f t="shared" si="2"/>
        <v/>
      </c>
    </row>
    <row r="12" spans="1:8" x14ac:dyDescent="0.3">
      <c r="A12" s="7"/>
      <c r="B12" t="s">
        <v>11</v>
      </c>
      <c r="C12">
        <v>140</v>
      </c>
      <c r="D12">
        <v>7.2499999999999995E-3</v>
      </c>
      <c r="E12">
        <v>1.5000000000000013E-3</v>
      </c>
      <c r="F12">
        <f t="shared" si="0"/>
        <v>5.7499999999999982E-3</v>
      </c>
      <c r="G12">
        <f t="shared" si="1"/>
        <v>2.0535714285714279E-2</v>
      </c>
      <c r="H12" t="str">
        <f t="shared" si="2"/>
        <v/>
      </c>
    </row>
    <row r="13" spans="1:8" x14ac:dyDescent="0.3">
      <c r="A13" s="7"/>
      <c r="B13" t="s">
        <v>12</v>
      </c>
      <c r="C13">
        <v>136</v>
      </c>
      <c r="D13">
        <v>1.4249999999999999E-2</v>
      </c>
      <c r="E13">
        <v>1.5000000000000013E-3</v>
      </c>
      <c r="F13">
        <f t="shared" si="0"/>
        <v>1.2749999999999997E-2</v>
      </c>
      <c r="G13">
        <f t="shared" si="1"/>
        <v>4.6874999999999986E-2</v>
      </c>
      <c r="H13" t="str">
        <f t="shared" si="2"/>
        <v/>
      </c>
    </row>
    <row r="14" spans="1:8" x14ac:dyDescent="0.3">
      <c r="A14" s="7" t="s">
        <v>19</v>
      </c>
      <c r="B14" t="s">
        <v>1</v>
      </c>
      <c r="C14">
        <v>158</v>
      </c>
      <c r="D14">
        <v>6.2499999999999986E-3</v>
      </c>
      <c r="E14">
        <v>2.5000000000000022E-3</v>
      </c>
      <c r="F14">
        <f t="shared" si="0"/>
        <v>3.7499999999999964E-3</v>
      </c>
      <c r="G14">
        <f t="shared" si="1"/>
        <v>1.1867088607594925E-2</v>
      </c>
      <c r="H14" t="str">
        <f t="shared" si="2"/>
        <v/>
      </c>
    </row>
    <row r="15" spans="1:8" x14ac:dyDescent="0.3">
      <c r="A15" s="7"/>
      <c r="B15" t="s">
        <v>2</v>
      </c>
      <c r="C15">
        <v>182</v>
      </c>
      <c r="D15">
        <v>1.9249999999999996E-2</v>
      </c>
      <c r="E15">
        <v>5.0000000000000044E-4</v>
      </c>
      <c r="F15">
        <f t="shared" si="0"/>
        <v>1.8749999999999996E-2</v>
      </c>
      <c r="G15">
        <f t="shared" si="1"/>
        <v>5.1510989010989001E-2</v>
      </c>
      <c r="H15" t="str">
        <f t="shared" si="2"/>
        <v/>
      </c>
    </row>
    <row r="16" spans="1:8" x14ac:dyDescent="0.3">
      <c r="A16" s="7"/>
      <c r="B16" t="s">
        <v>3</v>
      </c>
      <c r="C16">
        <v>154</v>
      </c>
      <c r="D16">
        <v>3.1249999999999993E-2</v>
      </c>
      <c r="E16">
        <v>4.4999999999999971E-3</v>
      </c>
      <c r="F16">
        <f t="shared" si="0"/>
        <v>2.6749999999999996E-2</v>
      </c>
      <c r="G16">
        <f t="shared" si="1"/>
        <v>8.6850649350649331E-2</v>
      </c>
      <c r="H16" t="str">
        <f t="shared" si="2"/>
        <v/>
      </c>
    </row>
    <row r="17" spans="1:8" x14ac:dyDescent="0.3">
      <c r="A17" s="7"/>
      <c r="B17" t="s">
        <v>4</v>
      </c>
      <c r="C17">
        <v>169</v>
      </c>
      <c r="D17">
        <v>4.0250000000000001E-2</v>
      </c>
      <c r="E17">
        <v>5.4999999999999979E-3</v>
      </c>
      <c r="F17">
        <f t="shared" si="0"/>
        <v>3.4750000000000003E-2</v>
      </c>
      <c r="G17">
        <f t="shared" si="1"/>
        <v>0.10281065088757398</v>
      </c>
      <c r="H17" t="str">
        <f t="shared" si="2"/>
        <v/>
      </c>
    </row>
    <row r="18" spans="1:8" x14ac:dyDescent="0.3">
      <c r="A18" s="7"/>
      <c r="B18" t="s">
        <v>5</v>
      </c>
      <c r="C18">
        <v>158</v>
      </c>
      <c r="D18">
        <v>1.0250000000000002E-2</v>
      </c>
      <c r="E18">
        <v>1.5000000000000013E-3</v>
      </c>
      <c r="F18">
        <f t="shared" si="0"/>
        <v>8.7500000000000008E-3</v>
      </c>
      <c r="G18">
        <f t="shared" si="1"/>
        <v>2.7689873417721521E-2</v>
      </c>
      <c r="H18" t="str">
        <f t="shared" si="2"/>
        <v/>
      </c>
    </row>
    <row r="19" spans="1:8" x14ac:dyDescent="0.3">
      <c r="A19" s="7"/>
      <c r="B19" t="s">
        <v>6</v>
      </c>
      <c r="C19">
        <v>143</v>
      </c>
      <c r="D19">
        <v>1.7250000000000001E-2</v>
      </c>
      <c r="E19">
        <v>1.0500000000000002E-2</v>
      </c>
      <c r="F19">
        <f t="shared" si="0"/>
        <v>6.7499999999999991E-3</v>
      </c>
      <c r="G19">
        <f t="shared" si="1"/>
        <v>2.36013986013986E-2</v>
      </c>
      <c r="H19" t="str">
        <f t="shared" si="2"/>
        <v/>
      </c>
    </row>
    <row r="20" spans="1:8" x14ac:dyDescent="0.3">
      <c r="A20" s="7"/>
      <c r="B20" t="s">
        <v>7</v>
      </c>
      <c r="C20">
        <v>177</v>
      </c>
      <c r="D20">
        <v>1.1249999999999996E-2</v>
      </c>
      <c r="E20">
        <v>2.5000000000000022E-3</v>
      </c>
      <c r="F20">
        <f t="shared" si="0"/>
        <v>8.7499999999999939E-3</v>
      </c>
      <c r="G20">
        <f t="shared" si="1"/>
        <v>2.4717514124293769E-2</v>
      </c>
      <c r="H20" t="str">
        <f t="shared" si="2"/>
        <v/>
      </c>
    </row>
    <row r="21" spans="1:8" x14ac:dyDescent="0.3">
      <c r="A21" s="7"/>
      <c r="B21" t="s">
        <v>8</v>
      </c>
      <c r="C21">
        <v>220</v>
      </c>
      <c r="D21">
        <v>1.6250000000000001E-2</v>
      </c>
      <c r="E21">
        <v>6.4999999999999988E-3</v>
      </c>
      <c r="F21">
        <f t="shared" si="0"/>
        <v>9.7500000000000017E-3</v>
      </c>
      <c r="G21">
        <f t="shared" si="1"/>
        <v>2.2159090909090916E-2</v>
      </c>
      <c r="H21" t="str">
        <f t="shared" si="2"/>
        <v/>
      </c>
    </row>
    <row r="22" spans="1:8" x14ac:dyDescent="0.3">
      <c r="A22" s="7"/>
      <c r="B22" t="s">
        <v>9</v>
      </c>
      <c r="C22">
        <v>215</v>
      </c>
      <c r="D22">
        <v>2.9250000000000005E-2</v>
      </c>
      <c r="E22">
        <v>5.0000000000000044E-4</v>
      </c>
      <c r="F22">
        <f t="shared" si="0"/>
        <v>2.8750000000000005E-2</v>
      </c>
      <c r="G22">
        <f t="shared" si="1"/>
        <v>6.6860465116279091E-2</v>
      </c>
      <c r="H22" t="str">
        <f t="shared" si="2"/>
        <v/>
      </c>
    </row>
    <row r="23" spans="1:8" x14ac:dyDescent="0.3">
      <c r="A23" s="7"/>
      <c r="B23" t="s">
        <v>10</v>
      </c>
      <c r="C23">
        <v>185</v>
      </c>
      <c r="D23">
        <v>5.2499999999999977E-3</v>
      </c>
      <c r="E23">
        <v>5.0000000000000044E-4</v>
      </c>
      <c r="F23">
        <f t="shared" si="0"/>
        <v>4.7499999999999973E-3</v>
      </c>
      <c r="G23">
        <f t="shared" si="1"/>
        <v>1.283783783783783E-2</v>
      </c>
      <c r="H23" t="str">
        <f t="shared" si="2"/>
        <v/>
      </c>
    </row>
    <row r="24" spans="1:8" x14ac:dyDescent="0.3">
      <c r="A24" s="7"/>
      <c r="B24" t="s">
        <v>11</v>
      </c>
      <c r="C24">
        <v>176</v>
      </c>
      <c r="D24">
        <v>2.7250000000000003E-2</v>
      </c>
      <c r="E24">
        <v>1.2499999999999997E-2</v>
      </c>
      <c r="F24">
        <f t="shared" si="0"/>
        <v>1.4750000000000006E-2</v>
      </c>
      <c r="G24">
        <f t="shared" si="1"/>
        <v>4.1903409090909109E-2</v>
      </c>
      <c r="H24" t="str">
        <f t="shared" si="2"/>
        <v/>
      </c>
    </row>
    <row r="25" spans="1:8" x14ac:dyDescent="0.3">
      <c r="A25" s="7"/>
      <c r="B25" t="s">
        <v>12</v>
      </c>
      <c r="C25">
        <v>190</v>
      </c>
      <c r="D25">
        <v>1.0250000000000002E-2</v>
      </c>
      <c r="E25">
        <v>1.5000000000000013E-3</v>
      </c>
      <c r="F25">
        <f t="shared" si="0"/>
        <v>8.7500000000000008E-3</v>
      </c>
      <c r="G25">
        <f t="shared" si="1"/>
        <v>2.3026315789473686E-2</v>
      </c>
      <c r="H25" t="str">
        <f t="shared" si="2"/>
        <v/>
      </c>
    </row>
    <row r="26" spans="1:8" x14ac:dyDescent="0.3">
      <c r="A26" s="7" t="s">
        <v>46</v>
      </c>
      <c r="B26" t="s">
        <v>1</v>
      </c>
      <c r="C26">
        <v>180</v>
      </c>
      <c r="D26">
        <v>8.2500000000000004E-3</v>
      </c>
      <c r="E26">
        <v>1.5000000000000013E-3</v>
      </c>
      <c r="F26">
        <f t="shared" si="0"/>
        <v>6.7499999999999991E-3</v>
      </c>
      <c r="G26">
        <f t="shared" si="1"/>
        <v>1.8749999999999996E-2</v>
      </c>
      <c r="H26" t="str">
        <f t="shared" si="2"/>
        <v/>
      </c>
    </row>
    <row r="27" spans="1:8" x14ac:dyDescent="0.3">
      <c r="A27" s="7"/>
      <c r="B27" t="s">
        <v>2</v>
      </c>
      <c r="C27">
        <v>145</v>
      </c>
      <c r="D27">
        <v>3.7249999999999998E-2</v>
      </c>
      <c r="E27">
        <v>1.1499999999999996E-2</v>
      </c>
      <c r="F27">
        <f t="shared" si="0"/>
        <v>2.5750000000000002E-2</v>
      </c>
      <c r="G27">
        <f t="shared" si="1"/>
        <v>8.8793103448275859E-2</v>
      </c>
      <c r="H27" t="str">
        <f t="shared" si="2"/>
        <v/>
      </c>
    </row>
    <row r="28" spans="1:8" x14ac:dyDescent="0.3">
      <c r="A28" s="7"/>
      <c r="B28" t="s">
        <v>3</v>
      </c>
      <c r="C28">
        <v>164</v>
      </c>
      <c r="D28">
        <v>2.4250000000000001E-2</v>
      </c>
      <c r="E28">
        <v>2.5000000000000022E-3</v>
      </c>
      <c r="F28">
        <f t="shared" si="0"/>
        <v>2.1749999999999999E-2</v>
      </c>
      <c r="G28">
        <f t="shared" si="1"/>
        <v>6.6310975609756087E-2</v>
      </c>
      <c r="H28" t="str">
        <f t="shared" si="2"/>
        <v/>
      </c>
    </row>
    <row r="29" spans="1:8" x14ac:dyDescent="0.3">
      <c r="A29" s="7"/>
      <c r="B29" t="s">
        <v>4</v>
      </c>
      <c r="C29">
        <v>143</v>
      </c>
      <c r="D29">
        <v>5.2499999999999977E-3</v>
      </c>
      <c r="E29">
        <v>-5.0000000000000044E-4</v>
      </c>
      <c r="F29">
        <f t="shared" si="0"/>
        <v>5.7499999999999982E-3</v>
      </c>
      <c r="G29">
        <f t="shared" si="1"/>
        <v>2.0104895104895101E-2</v>
      </c>
      <c r="H29" t="str">
        <f t="shared" si="2"/>
        <v/>
      </c>
    </row>
    <row r="30" spans="1:8" x14ac:dyDescent="0.3">
      <c r="A30" s="7"/>
      <c r="B30" t="s">
        <v>5</v>
      </c>
      <c r="C30">
        <v>199</v>
      </c>
      <c r="D30">
        <v>1.3249999999999998E-2</v>
      </c>
      <c r="E30">
        <v>-5.0000000000000044E-4</v>
      </c>
      <c r="F30">
        <f t="shared" si="0"/>
        <v>1.3749999999999998E-2</v>
      </c>
      <c r="G30">
        <f t="shared" si="1"/>
        <v>3.4547738693467334E-2</v>
      </c>
      <c r="H30" t="str">
        <f t="shared" si="2"/>
        <v/>
      </c>
    </row>
    <row r="31" spans="1:8" x14ac:dyDescent="0.3">
      <c r="A31" s="7"/>
      <c r="B31" t="s">
        <v>6</v>
      </c>
      <c r="C31">
        <v>150</v>
      </c>
      <c r="D31">
        <v>7.2499999999999995E-3</v>
      </c>
      <c r="E31">
        <v>-5.0000000000000044E-4</v>
      </c>
      <c r="F31">
        <f t="shared" si="0"/>
        <v>7.7499999999999999E-3</v>
      </c>
      <c r="G31">
        <f t="shared" si="1"/>
        <v>2.5833333333333333E-2</v>
      </c>
      <c r="H31" t="str">
        <f t="shared" si="2"/>
        <v/>
      </c>
    </row>
    <row r="32" spans="1:8" x14ac:dyDescent="0.3">
      <c r="A32" s="7"/>
      <c r="B32" t="s">
        <v>7</v>
      </c>
      <c r="C32">
        <v>155</v>
      </c>
      <c r="D32">
        <v>4.7249999999999993E-2</v>
      </c>
      <c r="E32">
        <v>3.4999999999999962E-3</v>
      </c>
      <c r="F32">
        <f t="shared" si="0"/>
        <v>4.3749999999999997E-2</v>
      </c>
      <c r="G32">
        <f t="shared" si="1"/>
        <v>0.1411290322580645</v>
      </c>
      <c r="H32" t="str">
        <f t="shared" si="2"/>
        <v/>
      </c>
    </row>
    <row r="33" spans="1:8" x14ac:dyDescent="0.3">
      <c r="A33" s="7"/>
      <c r="B33" t="s">
        <v>8</v>
      </c>
      <c r="C33">
        <v>177</v>
      </c>
      <c r="D33">
        <v>1.3249999999999998E-2</v>
      </c>
      <c r="E33">
        <v>5.0000000000000044E-4</v>
      </c>
      <c r="F33">
        <f t="shared" si="0"/>
        <v>1.2749999999999997E-2</v>
      </c>
      <c r="G33">
        <f t="shared" si="1"/>
        <v>3.6016949152542367E-2</v>
      </c>
      <c r="H33" t="str">
        <f t="shared" si="2"/>
        <v/>
      </c>
    </row>
    <row r="34" spans="1:8" x14ac:dyDescent="0.3">
      <c r="A34" s="7"/>
      <c r="B34" t="s">
        <v>9</v>
      </c>
      <c r="C34">
        <v>157</v>
      </c>
      <c r="D34">
        <v>1.2249999999999997E-2</v>
      </c>
      <c r="E34">
        <v>2.5000000000000022E-3</v>
      </c>
      <c r="F34">
        <f t="shared" si="0"/>
        <v>9.7499999999999948E-3</v>
      </c>
      <c r="G34">
        <f t="shared" si="1"/>
        <v>3.1050955414012725E-2</v>
      </c>
      <c r="H34" t="str">
        <f t="shared" si="2"/>
        <v/>
      </c>
    </row>
    <row r="35" spans="1:8" x14ac:dyDescent="0.3">
      <c r="A35" s="7"/>
      <c r="B35" t="s">
        <v>10</v>
      </c>
      <c r="C35">
        <v>160</v>
      </c>
      <c r="D35">
        <v>1.1249999999999996E-2</v>
      </c>
      <c r="E35">
        <v>3.4999999999999962E-3</v>
      </c>
      <c r="F35">
        <f t="shared" si="0"/>
        <v>7.7499999999999999E-3</v>
      </c>
      <c r="G35">
        <f t="shared" si="1"/>
        <v>2.4218750000000001E-2</v>
      </c>
      <c r="H35" t="str">
        <f t="shared" si="2"/>
        <v/>
      </c>
    </row>
    <row r="36" spans="1:8" x14ac:dyDescent="0.3">
      <c r="A36" s="7"/>
      <c r="B36" t="s">
        <v>11</v>
      </c>
      <c r="C36">
        <v>167</v>
      </c>
      <c r="D36">
        <v>1.4249999999999999E-2</v>
      </c>
      <c r="E36">
        <v>1.5000000000000013E-3</v>
      </c>
      <c r="F36">
        <f t="shared" si="0"/>
        <v>1.2749999999999997E-2</v>
      </c>
      <c r="G36">
        <f t="shared" si="1"/>
        <v>3.8173652694610774E-2</v>
      </c>
      <c r="H36" t="str">
        <f t="shared" si="2"/>
        <v/>
      </c>
    </row>
    <row r="37" spans="1:8" x14ac:dyDescent="0.3">
      <c r="A37" s="7"/>
      <c r="B37" t="s">
        <v>12</v>
      </c>
      <c r="C37">
        <v>206</v>
      </c>
      <c r="D37">
        <v>2.1249999999999998E-2</v>
      </c>
      <c r="E37">
        <v>5.0000000000000044E-4</v>
      </c>
      <c r="F37">
        <f t="shared" si="0"/>
        <v>2.0749999999999998E-2</v>
      </c>
      <c r="G37">
        <f t="shared" si="1"/>
        <v>5.0364077669902904E-2</v>
      </c>
      <c r="H37" t="str">
        <f t="shared" si="2"/>
        <v/>
      </c>
    </row>
    <row r="38" spans="1:8" x14ac:dyDescent="0.3">
      <c r="A38" s="7" t="s">
        <v>20</v>
      </c>
      <c r="B38" t="s">
        <v>1</v>
      </c>
      <c r="C38">
        <v>140</v>
      </c>
      <c r="D38">
        <v>3.2499999999999959E-3</v>
      </c>
      <c r="E38">
        <v>-5.0000000000000044E-4</v>
      </c>
      <c r="F38">
        <f t="shared" si="0"/>
        <v>3.7499999999999964E-3</v>
      </c>
      <c r="G38">
        <f t="shared" si="1"/>
        <v>1.339285714285713E-2</v>
      </c>
      <c r="H38" t="str">
        <f t="shared" si="2"/>
        <v/>
      </c>
    </row>
    <row r="39" spans="1:8" x14ac:dyDescent="0.3">
      <c r="A39" s="7"/>
      <c r="B39" t="s">
        <v>2</v>
      </c>
      <c r="C39">
        <v>131</v>
      </c>
      <c r="D39">
        <v>1.9249999999999996E-2</v>
      </c>
      <c r="E39">
        <v>3.4999999999999962E-3</v>
      </c>
      <c r="F39">
        <f t="shared" si="0"/>
        <v>1.575E-2</v>
      </c>
      <c r="G39">
        <f t="shared" si="1"/>
        <v>6.0114503816793896E-2</v>
      </c>
      <c r="H39" t="str">
        <f t="shared" si="2"/>
        <v/>
      </c>
    </row>
    <row r="40" spans="1:8" x14ac:dyDescent="0.3">
      <c r="A40" s="7"/>
      <c r="B40" t="s">
        <v>3</v>
      </c>
      <c r="C40">
        <v>181</v>
      </c>
      <c r="D40">
        <v>4.2499999999999968E-3</v>
      </c>
      <c r="E40">
        <v>-5.0000000000000044E-4</v>
      </c>
      <c r="F40">
        <f t="shared" si="0"/>
        <v>4.7499999999999973E-3</v>
      </c>
      <c r="G40">
        <f t="shared" si="1"/>
        <v>1.3121546961325959E-2</v>
      </c>
      <c r="H40" t="str">
        <f t="shared" si="2"/>
        <v/>
      </c>
    </row>
    <row r="41" spans="1:8" x14ac:dyDescent="0.3">
      <c r="A41" s="7"/>
      <c r="B41" t="s">
        <v>4</v>
      </c>
      <c r="C41">
        <v>151</v>
      </c>
      <c r="D41">
        <v>1.9249999999999996E-2</v>
      </c>
      <c r="E41">
        <v>7.4999999999999997E-3</v>
      </c>
      <c r="F41">
        <f t="shared" si="0"/>
        <v>1.1749999999999997E-2</v>
      </c>
      <c r="G41">
        <f t="shared" si="1"/>
        <v>3.8907284768211911E-2</v>
      </c>
      <c r="H41" t="str">
        <f t="shared" si="2"/>
        <v/>
      </c>
    </row>
    <row r="42" spans="1:8" x14ac:dyDescent="0.3">
      <c r="A42" s="7"/>
      <c r="B42" t="s">
        <v>5</v>
      </c>
      <c r="C42">
        <v>166</v>
      </c>
      <c r="D42">
        <v>5.2499999999999977E-3</v>
      </c>
      <c r="E42">
        <v>5.0000000000000044E-4</v>
      </c>
      <c r="F42">
        <f t="shared" si="0"/>
        <v>4.7499999999999973E-3</v>
      </c>
      <c r="G42">
        <f t="shared" si="1"/>
        <v>1.4307228915662643E-2</v>
      </c>
      <c r="H42" t="str">
        <f t="shared" si="2"/>
        <v/>
      </c>
    </row>
    <row r="43" spans="1:8" x14ac:dyDescent="0.3">
      <c r="A43" s="7"/>
      <c r="B43" t="s">
        <v>6</v>
      </c>
      <c r="C43">
        <v>201</v>
      </c>
      <c r="D43">
        <v>8.2500000000000004E-3</v>
      </c>
      <c r="E43">
        <v>3.4999999999999962E-3</v>
      </c>
      <c r="F43">
        <f t="shared" si="0"/>
        <v>4.7500000000000042E-3</v>
      </c>
      <c r="G43">
        <f t="shared" si="1"/>
        <v>1.1815920398009959E-2</v>
      </c>
      <c r="H43" t="str">
        <f t="shared" si="2"/>
        <v/>
      </c>
    </row>
    <row r="44" spans="1:8" x14ac:dyDescent="0.3">
      <c r="A44" s="7"/>
      <c r="B44" t="s">
        <v>7</v>
      </c>
      <c r="C44">
        <v>187</v>
      </c>
      <c r="D44">
        <v>1.9249999999999996E-2</v>
      </c>
      <c r="E44">
        <v>5.0000000000000044E-4</v>
      </c>
      <c r="F44">
        <f t="shared" si="0"/>
        <v>1.8749999999999996E-2</v>
      </c>
      <c r="G44">
        <f t="shared" si="1"/>
        <v>5.0133689839572185E-2</v>
      </c>
      <c r="H44" t="str">
        <f t="shared" si="2"/>
        <v/>
      </c>
    </row>
    <row r="45" spans="1:8" x14ac:dyDescent="0.3">
      <c r="A45" s="7"/>
      <c r="B45" t="s">
        <v>8</v>
      </c>
      <c r="C45">
        <v>194</v>
      </c>
      <c r="D45">
        <v>8.6249999999999993E-2</v>
      </c>
      <c r="E45">
        <v>0.11849999999999999</v>
      </c>
      <c r="F45">
        <f t="shared" si="0"/>
        <v>-3.2250000000000001E-2</v>
      </c>
      <c r="G45">
        <f t="shared" si="1"/>
        <v>-8.3118556701030938E-2</v>
      </c>
      <c r="H45" t="str">
        <f t="shared" si="2"/>
        <v/>
      </c>
    </row>
    <row r="46" spans="1:8" x14ac:dyDescent="0.3">
      <c r="A46" s="7"/>
      <c r="B46" t="s">
        <v>9</v>
      </c>
      <c r="C46">
        <v>143</v>
      </c>
      <c r="D46">
        <v>2.6250000000000002E-2</v>
      </c>
      <c r="E46">
        <v>5.4999999999999979E-3</v>
      </c>
      <c r="F46">
        <f t="shared" si="0"/>
        <v>2.0750000000000005E-2</v>
      </c>
      <c r="G46">
        <f t="shared" si="1"/>
        <v>7.2552447552447566E-2</v>
      </c>
      <c r="H46" t="str">
        <f t="shared" si="2"/>
        <v/>
      </c>
    </row>
    <row r="47" spans="1:8" x14ac:dyDescent="0.3">
      <c r="A47" s="7"/>
      <c r="B47" t="s">
        <v>10</v>
      </c>
      <c r="C47">
        <v>152</v>
      </c>
      <c r="D47">
        <v>1.0250000000000002E-2</v>
      </c>
      <c r="E47">
        <v>2.5000000000000022E-3</v>
      </c>
      <c r="F47">
        <f t="shared" si="0"/>
        <v>7.7499999999999999E-3</v>
      </c>
      <c r="G47">
        <f t="shared" si="1"/>
        <v>2.5493421052631578E-2</v>
      </c>
      <c r="H47" t="str">
        <f t="shared" si="2"/>
        <v/>
      </c>
    </row>
    <row r="48" spans="1:8" x14ac:dyDescent="0.3">
      <c r="A48" s="7"/>
      <c r="B48" t="s">
        <v>11</v>
      </c>
      <c r="C48">
        <v>149</v>
      </c>
      <c r="D48">
        <v>2.0249999999999997E-2</v>
      </c>
      <c r="E48">
        <v>1.1499999999999996E-2</v>
      </c>
      <c r="F48">
        <f t="shared" si="0"/>
        <v>8.7500000000000008E-3</v>
      </c>
      <c r="G48">
        <f t="shared" si="1"/>
        <v>2.9362416107382553E-2</v>
      </c>
      <c r="H48" t="str">
        <f t="shared" si="2"/>
        <v/>
      </c>
    </row>
    <row r="49" spans="1:8" x14ac:dyDescent="0.3">
      <c r="A49" s="7"/>
      <c r="B49" t="s">
        <v>12</v>
      </c>
      <c r="C49">
        <v>207</v>
      </c>
      <c r="D49">
        <v>2.6250000000000002E-2</v>
      </c>
      <c r="E49">
        <v>5.4999999999999979E-3</v>
      </c>
      <c r="F49">
        <f t="shared" si="0"/>
        <v>2.0750000000000005E-2</v>
      </c>
      <c r="G49">
        <f t="shared" si="1"/>
        <v>5.0120772946859918E-2</v>
      </c>
      <c r="H49" t="str">
        <f t="shared" si="2"/>
        <v/>
      </c>
    </row>
    <row r="50" spans="1:8" x14ac:dyDescent="0.3">
      <c r="A50" s="7" t="s">
        <v>21</v>
      </c>
      <c r="B50" t="s">
        <v>1</v>
      </c>
      <c r="C50">
        <v>159</v>
      </c>
      <c r="D50">
        <v>1.1249999999999996E-2</v>
      </c>
      <c r="E50">
        <v>8.5000000000000006E-3</v>
      </c>
      <c r="F50">
        <f t="shared" si="0"/>
        <v>2.7499999999999955E-3</v>
      </c>
      <c r="G50">
        <f t="shared" si="1"/>
        <v>8.6477987421383507E-3</v>
      </c>
      <c r="H50" t="str">
        <f t="shared" si="2"/>
        <v/>
      </c>
    </row>
    <row r="51" spans="1:8" x14ac:dyDescent="0.3">
      <c r="A51" s="7"/>
      <c r="B51" t="s">
        <v>2</v>
      </c>
      <c r="C51">
        <v>167</v>
      </c>
      <c r="D51">
        <v>1.7250000000000001E-2</v>
      </c>
      <c r="E51">
        <v>1.2499999999999997E-2</v>
      </c>
      <c r="F51">
        <f t="shared" si="0"/>
        <v>4.7500000000000042E-3</v>
      </c>
      <c r="G51">
        <f t="shared" si="1"/>
        <v>1.4221556886227558E-2</v>
      </c>
      <c r="H51" t="str">
        <f t="shared" si="2"/>
        <v/>
      </c>
    </row>
    <row r="52" spans="1:8" x14ac:dyDescent="0.3">
      <c r="A52" s="7"/>
      <c r="B52" t="s">
        <v>3</v>
      </c>
      <c r="C52">
        <v>187</v>
      </c>
      <c r="D52">
        <v>3.7249999999999998E-2</v>
      </c>
      <c r="E52">
        <v>2.0499999999999997E-2</v>
      </c>
      <c r="F52">
        <f t="shared" si="0"/>
        <v>1.6750000000000001E-2</v>
      </c>
      <c r="G52">
        <f t="shared" si="1"/>
        <v>4.4786096256684498E-2</v>
      </c>
      <c r="H52" t="str">
        <f t="shared" si="2"/>
        <v/>
      </c>
    </row>
    <row r="53" spans="1:8" x14ac:dyDescent="0.3">
      <c r="A53" s="7"/>
      <c r="B53" t="s">
        <v>4</v>
      </c>
      <c r="C53">
        <v>119</v>
      </c>
      <c r="D53">
        <v>7.2499999999999995E-3</v>
      </c>
      <c r="E53">
        <v>4.4999999999999971E-3</v>
      </c>
      <c r="F53">
        <f t="shared" si="0"/>
        <v>2.7500000000000024E-3</v>
      </c>
      <c r="G53">
        <f t="shared" si="1"/>
        <v>1.1554621848739507E-2</v>
      </c>
      <c r="H53" t="str">
        <f t="shared" si="2"/>
        <v/>
      </c>
    </row>
    <row r="54" spans="1:8" x14ac:dyDescent="0.3">
      <c r="A54" s="7"/>
      <c r="B54" t="s">
        <v>5</v>
      </c>
      <c r="C54">
        <v>199</v>
      </c>
      <c r="D54">
        <v>3.6249999999999998E-2</v>
      </c>
      <c r="E54">
        <v>2.5500000000000002E-2</v>
      </c>
      <c r="F54">
        <f t="shared" si="0"/>
        <v>1.0749999999999996E-2</v>
      </c>
      <c r="G54">
        <f t="shared" si="1"/>
        <v>2.7010050251256273E-2</v>
      </c>
      <c r="H54" t="str">
        <f t="shared" si="2"/>
        <v/>
      </c>
    </row>
    <row r="55" spans="1:8" x14ac:dyDescent="0.3">
      <c r="A55" s="7"/>
      <c r="B55" t="s">
        <v>6</v>
      </c>
      <c r="C55">
        <v>199</v>
      </c>
      <c r="D55">
        <v>4.0250000000000001E-2</v>
      </c>
      <c r="E55">
        <v>2.8500000000000004E-2</v>
      </c>
      <c r="F55">
        <f t="shared" si="0"/>
        <v>1.1749999999999997E-2</v>
      </c>
      <c r="G55">
        <f t="shared" si="1"/>
        <v>2.9522613065326626E-2</v>
      </c>
      <c r="H55" t="str">
        <f t="shared" si="2"/>
        <v/>
      </c>
    </row>
    <row r="56" spans="1:8" x14ac:dyDescent="0.3">
      <c r="A56" s="7"/>
      <c r="B56" t="s">
        <v>7</v>
      </c>
      <c r="C56">
        <v>152</v>
      </c>
      <c r="D56">
        <v>1.525E-2</v>
      </c>
      <c r="E56">
        <v>5.4999999999999979E-3</v>
      </c>
      <c r="F56">
        <f t="shared" si="0"/>
        <v>9.7500000000000017E-3</v>
      </c>
      <c r="G56">
        <f t="shared" si="1"/>
        <v>3.2072368421052634E-2</v>
      </c>
      <c r="H56" t="str">
        <f t="shared" si="2"/>
        <v/>
      </c>
    </row>
    <row r="57" spans="1:8" x14ac:dyDescent="0.3">
      <c r="A57" s="7"/>
      <c r="B57" t="s">
        <v>8</v>
      </c>
      <c r="C57">
        <v>176</v>
      </c>
      <c r="D57">
        <v>4.8249999999999994E-2</v>
      </c>
      <c r="E57">
        <v>2.4500000000000001E-2</v>
      </c>
      <c r="F57">
        <f t="shared" si="0"/>
        <v>2.3749999999999993E-2</v>
      </c>
      <c r="G57">
        <f t="shared" si="1"/>
        <v>6.7471590909090884E-2</v>
      </c>
      <c r="H57" t="str">
        <f t="shared" si="2"/>
        <v/>
      </c>
    </row>
    <row r="58" spans="1:8" x14ac:dyDescent="0.3">
      <c r="A58" s="7"/>
      <c r="B58" t="s">
        <v>9</v>
      </c>
      <c r="C58">
        <v>142</v>
      </c>
      <c r="D58">
        <v>2.0249999999999997E-2</v>
      </c>
      <c r="E58">
        <v>1.1499999999999996E-2</v>
      </c>
      <c r="F58">
        <f t="shared" si="0"/>
        <v>8.7500000000000008E-3</v>
      </c>
      <c r="G58">
        <f t="shared" si="1"/>
        <v>3.0809859154929582E-2</v>
      </c>
      <c r="H58" t="str">
        <f t="shared" si="2"/>
        <v/>
      </c>
    </row>
    <row r="59" spans="1:8" x14ac:dyDescent="0.3">
      <c r="A59" s="7"/>
      <c r="B59" t="s">
        <v>10</v>
      </c>
      <c r="C59">
        <v>195</v>
      </c>
      <c r="D59">
        <v>1.9249999999999996E-2</v>
      </c>
      <c r="E59">
        <v>1.4499999999999999E-2</v>
      </c>
      <c r="F59">
        <f t="shared" si="0"/>
        <v>4.7499999999999973E-3</v>
      </c>
      <c r="G59">
        <f t="shared" si="1"/>
        <v>1.2179487179487174E-2</v>
      </c>
      <c r="H59" t="str">
        <f t="shared" si="2"/>
        <v/>
      </c>
    </row>
    <row r="60" spans="1:8" x14ac:dyDescent="0.3">
      <c r="A60" s="7"/>
      <c r="B60" t="s">
        <v>11</v>
      </c>
      <c r="C60">
        <v>148</v>
      </c>
      <c r="D60">
        <v>2.4250000000000001E-2</v>
      </c>
      <c r="E60">
        <v>1.8500000000000003E-2</v>
      </c>
      <c r="F60">
        <f t="shared" si="0"/>
        <v>5.7499999999999982E-3</v>
      </c>
      <c r="G60">
        <f t="shared" si="1"/>
        <v>1.9425675675675672E-2</v>
      </c>
      <c r="H60" t="str">
        <f t="shared" si="2"/>
        <v/>
      </c>
    </row>
    <row r="61" spans="1:8" x14ac:dyDescent="0.3">
      <c r="A61" s="7"/>
      <c r="B61" t="s">
        <v>12</v>
      </c>
      <c r="C61">
        <v>182</v>
      </c>
      <c r="D61">
        <v>2.6250000000000002E-2</v>
      </c>
      <c r="E61">
        <v>1.8500000000000003E-2</v>
      </c>
      <c r="F61">
        <f t="shared" si="0"/>
        <v>7.7499999999999999E-3</v>
      </c>
      <c r="G61">
        <f t="shared" si="1"/>
        <v>2.1291208791208792E-2</v>
      </c>
      <c r="H61" t="str">
        <f t="shared" si="2"/>
        <v/>
      </c>
    </row>
    <row r="62" spans="1:8" x14ac:dyDescent="0.3">
      <c r="A62" s="7"/>
      <c r="D62" s="2"/>
      <c r="E62" s="2"/>
      <c r="H62" t="str">
        <f t="shared" si="2"/>
        <v/>
      </c>
    </row>
    <row r="63" spans="1:8" x14ac:dyDescent="0.3">
      <c r="A63" s="7"/>
      <c r="D63" s="2"/>
      <c r="E63" s="2"/>
      <c r="H63" t="str">
        <f t="shared" si="2"/>
        <v/>
      </c>
    </row>
    <row r="64" spans="1:8" x14ac:dyDescent="0.3">
      <c r="A64" s="7"/>
      <c r="D64" s="2"/>
      <c r="E64" s="2"/>
      <c r="H64" t="str">
        <f t="shared" si="2"/>
        <v/>
      </c>
    </row>
    <row r="65" spans="1:8" x14ac:dyDescent="0.3">
      <c r="A65" s="7"/>
      <c r="D65" s="2"/>
      <c r="E65" s="2"/>
      <c r="G65">
        <f>MAX(G2:G61)</f>
        <v>0.1411290322580645</v>
      </c>
      <c r="H65" t="str">
        <f t="shared" si="2"/>
        <v/>
      </c>
    </row>
    <row r="66" spans="1:8" x14ac:dyDescent="0.3">
      <c r="A66" s="7"/>
      <c r="D66" s="2"/>
      <c r="E66" s="2"/>
      <c r="H66" t="str">
        <f t="shared" si="2"/>
        <v/>
      </c>
    </row>
    <row r="67" spans="1:8" x14ac:dyDescent="0.3">
      <c r="A67" s="7"/>
      <c r="D67" s="2"/>
      <c r="E67" s="2"/>
      <c r="H67" t="str">
        <f t="shared" ref="H67:H97" si="3">IF(G67&gt;0.15,"High","")</f>
        <v/>
      </c>
    </row>
    <row r="68" spans="1:8" x14ac:dyDescent="0.3">
      <c r="A68" s="7"/>
      <c r="D68" s="2"/>
      <c r="E68" s="2"/>
      <c r="H68" t="str">
        <f t="shared" si="3"/>
        <v/>
      </c>
    </row>
    <row r="69" spans="1:8" x14ac:dyDescent="0.3">
      <c r="A69" s="7"/>
      <c r="D69" s="2"/>
      <c r="E69" s="2"/>
      <c r="H69" t="str">
        <f t="shared" si="3"/>
        <v/>
      </c>
    </row>
    <row r="70" spans="1:8" x14ac:dyDescent="0.3">
      <c r="A70" s="7"/>
      <c r="D70" s="2"/>
      <c r="E70" s="2"/>
      <c r="H70" t="str">
        <f t="shared" si="3"/>
        <v/>
      </c>
    </row>
    <row r="71" spans="1:8" x14ac:dyDescent="0.3">
      <c r="A71" s="7"/>
      <c r="D71" s="2"/>
      <c r="E71" s="2"/>
      <c r="H71" t="str">
        <f t="shared" si="3"/>
        <v/>
      </c>
    </row>
    <row r="72" spans="1:8" x14ac:dyDescent="0.3">
      <c r="A72" s="7"/>
      <c r="D72" s="2"/>
      <c r="E72" s="2"/>
      <c r="H72" t="str">
        <f t="shared" si="3"/>
        <v/>
      </c>
    </row>
    <row r="73" spans="1:8" x14ac:dyDescent="0.3">
      <c r="A73" s="7"/>
      <c r="D73" s="2"/>
      <c r="E73" s="2"/>
      <c r="H73" t="str">
        <f t="shared" si="3"/>
        <v/>
      </c>
    </row>
    <row r="74" spans="1:8" x14ac:dyDescent="0.3">
      <c r="A74" s="7"/>
      <c r="D74" s="2"/>
      <c r="E74" s="2"/>
      <c r="H74" t="str">
        <f t="shared" si="3"/>
        <v/>
      </c>
    </row>
    <row r="75" spans="1:8" x14ac:dyDescent="0.3">
      <c r="A75" s="7"/>
      <c r="D75" s="2"/>
      <c r="E75" s="2"/>
      <c r="H75" t="str">
        <f t="shared" si="3"/>
        <v/>
      </c>
    </row>
    <row r="76" spans="1:8" x14ac:dyDescent="0.3">
      <c r="A76" s="7"/>
      <c r="D76" s="2"/>
      <c r="E76" s="2"/>
      <c r="H76" t="str">
        <f t="shared" si="3"/>
        <v/>
      </c>
    </row>
    <row r="77" spans="1:8" x14ac:dyDescent="0.3">
      <c r="A77" s="7"/>
      <c r="D77" s="2"/>
      <c r="E77" s="2"/>
      <c r="H77" t="str">
        <f t="shared" si="3"/>
        <v/>
      </c>
    </row>
    <row r="78" spans="1:8" x14ac:dyDescent="0.3">
      <c r="A78" s="7"/>
      <c r="D78" s="2"/>
      <c r="E78" s="2"/>
      <c r="H78" t="str">
        <f t="shared" si="3"/>
        <v/>
      </c>
    </row>
    <row r="79" spans="1:8" x14ac:dyDescent="0.3">
      <c r="A79" s="7"/>
      <c r="D79" s="2"/>
      <c r="E79" s="2"/>
      <c r="H79" t="str">
        <f t="shared" si="3"/>
        <v/>
      </c>
    </row>
    <row r="80" spans="1:8" x14ac:dyDescent="0.3">
      <c r="A80" s="7"/>
      <c r="D80" s="2"/>
      <c r="E80" s="2"/>
      <c r="H80" t="str">
        <f t="shared" si="3"/>
        <v/>
      </c>
    </row>
    <row r="81" spans="1:8" x14ac:dyDescent="0.3">
      <c r="A81" s="7"/>
      <c r="D81" s="2"/>
      <c r="E81" s="2"/>
      <c r="H81" t="str">
        <f t="shared" si="3"/>
        <v/>
      </c>
    </row>
    <row r="82" spans="1:8" x14ac:dyDescent="0.3">
      <c r="A82" s="7"/>
      <c r="D82" s="2"/>
      <c r="E82" s="2"/>
      <c r="H82" t="str">
        <f t="shared" si="3"/>
        <v/>
      </c>
    </row>
    <row r="83" spans="1:8" x14ac:dyDescent="0.3">
      <c r="A83" s="7"/>
      <c r="D83" s="2"/>
      <c r="E83" s="2"/>
      <c r="H83" t="str">
        <f t="shared" si="3"/>
        <v/>
      </c>
    </row>
    <row r="84" spans="1:8" x14ac:dyDescent="0.3">
      <c r="A84" s="7"/>
      <c r="D84" s="2"/>
      <c r="E84" s="2"/>
      <c r="H84" t="str">
        <f t="shared" si="3"/>
        <v/>
      </c>
    </row>
    <row r="85" spans="1:8" x14ac:dyDescent="0.3">
      <c r="A85" s="7"/>
      <c r="D85" s="2"/>
      <c r="E85" s="2"/>
      <c r="H85" t="str">
        <f t="shared" si="3"/>
        <v/>
      </c>
    </row>
    <row r="86" spans="1:8" x14ac:dyDescent="0.3">
      <c r="A86" s="7"/>
      <c r="D86" s="2"/>
      <c r="E86" s="2"/>
      <c r="H86" t="str">
        <f t="shared" si="3"/>
        <v/>
      </c>
    </row>
    <row r="87" spans="1:8" x14ac:dyDescent="0.3">
      <c r="A87" s="7"/>
      <c r="D87" s="2"/>
      <c r="E87" s="2"/>
      <c r="H87" t="str">
        <f t="shared" si="3"/>
        <v/>
      </c>
    </row>
    <row r="88" spans="1:8" x14ac:dyDescent="0.3">
      <c r="A88" s="7"/>
      <c r="D88" s="2"/>
      <c r="E88" s="2"/>
      <c r="H88" t="str">
        <f t="shared" si="3"/>
        <v/>
      </c>
    </row>
    <row r="89" spans="1:8" x14ac:dyDescent="0.3">
      <c r="A89" s="7"/>
      <c r="D89" s="2"/>
      <c r="E89" s="2"/>
      <c r="H89" t="str">
        <f t="shared" si="3"/>
        <v/>
      </c>
    </row>
    <row r="90" spans="1:8" x14ac:dyDescent="0.3">
      <c r="A90" s="7"/>
      <c r="D90" s="2"/>
      <c r="E90" s="2"/>
      <c r="H90" t="str">
        <f t="shared" si="3"/>
        <v/>
      </c>
    </row>
    <row r="91" spans="1:8" x14ac:dyDescent="0.3">
      <c r="A91" s="7"/>
      <c r="D91" s="2"/>
      <c r="E91" s="2"/>
      <c r="H91" t="str">
        <f t="shared" si="3"/>
        <v/>
      </c>
    </row>
    <row r="92" spans="1:8" x14ac:dyDescent="0.3">
      <c r="A92" s="7"/>
      <c r="D92" s="2"/>
      <c r="E92" s="2"/>
      <c r="H92" t="str">
        <f t="shared" si="3"/>
        <v/>
      </c>
    </row>
    <row r="93" spans="1:8" x14ac:dyDescent="0.3">
      <c r="A93" s="7"/>
      <c r="D93" s="2"/>
      <c r="E93" s="2"/>
      <c r="H93" t="str">
        <f t="shared" si="3"/>
        <v/>
      </c>
    </row>
    <row r="94" spans="1:8" x14ac:dyDescent="0.3">
      <c r="A94" s="7"/>
      <c r="D94" s="2"/>
      <c r="E94" s="2"/>
      <c r="H94" t="str">
        <f t="shared" si="3"/>
        <v/>
      </c>
    </row>
    <row r="95" spans="1:8" x14ac:dyDescent="0.3">
      <c r="A95" s="7"/>
      <c r="D95" s="2"/>
      <c r="E95" s="2"/>
      <c r="H95" t="str">
        <f t="shared" si="3"/>
        <v/>
      </c>
    </row>
    <row r="96" spans="1:8" x14ac:dyDescent="0.3">
      <c r="A96" s="7"/>
      <c r="D96" s="2"/>
      <c r="E96" s="2"/>
      <c r="H96" t="str">
        <f t="shared" si="3"/>
        <v/>
      </c>
    </row>
    <row r="97" spans="1:8" x14ac:dyDescent="0.3">
      <c r="A97" s="7"/>
      <c r="D97" s="2"/>
      <c r="E97" s="2"/>
      <c r="H97" t="str">
        <f t="shared" si="3"/>
        <v/>
      </c>
    </row>
  </sheetData>
  <mergeCells count="8">
    <mergeCell ref="A74:A85"/>
    <mergeCell ref="A86:A97"/>
    <mergeCell ref="A2:A13"/>
    <mergeCell ref="A14:A25"/>
    <mergeCell ref="A26:A37"/>
    <mergeCell ref="A38:A49"/>
    <mergeCell ref="A50:A61"/>
    <mergeCell ref="A62:A7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DF342-6148-4059-A906-0DADD8460E83}">
  <dimension ref="A1:AR97"/>
  <sheetViews>
    <sheetView topLeftCell="N16" zoomScale="85" zoomScaleNormal="85" workbookViewId="0">
      <selection activeCell="AC38" sqref="AC38"/>
    </sheetView>
  </sheetViews>
  <sheetFormatPr defaultRowHeight="14.4" x14ac:dyDescent="0.3"/>
  <cols>
    <col min="2" max="2" width="11.5546875" bestFit="1" customWidth="1"/>
    <col min="12" max="12" width="8.77734375" bestFit="1" customWidth="1"/>
    <col min="13" max="22" width="12.21875" bestFit="1" customWidth="1"/>
    <col min="33" max="33" width="12.21875" bestFit="1" customWidth="1"/>
  </cols>
  <sheetData>
    <row r="1" spans="1:44" ht="28.8" x14ac:dyDescent="0.3">
      <c r="A1" s="3" t="s">
        <v>22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R1" s="3" t="s">
        <v>49</v>
      </c>
      <c r="S1" s="4">
        <v>1</v>
      </c>
      <c r="T1" s="4">
        <v>2</v>
      </c>
      <c r="U1" s="4">
        <v>3</v>
      </c>
      <c r="V1" s="4">
        <v>4</v>
      </c>
      <c r="W1" s="4">
        <v>5</v>
      </c>
      <c r="X1" s="4">
        <v>6</v>
      </c>
      <c r="Y1" s="4">
        <v>7</v>
      </c>
      <c r="Z1" s="4">
        <v>8</v>
      </c>
      <c r="AA1" s="4">
        <v>9</v>
      </c>
      <c r="AB1" s="4">
        <v>10</v>
      </c>
      <c r="AC1" s="4">
        <v>11</v>
      </c>
      <c r="AD1" s="4">
        <v>12</v>
      </c>
    </row>
    <row r="2" spans="1:44" x14ac:dyDescent="0.3">
      <c r="A2" s="4" t="s">
        <v>23</v>
      </c>
      <c r="B2" s="2">
        <v>3438</v>
      </c>
      <c r="C2" s="2">
        <v>2765</v>
      </c>
      <c r="D2" s="2">
        <v>2686</v>
      </c>
      <c r="E2" s="2">
        <v>2757</v>
      </c>
      <c r="F2" s="2">
        <v>2595</v>
      </c>
      <c r="G2" s="2">
        <v>2355</v>
      </c>
      <c r="H2" s="2">
        <v>2093</v>
      </c>
      <c r="I2" s="2">
        <v>1527</v>
      </c>
      <c r="J2" s="2">
        <v>889</v>
      </c>
      <c r="K2" s="2">
        <v>430</v>
      </c>
      <c r="L2" s="2">
        <v>294</v>
      </c>
      <c r="M2" s="2">
        <v>205</v>
      </c>
      <c r="N2" s="5" t="s">
        <v>24</v>
      </c>
      <c r="R2" s="4" t="s">
        <v>23</v>
      </c>
      <c r="S2" s="2">
        <v>81962</v>
      </c>
      <c r="T2" s="2">
        <v>66255</v>
      </c>
      <c r="U2" s="2">
        <v>64743</v>
      </c>
      <c r="V2" s="2">
        <v>64104</v>
      </c>
      <c r="W2" s="2">
        <v>57185</v>
      </c>
      <c r="X2" s="2">
        <v>51867</v>
      </c>
      <c r="Y2" s="2">
        <v>43397</v>
      </c>
      <c r="Z2" s="2">
        <v>33568</v>
      </c>
      <c r="AA2" s="2">
        <v>19351</v>
      </c>
      <c r="AB2" s="2">
        <v>8697</v>
      </c>
      <c r="AC2" s="2">
        <v>6116</v>
      </c>
      <c r="AD2" s="2">
        <v>4067</v>
      </c>
      <c r="AE2" s="5"/>
    </row>
    <row r="3" spans="1:44" x14ac:dyDescent="0.3">
      <c r="A3" s="4" t="s">
        <v>25</v>
      </c>
      <c r="B3" s="2">
        <v>4321</v>
      </c>
      <c r="C3" s="2">
        <v>3333</v>
      </c>
      <c r="D3" s="2">
        <v>3017</v>
      </c>
      <c r="E3" s="2">
        <v>2863</v>
      </c>
      <c r="F3" s="2">
        <v>2526</v>
      </c>
      <c r="G3" s="2">
        <v>2135</v>
      </c>
      <c r="H3" s="2">
        <v>2034</v>
      </c>
      <c r="I3" s="2">
        <v>1560</v>
      </c>
      <c r="J3" s="2">
        <v>937</v>
      </c>
      <c r="K3" s="2">
        <v>404</v>
      </c>
      <c r="L3" s="2">
        <v>323</v>
      </c>
      <c r="M3" s="2">
        <v>220</v>
      </c>
      <c r="N3" s="5" t="s">
        <v>24</v>
      </c>
      <c r="R3" s="4" t="s">
        <v>25</v>
      </c>
      <c r="S3" s="2">
        <v>95223</v>
      </c>
      <c r="T3" s="2">
        <v>76414</v>
      </c>
      <c r="U3" s="2">
        <v>70115</v>
      </c>
      <c r="V3" s="2">
        <v>65125</v>
      </c>
      <c r="W3" s="2">
        <v>57165</v>
      </c>
      <c r="X3" s="2">
        <v>50572</v>
      </c>
      <c r="Y3" s="2">
        <v>44202</v>
      </c>
      <c r="Z3" s="2">
        <v>34111</v>
      </c>
      <c r="AA3" s="2">
        <v>19408</v>
      </c>
      <c r="AB3" s="2">
        <v>9111</v>
      </c>
      <c r="AC3" s="2">
        <v>5575</v>
      </c>
      <c r="AD3" s="2">
        <v>4415</v>
      </c>
      <c r="AE3" s="5"/>
    </row>
    <row r="4" spans="1:44" x14ac:dyDescent="0.3">
      <c r="A4" s="4" t="s">
        <v>26</v>
      </c>
      <c r="B4" s="2">
        <v>190</v>
      </c>
      <c r="C4" s="2">
        <v>171</v>
      </c>
      <c r="D4" s="2">
        <v>204</v>
      </c>
      <c r="E4" s="2">
        <v>184</v>
      </c>
      <c r="F4" s="2">
        <v>150</v>
      </c>
      <c r="G4" s="2">
        <v>172</v>
      </c>
      <c r="H4" s="2">
        <v>171</v>
      </c>
      <c r="I4" s="2">
        <v>148</v>
      </c>
      <c r="J4" s="2">
        <v>157</v>
      </c>
      <c r="K4" s="2">
        <v>198</v>
      </c>
      <c r="L4" s="2">
        <v>203</v>
      </c>
      <c r="M4" s="2">
        <v>174</v>
      </c>
      <c r="N4" s="5" t="s">
        <v>24</v>
      </c>
      <c r="R4" s="4" t="s">
        <v>26</v>
      </c>
      <c r="S4" s="2">
        <v>4817</v>
      </c>
      <c r="T4" s="2">
        <v>3428</v>
      </c>
      <c r="U4" s="2">
        <v>3985</v>
      </c>
      <c r="V4" s="2">
        <v>3215</v>
      </c>
      <c r="W4" s="2">
        <v>3108</v>
      </c>
      <c r="X4" s="2">
        <v>3871</v>
      </c>
      <c r="Y4" s="2">
        <v>2940</v>
      </c>
      <c r="Z4" s="2">
        <v>3583</v>
      </c>
      <c r="AA4" s="2">
        <v>2737</v>
      </c>
      <c r="AB4" s="2">
        <v>4123</v>
      </c>
      <c r="AC4" s="2">
        <v>4319</v>
      </c>
      <c r="AD4" s="2">
        <v>3635</v>
      </c>
      <c r="AE4" s="5"/>
    </row>
    <row r="5" spans="1:44" x14ac:dyDescent="0.3">
      <c r="A5" s="4" t="s">
        <v>27</v>
      </c>
      <c r="B5" s="2">
        <v>267</v>
      </c>
      <c r="C5" s="2">
        <v>157</v>
      </c>
      <c r="D5" s="2">
        <v>174</v>
      </c>
      <c r="E5" s="2">
        <v>214</v>
      </c>
      <c r="F5" s="2">
        <v>223</v>
      </c>
      <c r="G5" s="2">
        <v>204</v>
      </c>
      <c r="H5" s="2">
        <v>216</v>
      </c>
      <c r="I5" s="2">
        <v>225</v>
      </c>
      <c r="J5" s="2">
        <v>175</v>
      </c>
      <c r="K5" s="2">
        <v>214</v>
      </c>
      <c r="L5" s="2">
        <v>200</v>
      </c>
      <c r="M5" s="2">
        <v>228</v>
      </c>
      <c r="N5" s="5" t="s">
        <v>24</v>
      </c>
      <c r="R5" s="4" t="s">
        <v>27</v>
      </c>
      <c r="S5" s="2">
        <v>6391</v>
      </c>
      <c r="T5" s="2">
        <v>3816</v>
      </c>
      <c r="U5" s="2">
        <v>4095</v>
      </c>
      <c r="V5" s="2">
        <v>5040</v>
      </c>
      <c r="W5" s="2">
        <v>5626</v>
      </c>
      <c r="X5" s="2">
        <v>4505</v>
      </c>
      <c r="Y5" s="2">
        <v>5254</v>
      </c>
      <c r="Z5" s="2">
        <v>5413</v>
      </c>
      <c r="AA5" s="2">
        <v>3576</v>
      </c>
      <c r="AB5" s="2">
        <v>4785</v>
      </c>
      <c r="AC5" s="2">
        <v>5124</v>
      </c>
      <c r="AD5" s="2">
        <v>4501</v>
      </c>
      <c r="AE5" s="5"/>
    </row>
    <row r="6" spans="1:44" x14ac:dyDescent="0.3">
      <c r="A6" s="4" t="s">
        <v>28</v>
      </c>
      <c r="B6" s="2">
        <v>409</v>
      </c>
      <c r="C6" s="2">
        <v>260</v>
      </c>
      <c r="D6" s="2">
        <v>199</v>
      </c>
      <c r="E6" s="2">
        <v>149</v>
      </c>
      <c r="F6" s="2">
        <v>179</v>
      </c>
      <c r="G6" s="2">
        <v>380</v>
      </c>
      <c r="H6" s="2">
        <v>117</v>
      </c>
      <c r="I6" s="2">
        <v>525</v>
      </c>
      <c r="J6" s="2">
        <v>164</v>
      </c>
      <c r="K6" s="2">
        <v>124</v>
      </c>
      <c r="L6" s="2">
        <v>208</v>
      </c>
      <c r="M6" s="2">
        <v>110</v>
      </c>
      <c r="N6" s="5" t="s">
        <v>24</v>
      </c>
      <c r="R6" s="4" t="s">
        <v>28</v>
      </c>
      <c r="S6" s="2">
        <v>9298</v>
      </c>
      <c r="T6" s="2">
        <v>6095</v>
      </c>
      <c r="U6" s="2">
        <v>4796</v>
      </c>
      <c r="V6" s="2">
        <v>4032</v>
      </c>
      <c r="W6" s="2">
        <v>4358</v>
      </c>
      <c r="X6" s="2">
        <v>8777</v>
      </c>
      <c r="Y6" s="2">
        <v>2816</v>
      </c>
      <c r="Z6" s="2">
        <v>12489</v>
      </c>
      <c r="AA6" s="2">
        <v>4125</v>
      </c>
      <c r="AB6" s="2">
        <v>3299</v>
      </c>
      <c r="AC6" s="2">
        <v>4831</v>
      </c>
      <c r="AD6" s="2">
        <v>3122</v>
      </c>
      <c r="AE6" s="5"/>
    </row>
    <row r="7" spans="1:44" x14ac:dyDescent="0.3">
      <c r="A7" s="4" t="s">
        <v>29</v>
      </c>
      <c r="B7" s="2">
        <v>758</v>
      </c>
      <c r="C7" s="2">
        <v>462</v>
      </c>
      <c r="D7" s="2">
        <v>560</v>
      </c>
      <c r="E7" s="2">
        <v>614</v>
      </c>
      <c r="F7" s="2">
        <v>563</v>
      </c>
      <c r="G7" s="2">
        <v>742</v>
      </c>
      <c r="H7" s="2">
        <v>567</v>
      </c>
      <c r="I7" s="2">
        <v>499</v>
      </c>
      <c r="J7" s="2">
        <v>1096</v>
      </c>
      <c r="K7" s="2">
        <v>934</v>
      </c>
      <c r="L7" s="2">
        <v>924</v>
      </c>
      <c r="M7" s="2">
        <v>554</v>
      </c>
      <c r="N7" s="5" t="s">
        <v>24</v>
      </c>
      <c r="R7" s="4" t="s">
        <v>29</v>
      </c>
      <c r="S7" s="2">
        <v>18452</v>
      </c>
      <c r="T7" s="2">
        <v>10236</v>
      </c>
      <c r="U7" s="2">
        <v>11437</v>
      </c>
      <c r="V7" s="2">
        <v>13603</v>
      </c>
      <c r="W7" s="2">
        <v>12955</v>
      </c>
      <c r="X7" s="2">
        <v>16982</v>
      </c>
      <c r="Y7" s="2">
        <v>12393</v>
      </c>
      <c r="Z7" s="2">
        <v>11619</v>
      </c>
      <c r="AA7" s="2">
        <v>25038</v>
      </c>
      <c r="AB7" s="2">
        <v>22100</v>
      </c>
      <c r="AC7" s="2">
        <v>21854</v>
      </c>
      <c r="AD7" s="2">
        <v>13198</v>
      </c>
      <c r="AE7" s="5"/>
    </row>
    <row r="8" spans="1:44" x14ac:dyDescent="0.3">
      <c r="A8" s="4" t="s">
        <v>30</v>
      </c>
      <c r="B8" s="2">
        <v>295</v>
      </c>
      <c r="C8" s="2">
        <v>231</v>
      </c>
      <c r="D8" s="2">
        <v>339</v>
      </c>
      <c r="E8" s="2">
        <v>198</v>
      </c>
      <c r="F8" s="2">
        <v>213</v>
      </c>
      <c r="G8" s="2">
        <v>169</v>
      </c>
      <c r="H8" s="2">
        <v>241</v>
      </c>
      <c r="I8" s="2">
        <v>152</v>
      </c>
      <c r="J8" s="2">
        <v>162</v>
      </c>
      <c r="K8" s="2">
        <v>206</v>
      </c>
      <c r="L8" s="2">
        <v>158</v>
      </c>
      <c r="M8" s="2">
        <v>171</v>
      </c>
      <c r="N8" s="5" t="s">
        <v>24</v>
      </c>
      <c r="R8" s="4" t="s">
        <v>30</v>
      </c>
      <c r="S8" s="2">
        <v>6190</v>
      </c>
      <c r="T8" s="2">
        <v>5873</v>
      </c>
      <c r="U8" s="2">
        <v>7895</v>
      </c>
      <c r="V8" s="2">
        <v>4918</v>
      </c>
      <c r="W8" s="2">
        <v>4339</v>
      </c>
      <c r="X8" s="2">
        <v>3395</v>
      </c>
      <c r="Y8" s="2">
        <v>5583</v>
      </c>
      <c r="Z8" s="2">
        <v>3545</v>
      </c>
      <c r="AA8" s="2">
        <v>3809</v>
      </c>
      <c r="AB8" s="2">
        <v>4828</v>
      </c>
      <c r="AC8" s="2">
        <v>3166</v>
      </c>
      <c r="AD8" s="2">
        <v>3756</v>
      </c>
      <c r="AE8" s="5"/>
    </row>
    <row r="9" spans="1:44" x14ac:dyDescent="0.3">
      <c r="A9" s="4" t="s">
        <v>31</v>
      </c>
      <c r="B9" s="2">
        <v>123</v>
      </c>
      <c r="C9" s="2">
        <v>119</v>
      </c>
      <c r="D9" s="2">
        <v>124</v>
      </c>
      <c r="E9" s="2">
        <v>114</v>
      </c>
      <c r="F9" s="2">
        <v>1</v>
      </c>
      <c r="G9" s="2">
        <v>2</v>
      </c>
      <c r="H9" s="2">
        <v>2</v>
      </c>
      <c r="I9" s="2">
        <v>1</v>
      </c>
      <c r="J9" s="2">
        <v>2</v>
      </c>
      <c r="K9" s="2">
        <v>2</v>
      </c>
      <c r="L9" s="2">
        <v>3</v>
      </c>
      <c r="M9" s="2">
        <v>1</v>
      </c>
      <c r="N9" s="5" t="s">
        <v>24</v>
      </c>
      <c r="R9" s="4" t="s">
        <v>31</v>
      </c>
      <c r="S9" s="2">
        <v>3292</v>
      </c>
      <c r="T9" s="2">
        <v>2630</v>
      </c>
      <c r="U9" s="2">
        <v>2521</v>
      </c>
      <c r="V9" s="2">
        <v>2991</v>
      </c>
      <c r="W9" s="2">
        <v>29</v>
      </c>
      <c r="X9" s="2">
        <v>12</v>
      </c>
      <c r="Y9" s="2">
        <v>28</v>
      </c>
      <c r="Z9" s="2">
        <v>19</v>
      </c>
      <c r="AA9" s="2">
        <v>41</v>
      </c>
      <c r="AB9" s="2">
        <v>5</v>
      </c>
      <c r="AC9" s="2">
        <v>25</v>
      </c>
      <c r="AD9" s="2">
        <v>3</v>
      </c>
      <c r="AE9" s="5"/>
    </row>
    <row r="11" spans="1:44" ht="43.2" x14ac:dyDescent="0.3">
      <c r="A11" s="3" t="s">
        <v>33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  <c r="R11" s="3" t="s">
        <v>48</v>
      </c>
      <c r="S11" s="4">
        <v>1</v>
      </c>
      <c r="T11" s="4">
        <v>2</v>
      </c>
      <c r="U11" s="4">
        <v>3</v>
      </c>
      <c r="V11" s="4">
        <v>4</v>
      </c>
      <c r="W11" s="4">
        <v>5</v>
      </c>
      <c r="X11" s="4">
        <v>6</v>
      </c>
      <c r="Y11" s="4">
        <v>7</v>
      </c>
      <c r="Z11" s="4">
        <v>8</v>
      </c>
      <c r="AA11" s="4">
        <v>9</v>
      </c>
      <c r="AB11" s="4">
        <v>10</v>
      </c>
      <c r="AC11" s="4">
        <v>11</v>
      </c>
      <c r="AD11" s="4">
        <v>12</v>
      </c>
      <c r="AF11" s="3" t="s">
        <v>48</v>
      </c>
      <c r="AG11" s="4">
        <v>1</v>
      </c>
      <c r="AH11" s="4">
        <v>2</v>
      </c>
      <c r="AI11" s="4">
        <v>3</v>
      </c>
      <c r="AJ11" s="4">
        <v>4</v>
      </c>
      <c r="AK11" s="4">
        <v>5</v>
      </c>
      <c r="AL11" s="4">
        <v>6</v>
      </c>
      <c r="AM11" s="4">
        <v>7</v>
      </c>
      <c r="AN11" s="4">
        <v>8</v>
      </c>
      <c r="AO11" s="4">
        <v>9</v>
      </c>
      <c r="AP11" s="4">
        <v>10</v>
      </c>
      <c r="AQ11" s="4">
        <v>11</v>
      </c>
      <c r="AR11" s="4">
        <v>12</v>
      </c>
    </row>
    <row r="12" spans="1:44" x14ac:dyDescent="0.3">
      <c r="A12" s="4" t="s">
        <v>23</v>
      </c>
      <c r="B12" s="2">
        <f>(B2-168.85)/87.034</f>
        <v>37.561757474090584</v>
      </c>
      <c r="C12" s="2">
        <f t="shared" ref="C12:M13" si="0">(C2-168.85)/87.034</f>
        <v>29.829147229818229</v>
      </c>
      <c r="D12" s="2">
        <f t="shared" si="0"/>
        <v>28.921455982719397</v>
      </c>
      <c r="E12" s="2">
        <f t="shared" si="0"/>
        <v>29.737229128846199</v>
      </c>
      <c r="F12" s="2">
        <f t="shared" si="0"/>
        <v>27.875887584162509</v>
      </c>
      <c r="G12" s="2">
        <f t="shared" si="0"/>
        <v>25.118344555001492</v>
      </c>
      <c r="H12" s="2">
        <f t="shared" si="0"/>
        <v>22.108026748167383</v>
      </c>
      <c r="I12" s="2">
        <f t="shared" si="0"/>
        <v>15.604821104395983</v>
      </c>
      <c r="J12" s="2">
        <f t="shared" si="0"/>
        <v>8.2743525518762766</v>
      </c>
      <c r="K12" s="2">
        <f t="shared" si="0"/>
        <v>3.0005515086058319</v>
      </c>
      <c r="L12" s="2">
        <f t="shared" si="0"/>
        <v>1.4379437920812557</v>
      </c>
      <c r="M12" s="2">
        <f t="shared" si="0"/>
        <v>0.41535491876737829</v>
      </c>
      <c r="N12" s="5"/>
      <c r="R12" s="4" t="s">
        <v>23</v>
      </c>
      <c r="S12" s="2">
        <f>(S2-2933)/1952.6</f>
        <v>40.473727337908429</v>
      </c>
      <c r="T12" s="2">
        <f t="shared" ref="T12:AD12" si="1">(T2-2933)/1952.6</f>
        <v>32.429581071391993</v>
      </c>
      <c r="U12" s="2">
        <f t="shared" si="1"/>
        <v>31.655228925535184</v>
      </c>
      <c r="V12" s="2">
        <f t="shared" si="1"/>
        <v>31.327972959131415</v>
      </c>
      <c r="W12" s="2">
        <f t="shared" si="1"/>
        <v>27.78449247157636</v>
      </c>
      <c r="X12" s="2">
        <f t="shared" si="1"/>
        <v>25.060944381849843</v>
      </c>
      <c r="Y12" s="2">
        <f t="shared" si="1"/>
        <v>20.723138379596435</v>
      </c>
      <c r="Z12" s="2">
        <f t="shared" si="1"/>
        <v>15.689337293864591</v>
      </c>
      <c r="AA12" s="2">
        <f t="shared" si="1"/>
        <v>8.4082761446276759</v>
      </c>
      <c r="AB12" s="2">
        <f t="shared" si="1"/>
        <v>2.9519614872477722</v>
      </c>
      <c r="AC12" s="2">
        <f t="shared" si="1"/>
        <v>1.6301341800676024</v>
      </c>
      <c r="AD12" s="2">
        <f t="shared" si="1"/>
        <v>0.58076410939260481</v>
      </c>
      <c r="AE12" s="5"/>
      <c r="AF12" s="4" t="s">
        <v>23</v>
      </c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1:44" x14ac:dyDescent="0.3">
      <c r="A13" s="4" t="s">
        <v>25</v>
      </c>
      <c r="B13" s="2">
        <f>(B3-168.85)/87.034</f>
        <v>47.707217868878821</v>
      </c>
      <c r="C13" s="2">
        <f t="shared" si="0"/>
        <v>36.355332398832637</v>
      </c>
      <c r="D13" s="2">
        <f t="shared" si="0"/>
        <v>32.724567410437302</v>
      </c>
      <c r="E13" s="2">
        <f t="shared" si="0"/>
        <v>30.955143966725647</v>
      </c>
      <c r="F13" s="2">
        <f t="shared" si="0"/>
        <v>27.083093963278717</v>
      </c>
      <c r="G13" s="2">
        <f t="shared" si="0"/>
        <v>22.590596778270559</v>
      </c>
      <c r="H13" s="2">
        <f t="shared" si="0"/>
        <v>21.430130753498631</v>
      </c>
      <c r="I13" s="2">
        <f t="shared" si="0"/>
        <v>15.983983270905624</v>
      </c>
      <c r="J13" s="2">
        <f t="shared" si="0"/>
        <v>8.8258611577084807</v>
      </c>
      <c r="K13" s="2">
        <f t="shared" si="0"/>
        <v>2.7018176804467218</v>
      </c>
      <c r="L13" s="2">
        <f t="shared" si="0"/>
        <v>1.7711469081048785</v>
      </c>
      <c r="M13" s="2">
        <f t="shared" si="0"/>
        <v>0.58770135808994184</v>
      </c>
      <c r="N13" s="5"/>
      <c r="R13" s="4" t="s">
        <v>25</v>
      </c>
      <c r="S13" s="2">
        <f t="shared" ref="S13:AD13" si="2">(S3-2933)/1952.6</f>
        <v>47.2651848816962</v>
      </c>
      <c r="T13" s="2">
        <f t="shared" si="2"/>
        <v>37.632387585783057</v>
      </c>
      <c r="U13" s="2">
        <f t="shared" si="2"/>
        <v>34.406432449042306</v>
      </c>
      <c r="V13" s="2">
        <f t="shared" si="2"/>
        <v>31.850865512649801</v>
      </c>
      <c r="W13" s="2">
        <f t="shared" si="2"/>
        <v>27.774249718324288</v>
      </c>
      <c r="X13" s="2">
        <f t="shared" si="2"/>
        <v>24.397726108778041</v>
      </c>
      <c r="Y13" s="2">
        <f t="shared" si="2"/>
        <v>21.13540919799242</v>
      </c>
      <c r="Z13" s="2">
        <f t="shared" si="2"/>
        <v>15.967428044658405</v>
      </c>
      <c r="AA13" s="2">
        <f t="shared" si="2"/>
        <v>8.4374679913960868</v>
      </c>
      <c r="AB13" s="2">
        <f t="shared" si="2"/>
        <v>3.1639864795657076</v>
      </c>
      <c r="AC13" s="2">
        <f t="shared" si="2"/>
        <v>1.3530677045989963</v>
      </c>
      <c r="AD13" s="2">
        <f t="shared" si="2"/>
        <v>0.75898801597869514</v>
      </c>
      <c r="AE13" s="5"/>
      <c r="AF13" s="4" t="s">
        <v>25</v>
      </c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1:44" x14ac:dyDescent="0.3">
      <c r="A14" s="4" t="s">
        <v>26</v>
      </c>
      <c r="B14" s="2">
        <f t="shared" ref="B14:M14" si="3">(B4-168.85)/87.034</f>
        <v>0.24300847944481471</v>
      </c>
      <c r="C14" s="2">
        <f t="shared" si="3"/>
        <v>2.4702989636234178E-2</v>
      </c>
      <c r="D14" s="2">
        <f t="shared" si="3"/>
        <v>0.40386515614587404</v>
      </c>
      <c r="E14" s="2">
        <f t="shared" si="3"/>
        <v>0.17406990371578929</v>
      </c>
      <c r="F14" s="2">
        <f t="shared" si="3"/>
        <v>-0.21658202541535485</v>
      </c>
      <c r="G14" s="2">
        <f t="shared" si="3"/>
        <v>3.6192752257738416E-2</v>
      </c>
      <c r="H14" s="2">
        <f t="shared" si="3"/>
        <v>2.4702989636234178E-2</v>
      </c>
      <c r="I14" s="2">
        <f t="shared" si="3"/>
        <v>-0.23956155065836332</v>
      </c>
      <c r="J14" s="2">
        <f t="shared" si="3"/>
        <v>-0.13615368706482517</v>
      </c>
      <c r="K14" s="2">
        <f t="shared" si="3"/>
        <v>0.33492658041684864</v>
      </c>
      <c r="L14" s="2">
        <f t="shared" si="3"/>
        <v>0.39237539352436984</v>
      </c>
      <c r="M14" s="2">
        <f t="shared" si="3"/>
        <v>5.9172277500746898E-2</v>
      </c>
      <c r="N14" s="5"/>
      <c r="R14" s="4" t="s">
        <v>26</v>
      </c>
      <c r="S14" s="2">
        <f t="shared" ref="S14:AD14" si="4">(S4-2933)/1952.6</f>
        <v>0.96486735634538567</v>
      </c>
      <c r="T14" s="2">
        <f t="shared" si="4"/>
        <v>0.25350814298883539</v>
      </c>
      <c r="U14" s="2">
        <f t="shared" si="4"/>
        <v>0.53876882105910073</v>
      </c>
      <c r="V14" s="2">
        <f t="shared" si="4"/>
        <v>0.14442282085424563</v>
      </c>
      <c r="W14" s="2">
        <f t="shared" si="4"/>
        <v>8.9624090955648883E-2</v>
      </c>
      <c r="X14" s="2">
        <f t="shared" si="4"/>
        <v>0.48038512752227802</v>
      </c>
      <c r="Y14" s="2">
        <f t="shared" si="4"/>
        <v>3.5849636382259552E-3</v>
      </c>
      <c r="Z14" s="2">
        <f t="shared" si="4"/>
        <v>0.33288948069241014</v>
      </c>
      <c r="AA14" s="2">
        <f t="shared" si="4"/>
        <v>-0.10037898187032675</v>
      </c>
      <c r="AB14" s="2">
        <f t="shared" si="4"/>
        <v>0.60944381849841245</v>
      </c>
      <c r="AC14" s="2">
        <f t="shared" si="4"/>
        <v>0.70982280036873913</v>
      </c>
      <c r="AD14" s="2">
        <f t="shared" si="4"/>
        <v>0.35952063914780297</v>
      </c>
      <c r="AE14" s="5"/>
      <c r="AF14" s="4" t="s">
        <v>26</v>
      </c>
      <c r="AG14" s="2">
        <v>168.97852125138104</v>
      </c>
      <c r="AH14" s="2">
        <v>44.397222940251382</v>
      </c>
      <c r="AI14" s="2">
        <v>94.355310167968611</v>
      </c>
      <c r="AJ14" s="2">
        <v>25.292963372022001</v>
      </c>
      <c r="AK14" s="2">
        <v>15.695987908169682</v>
      </c>
      <c r="AL14" s="2">
        <v>84.130495187789492</v>
      </c>
      <c r="AM14" s="2">
        <v>0.62783951632678725</v>
      </c>
      <c r="AN14" s="2">
        <v>58.299383658915957</v>
      </c>
      <c r="AO14" s="2">
        <v>-17.579506457150046</v>
      </c>
      <c r="AP14" s="2">
        <v>106.73271777555385</v>
      </c>
      <c r="AQ14" s="2">
        <v>124.31222423270387</v>
      </c>
      <c r="AR14" s="2">
        <v>62.963334351629243</v>
      </c>
    </row>
    <row r="15" spans="1:44" x14ac:dyDescent="0.3">
      <c r="A15" s="4" t="s">
        <v>27</v>
      </c>
      <c r="B15" s="2">
        <f t="shared" ref="B15:M15" si="5">(B5-168.85)/87.034</f>
        <v>1.1277202013006411</v>
      </c>
      <c r="C15" s="2">
        <f t="shared" si="5"/>
        <v>-0.13615368706482517</v>
      </c>
      <c r="D15" s="2">
        <f t="shared" si="5"/>
        <v>5.9172277500746898E-2</v>
      </c>
      <c r="E15" s="2">
        <f t="shared" si="5"/>
        <v>0.51876278236091644</v>
      </c>
      <c r="F15" s="2">
        <f t="shared" si="5"/>
        <v>0.62217064595445459</v>
      </c>
      <c r="G15" s="2">
        <f t="shared" si="5"/>
        <v>0.40386515614587404</v>
      </c>
      <c r="H15" s="2">
        <f t="shared" si="5"/>
        <v>0.54174230760392494</v>
      </c>
      <c r="I15" s="2">
        <f t="shared" si="5"/>
        <v>0.6451501711974631</v>
      </c>
      <c r="J15" s="2">
        <f t="shared" si="5"/>
        <v>7.0662040122251135E-2</v>
      </c>
      <c r="K15" s="2">
        <f t="shared" si="5"/>
        <v>0.51876278236091644</v>
      </c>
      <c r="L15" s="2">
        <f t="shared" si="5"/>
        <v>0.35790610565985709</v>
      </c>
      <c r="M15" s="2">
        <f t="shared" si="5"/>
        <v>0.67961945906197585</v>
      </c>
      <c r="N15" s="5"/>
      <c r="R15" s="4" t="s">
        <v>27</v>
      </c>
      <c r="S15" s="2">
        <f t="shared" ref="S15:AD15" si="6">(S5-2933)/1952.6</f>
        <v>1.770972037283622</v>
      </c>
      <c r="T15" s="2">
        <f t="shared" si="6"/>
        <v>0.4522175560790741</v>
      </c>
      <c r="U15" s="2">
        <f t="shared" si="6"/>
        <v>0.59510396394550857</v>
      </c>
      <c r="V15" s="2">
        <f t="shared" si="6"/>
        <v>1.0790740551060125</v>
      </c>
      <c r="W15" s="2">
        <f t="shared" si="6"/>
        <v>1.3791867253917853</v>
      </c>
      <c r="X15" s="2">
        <f t="shared" si="6"/>
        <v>0.80508040561302885</v>
      </c>
      <c r="Y15" s="2">
        <f t="shared" si="6"/>
        <v>1.1886715149032061</v>
      </c>
      <c r="Z15" s="2">
        <f t="shared" si="6"/>
        <v>1.2701014032571956</v>
      </c>
      <c r="AA15" s="2">
        <f t="shared" si="6"/>
        <v>0.32930451705418418</v>
      </c>
      <c r="AB15" s="2">
        <f t="shared" si="6"/>
        <v>0.94847895114206704</v>
      </c>
      <c r="AC15" s="2">
        <f t="shared" si="6"/>
        <v>1.1220936187647239</v>
      </c>
      <c r="AD15" s="2">
        <f t="shared" si="6"/>
        <v>0.80303185496261398</v>
      </c>
      <c r="AE15" s="5"/>
      <c r="AF15" s="4" t="s">
        <v>27</v>
      </c>
      <c r="AG15" s="2">
        <v>310.15272106543296</v>
      </c>
      <c r="AH15" s="2">
        <v>79.197470416650447</v>
      </c>
      <c r="AI15" s="2">
        <v>104.22135971024669</v>
      </c>
      <c r="AJ15" s="2">
        <v>188.97969441436297</v>
      </c>
      <c r="AK15" s="2">
        <v>241.53883106686257</v>
      </c>
      <c r="AL15" s="2">
        <v>140.99481709510135</v>
      </c>
      <c r="AM15" s="2">
        <v>208.17364534206763</v>
      </c>
      <c r="AN15" s="2">
        <v>222.43457149863323</v>
      </c>
      <c r="AO15" s="2">
        <v>57.671544142589177</v>
      </c>
      <c r="AP15" s="2">
        <v>166.10839774817285</v>
      </c>
      <c r="AQ15" s="2">
        <v>196.51376861028442</v>
      </c>
      <c r="AR15" s="2">
        <v>140.63605165720037</v>
      </c>
    </row>
    <row r="16" spans="1:44" x14ac:dyDescent="0.3">
      <c r="A16" s="4" t="s">
        <v>28</v>
      </c>
      <c r="B16" s="2">
        <f t="shared" ref="B16:M16" si="7">(B6-168.85)/87.034</f>
        <v>2.759266493554243</v>
      </c>
      <c r="C16" s="2">
        <f t="shared" si="7"/>
        <v>1.0472918629501113</v>
      </c>
      <c r="D16" s="2">
        <f t="shared" si="7"/>
        <v>0.34641634303835289</v>
      </c>
      <c r="E16" s="2">
        <f t="shared" si="7"/>
        <v>-0.22807178803685907</v>
      </c>
      <c r="F16" s="2">
        <f t="shared" si="7"/>
        <v>0.11662109060826809</v>
      </c>
      <c r="G16" s="2">
        <f t="shared" si="7"/>
        <v>2.4260633775306202</v>
      </c>
      <c r="H16" s="2">
        <f t="shared" si="7"/>
        <v>-0.59574419192499473</v>
      </c>
      <c r="I16" s="2">
        <f t="shared" si="7"/>
        <v>4.0920789576487344</v>
      </c>
      <c r="J16" s="2">
        <f t="shared" si="7"/>
        <v>-5.5725348714295492E-2</v>
      </c>
      <c r="K16" s="2">
        <f t="shared" si="7"/>
        <v>-0.51531585357446508</v>
      </c>
      <c r="L16" s="2">
        <f t="shared" si="7"/>
        <v>0.44982420663189104</v>
      </c>
      <c r="M16" s="2">
        <f t="shared" si="7"/>
        <v>-0.67617253027552437</v>
      </c>
      <c r="N16" s="5"/>
      <c r="R16" s="4" t="s">
        <v>28</v>
      </c>
      <c r="S16" s="2">
        <f t="shared" ref="S16:AD16" si="8">(S6-2933)/1952.6</f>
        <v>3.2597562224726007</v>
      </c>
      <c r="T16" s="2">
        <f t="shared" si="8"/>
        <v>1.6193792891529244</v>
      </c>
      <c r="U16" s="2">
        <f t="shared" si="8"/>
        <v>0.95411246543070782</v>
      </c>
      <c r="V16" s="2">
        <f t="shared" si="8"/>
        <v>0.56283929120147502</v>
      </c>
      <c r="W16" s="2">
        <f t="shared" si="8"/>
        <v>0.72979616921028378</v>
      </c>
      <c r="X16" s="2">
        <f t="shared" si="8"/>
        <v>2.9929325002560692</v>
      </c>
      <c r="Y16" s="2">
        <f t="shared" si="8"/>
        <v>-5.9920106524633823E-2</v>
      </c>
      <c r="Z16" s="2">
        <f t="shared" si="8"/>
        <v>4.893987503841033</v>
      </c>
      <c r="AA16" s="2">
        <f t="shared" si="8"/>
        <v>0.61046809382361977</v>
      </c>
      <c r="AB16" s="2">
        <f t="shared" si="8"/>
        <v>0.18744238451295708</v>
      </c>
      <c r="AC16" s="2">
        <f t="shared" si="8"/>
        <v>0.97203728362183761</v>
      </c>
      <c r="AD16" s="2">
        <f t="shared" si="8"/>
        <v>9.6794018232100792E-2</v>
      </c>
      <c r="AE16" s="5"/>
      <c r="AF16" s="4" t="s">
        <v>28</v>
      </c>
      <c r="AG16" s="2">
        <v>570.88550306000013</v>
      </c>
      <c r="AH16" s="2">
        <v>283.60407866075735</v>
      </c>
      <c r="AI16" s="2">
        <v>167.09500270240068</v>
      </c>
      <c r="AJ16" s="2">
        <v>98.570804063305602</v>
      </c>
      <c r="AK16" s="2">
        <v>127.81018725223885</v>
      </c>
      <c r="AL16" s="2">
        <v>524.15630477339209</v>
      </c>
      <c r="AM16" s="2">
        <v>-10.493889058604873</v>
      </c>
      <c r="AN16" s="2">
        <v>857.09063114553987</v>
      </c>
      <c r="AO16" s="2">
        <v>106.91210049450434</v>
      </c>
      <c r="AP16" s="2">
        <v>32.827037567943449</v>
      </c>
      <c r="AQ16" s="2">
        <v>170.23420028403461</v>
      </c>
      <c r="AR16" s="2">
        <v>16.951666940823255</v>
      </c>
    </row>
    <row r="17" spans="1:44" x14ac:dyDescent="0.3">
      <c r="A17" s="4" t="s">
        <v>29</v>
      </c>
      <c r="B17" s="2">
        <f t="shared" ref="B17:M17" si="9">(B7-168.85)/87.034</f>
        <v>6.7691936484592219</v>
      </c>
      <c r="C17" s="2">
        <f t="shared" si="9"/>
        <v>3.3682239124939675</v>
      </c>
      <c r="D17" s="2">
        <f t="shared" si="9"/>
        <v>4.4942206494013828</v>
      </c>
      <c r="E17" s="2">
        <f t="shared" si="9"/>
        <v>5.1146678309626115</v>
      </c>
      <c r="F17" s="2">
        <f t="shared" si="9"/>
        <v>4.5286899372658951</v>
      </c>
      <c r="G17" s="2">
        <f t="shared" si="9"/>
        <v>6.5853574465151539</v>
      </c>
      <c r="H17" s="2">
        <f t="shared" si="9"/>
        <v>4.5746489877519121</v>
      </c>
      <c r="I17" s="2">
        <f t="shared" si="9"/>
        <v>3.7933451294896243</v>
      </c>
      <c r="J17" s="2">
        <f t="shared" si="9"/>
        <v>10.652733414527654</v>
      </c>
      <c r="K17" s="2">
        <f t="shared" si="9"/>
        <v>8.7913918698439684</v>
      </c>
      <c r="L17" s="2">
        <f t="shared" si="9"/>
        <v>8.676494243628925</v>
      </c>
      <c r="M17" s="2">
        <f t="shared" si="9"/>
        <v>4.4252820736723573</v>
      </c>
      <c r="N17" s="5"/>
      <c r="R17" s="4" t="s">
        <v>29</v>
      </c>
      <c r="S17" s="2">
        <f t="shared" ref="S17:AD17" si="10">(S7-2933)/1952.6</f>
        <v>7.9478643859469429</v>
      </c>
      <c r="T17" s="2">
        <f t="shared" si="10"/>
        <v>3.7401413499948788</v>
      </c>
      <c r="U17" s="2">
        <f t="shared" si="10"/>
        <v>4.3552186827819321</v>
      </c>
      <c r="V17" s="2">
        <f t="shared" si="10"/>
        <v>5.4645088599815637</v>
      </c>
      <c r="W17" s="2">
        <f t="shared" si="10"/>
        <v>5.1326436546143608</v>
      </c>
      <c r="X17" s="2">
        <f t="shared" si="10"/>
        <v>7.1950220219194927</v>
      </c>
      <c r="Y17" s="2">
        <f t="shared" si="10"/>
        <v>4.844822288231077</v>
      </c>
      <c r="Z17" s="2">
        <f t="shared" si="10"/>
        <v>4.4484277373758072</v>
      </c>
      <c r="AA17" s="2">
        <f t="shared" si="10"/>
        <v>11.320803031854963</v>
      </c>
      <c r="AB17" s="2">
        <f t="shared" si="10"/>
        <v>9.8161425791252697</v>
      </c>
      <c r="AC17" s="2">
        <f t="shared" si="10"/>
        <v>9.6901567141247575</v>
      </c>
      <c r="AD17" s="2">
        <f t="shared" si="10"/>
        <v>5.2570931066270612</v>
      </c>
      <c r="AE17" s="5"/>
      <c r="AF17" s="4" t="s">
        <v>29</v>
      </c>
      <c r="AG17" s="2">
        <v>1391.9202076964873</v>
      </c>
      <c r="AH17" s="2">
        <v>655.01599824778964</v>
      </c>
      <c r="AI17" s="2">
        <v>762.73532097757129</v>
      </c>
      <c r="AJ17" s="2">
        <v>957.0068056009743</v>
      </c>
      <c r="AK17" s="2">
        <v>898.8868046610088</v>
      </c>
      <c r="AL17" s="2">
        <v>1260.0739092678621</v>
      </c>
      <c r="AM17" s="2">
        <v>848.48026063591533</v>
      </c>
      <c r="AN17" s="2">
        <v>779.05914840206776</v>
      </c>
      <c r="AO17" s="2">
        <v>1982.627501200519</v>
      </c>
      <c r="AP17" s="2">
        <v>1719.1142870622189</v>
      </c>
      <c r="AQ17" s="2">
        <v>1697.0502126313061</v>
      </c>
      <c r="AR17" s="2">
        <v>920.68180501349582</v>
      </c>
    </row>
    <row r="18" spans="1:44" x14ac:dyDescent="0.3">
      <c r="A18" s="4" t="s">
        <v>30</v>
      </c>
      <c r="B18" s="2">
        <f t="shared" ref="B18:M18" si="11">(B8-168.85)/87.034</f>
        <v>1.4494335547027597</v>
      </c>
      <c r="C18" s="2">
        <f t="shared" si="11"/>
        <v>0.71408874692648849</v>
      </c>
      <c r="D18" s="2">
        <f t="shared" si="11"/>
        <v>1.9549831100489463</v>
      </c>
      <c r="E18" s="2">
        <f t="shared" si="11"/>
        <v>0.33492658041684864</v>
      </c>
      <c r="F18" s="2">
        <f t="shared" si="11"/>
        <v>0.50727301973941219</v>
      </c>
      <c r="G18" s="2">
        <f t="shared" si="11"/>
        <v>1.7234643932257012E-3</v>
      </c>
      <c r="H18" s="2">
        <f t="shared" si="11"/>
        <v>0.8289863731415309</v>
      </c>
      <c r="I18" s="2">
        <f t="shared" si="11"/>
        <v>-0.19360250017234637</v>
      </c>
      <c r="J18" s="2">
        <f t="shared" si="11"/>
        <v>-7.8704873957303967E-2</v>
      </c>
      <c r="K18" s="2">
        <f t="shared" si="11"/>
        <v>0.42684468138888254</v>
      </c>
      <c r="L18" s="2">
        <f t="shared" si="11"/>
        <v>-0.12466392444332093</v>
      </c>
      <c r="M18" s="2">
        <f t="shared" si="11"/>
        <v>2.4702989636234178E-2</v>
      </c>
      <c r="N18" s="5">
        <f>MAX(B14:M19)</f>
        <v>10.652733414527654</v>
      </c>
      <c r="R18" s="4" t="s">
        <v>30</v>
      </c>
      <c r="S18" s="2">
        <f t="shared" ref="S18:AD18" si="12">(S8-2933)/1952.6</f>
        <v>1.6680323671002766</v>
      </c>
      <c r="T18" s="2">
        <f t="shared" si="12"/>
        <v>1.5056847280549013</v>
      </c>
      <c r="U18" s="2">
        <f t="shared" si="12"/>
        <v>2.5412270818395988</v>
      </c>
      <c r="V18" s="2">
        <f t="shared" si="12"/>
        <v>1.0165932602683603</v>
      </c>
      <c r="W18" s="2">
        <f t="shared" si="12"/>
        <v>0.72006555362081326</v>
      </c>
      <c r="X18" s="2">
        <f t="shared" si="12"/>
        <v>0.23660760012291304</v>
      </c>
      <c r="Y18" s="2">
        <f t="shared" si="12"/>
        <v>1.357164805899826</v>
      </c>
      <c r="Z18" s="2">
        <f t="shared" si="12"/>
        <v>0.31342824951346926</v>
      </c>
      <c r="AA18" s="2">
        <f t="shared" si="12"/>
        <v>0.44863259244084813</v>
      </c>
      <c r="AB18" s="2">
        <f t="shared" si="12"/>
        <v>0.97050087063402646</v>
      </c>
      <c r="AC18" s="2">
        <f t="shared" si="12"/>
        <v>0.11932807538666394</v>
      </c>
      <c r="AD18" s="2">
        <f t="shared" si="12"/>
        <v>0.42148929632285159</v>
      </c>
      <c r="AE18" s="5"/>
      <c r="AF18" s="4" t="s">
        <v>30</v>
      </c>
      <c r="AG18" s="2">
        <v>292.1247578109066</v>
      </c>
      <c r="AH18" s="2">
        <v>263.69259685725069</v>
      </c>
      <c r="AI18" s="2">
        <v>445.04852571621694</v>
      </c>
      <c r="AJ18" s="2">
        <v>178.03734855838184</v>
      </c>
      <c r="AK18" s="2">
        <v>126.10605142220898</v>
      </c>
      <c r="AL18" s="2">
        <v>41.437408077567959</v>
      </c>
      <c r="AM18" s="2">
        <v>237.68210260942661</v>
      </c>
      <c r="AN18" s="2">
        <v>54.891111998856267</v>
      </c>
      <c r="AO18" s="2">
        <v>78.569630900323673</v>
      </c>
      <c r="AP18" s="2">
        <v>169.96512620560884</v>
      </c>
      <c r="AQ18" s="2">
        <v>20.89808675773449</v>
      </c>
      <c r="AR18" s="2">
        <v>73.815988848135135</v>
      </c>
    </row>
    <row r="19" spans="1:44" x14ac:dyDescent="0.3">
      <c r="A19" s="4" t="s">
        <v>31</v>
      </c>
      <c r="B19" s="2">
        <f t="shared" ref="B19:M19" si="13">(B9-168.85)/87.034</f>
        <v>-0.52680561619596933</v>
      </c>
      <c r="C19" s="2">
        <f t="shared" si="13"/>
        <v>-0.57276466668198622</v>
      </c>
      <c r="D19" s="2">
        <f t="shared" si="13"/>
        <v>-0.51531585357446508</v>
      </c>
      <c r="E19" s="2">
        <f t="shared" si="13"/>
        <v>-0.63021347978950748</v>
      </c>
      <c r="F19" s="2">
        <f t="shared" si="13"/>
        <v>-1.9285566560194864</v>
      </c>
      <c r="G19" s="2">
        <f t="shared" si="13"/>
        <v>-1.9170668933979822</v>
      </c>
      <c r="H19" s="2">
        <f t="shared" si="13"/>
        <v>-1.9170668933979822</v>
      </c>
      <c r="I19" s="2">
        <f t="shared" si="13"/>
        <v>-1.9285566560194864</v>
      </c>
      <c r="J19" s="2">
        <f t="shared" si="13"/>
        <v>-1.9170668933979822</v>
      </c>
      <c r="K19" s="2">
        <f t="shared" si="13"/>
        <v>-1.9170668933979822</v>
      </c>
      <c r="L19" s="2">
        <f t="shared" si="13"/>
        <v>-1.9055771307764779</v>
      </c>
      <c r="M19" s="2">
        <f t="shared" si="13"/>
        <v>-1.9285566560194864</v>
      </c>
      <c r="N19" s="5"/>
      <c r="R19" s="4" t="s">
        <v>31</v>
      </c>
      <c r="S19" s="2">
        <f t="shared" ref="S19:AD19" si="14">(S9-2933)/1952.6</f>
        <v>0.18385742087473114</v>
      </c>
      <c r="T19" s="2">
        <f t="shared" si="14"/>
        <v>-0.1551777117689235</v>
      </c>
      <c r="U19" s="2">
        <f t="shared" si="14"/>
        <v>-0.21100071699272765</v>
      </c>
      <c r="V19" s="2">
        <f t="shared" si="14"/>
        <v>2.970398443101506E-2</v>
      </c>
      <c r="W19" s="2">
        <f t="shared" si="14"/>
        <v>-1.4872477722011677</v>
      </c>
      <c r="X19" s="2">
        <f t="shared" si="14"/>
        <v>-1.4959541124654308</v>
      </c>
      <c r="Y19" s="2">
        <f t="shared" si="14"/>
        <v>-1.4877599098637715</v>
      </c>
      <c r="Z19" s="2">
        <f t="shared" si="14"/>
        <v>-1.4923691488272048</v>
      </c>
      <c r="AA19" s="2">
        <f t="shared" si="14"/>
        <v>-1.4811021202499233</v>
      </c>
      <c r="AB19" s="2">
        <f t="shared" si="14"/>
        <v>-1.4995390761036567</v>
      </c>
      <c r="AC19" s="2">
        <f t="shared" si="14"/>
        <v>-1.4892963228515825</v>
      </c>
      <c r="AD19" s="2">
        <f t="shared" si="14"/>
        <v>-1.5005633514288641</v>
      </c>
      <c r="AE19" s="5"/>
      <c r="AF19" s="4" t="s">
        <v>31</v>
      </c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</row>
    <row r="20" spans="1:44" x14ac:dyDescent="0.3">
      <c r="A20" s="1"/>
      <c r="B20">
        <f>B13/((B2-2633.2)/1496.5)</f>
        <v>88.710054101363255</v>
      </c>
      <c r="R20" s="6"/>
      <c r="S20" t="s">
        <v>53</v>
      </c>
      <c r="AF20" s="6"/>
      <c r="AG20" t="s">
        <v>52</v>
      </c>
    </row>
    <row r="21" spans="1:44" x14ac:dyDescent="0.3">
      <c r="A21" s="1"/>
      <c r="AG21" t="s">
        <v>54</v>
      </c>
    </row>
    <row r="22" spans="1:44" ht="28.8" x14ac:dyDescent="0.3">
      <c r="A22" s="1" t="s">
        <v>51</v>
      </c>
    </row>
    <row r="23" spans="1:44" x14ac:dyDescent="0.3">
      <c r="A23" s="1" t="s">
        <v>32</v>
      </c>
    </row>
    <row r="24" spans="1:44" x14ac:dyDescent="0.3">
      <c r="A24" s="1">
        <v>16</v>
      </c>
      <c r="B24" s="2">
        <v>1527</v>
      </c>
      <c r="L24" t="s">
        <v>44</v>
      </c>
    </row>
    <row r="25" spans="1:44" x14ac:dyDescent="0.3">
      <c r="A25" s="1">
        <v>8</v>
      </c>
      <c r="B25" s="2">
        <v>889</v>
      </c>
      <c r="M25" s="8" t="s">
        <v>34</v>
      </c>
      <c r="N25" s="8"/>
      <c r="O25" s="8"/>
      <c r="P25" s="8" t="s">
        <v>35</v>
      </c>
      <c r="Q25" s="8"/>
      <c r="R25" s="8"/>
      <c r="S25" s="8" t="s">
        <v>47</v>
      </c>
      <c r="T25" s="8"/>
      <c r="U25" s="8"/>
      <c r="V25" s="8" t="s">
        <v>36</v>
      </c>
      <c r="W25" s="8"/>
      <c r="X25" s="8"/>
      <c r="Y25" s="8" t="s">
        <v>37</v>
      </c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</row>
    <row r="26" spans="1:44" x14ac:dyDescent="0.3">
      <c r="A26" s="1">
        <v>3.2</v>
      </c>
      <c r="B26" s="2">
        <v>430</v>
      </c>
      <c r="L26" t="s">
        <v>41</v>
      </c>
      <c r="M26" t="s">
        <v>38</v>
      </c>
      <c r="N26" t="s">
        <v>39</v>
      </c>
      <c r="O26" t="s">
        <v>40</v>
      </c>
      <c r="P26" t="s">
        <v>38</v>
      </c>
      <c r="Q26" t="s">
        <v>39</v>
      </c>
      <c r="R26" t="s">
        <v>40</v>
      </c>
      <c r="S26" t="s">
        <v>38</v>
      </c>
      <c r="T26" t="s">
        <v>39</v>
      </c>
      <c r="U26" t="s">
        <v>40</v>
      </c>
      <c r="V26" t="s">
        <v>38</v>
      </c>
      <c r="W26" t="s">
        <v>39</v>
      </c>
      <c r="X26" t="s">
        <v>40</v>
      </c>
      <c r="Y26" t="s">
        <v>38</v>
      </c>
      <c r="Z26" t="s">
        <v>39</v>
      </c>
      <c r="AA26" t="s">
        <v>40</v>
      </c>
    </row>
    <row r="27" spans="1:44" x14ac:dyDescent="0.3">
      <c r="A27" s="1">
        <v>1.6</v>
      </c>
      <c r="B27" s="2">
        <v>294</v>
      </c>
      <c r="L27">
        <v>1</v>
      </c>
      <c r="M27" s="2"/>
      <c r="N27" s="2">
        <v>15.695987908169682</v>
      </c>
      <c r="O27" s="2"/>
      <c r="P27" s="2">
        <v>310.15272106543296</v>
      </c>
      <c r="Q27" s="2">
        <v>241.53883106686257</v>
      </c>
      <c r="R27" s="2">
        <v>57.671544142589177</v>
      </c>
      <c r="S27" s="2">
        <v>570.88550306000013</v>
      </c>
      <c r="T27" s="2">
        <v>127.81018725223885</v>
      </c>
      <c r="U27" s="2">
        <v>106.91210049450434</v>
      </c>
      <c r="V27" s="2">
        <v>1391.9202076964873</v>
      </c>
      <c r="W27" s="2">
        <v>898.8868046610088</v>
      </c>
      <c r="X27" s="2"/>
      <c r="Y27" s="2">
        <v>292.1247578109066</v>
      </c>
      <c r="Z27" s="2">
        <v>126.10605142220898</v>
      </c>
      <c r="AA27" s="2">
        <v>78.569630900323673</v>
      </c>
      <c r="AB27" s="2"/>
      <c r="AC27" s="2"/>
      <c r="AD27" s="2"/>
      <c r="AE27" s="2"/>
      <c r="AF27" s="2"/>
      <c r="AG27" s="2"/>
      <c r="AH27" s="2"/>
      <c r="AI27" s="2"/>
      <c r="AJ27" s="2"/>
    </row>
    <row r="28" spans="1:44" x14ac:dyDescent="0.3">
      <c r="A28" s="1">
        <v>16</v>
      </c>
      <c r="B28" s="2">
        <v>1560</v>
      </c>
      <c r="L28">
        <v>2</v>
      </c>
      <c r="M28" s="2">
        <v>44.397222940251382</v>
      </c>
      <c r="N28" s="2">
        <v>84.130495187789492</v>
      </c>
      <c r="O28" s="2">
        <v>106.73271777555385</v>
      </c>
      <c r="P28" s="2">
        <v>79.197470416650447</v>
      </c>
      <c r="Q28" s="2">
        <v>140.99481709510135</v>
      </c>
      <c r="R28" s="2">
        <v>166.10839774817285</v>
      </c>
      <c r="S28" s="2">
        <v>283.60407866075735</v>
      </c>
      <c r="T28" s="2">
        <v>524.15630477339209</v>
      </c>
      <c r="U28" s="2">
        <v>32.827037567943449</v>
      </c>
      <c r="V28" s="2"/>
      <c r="W28" s="2">
        <v>1260.0739092678621</v>
      </c>
      <c r="X28" s="2">
        <v>1719.1142870622189</v>
      </c>
      <c r="Y28" s="2">
        <v>263.69259685725069</v>
      </c>
      <c r="Z28" s="2">
        <v>41.437408077567959</v>
      </c>
      <c r="AA28" s="2">
        <v>169.96512620560884</v>
      </c>
      <c r="AB28" s="2"/>
      <c r="AC28" s="2"/>
      <c r="AD28" s="2"/>
      <c r="AE28" s="2"/>
      <c r="AF28" s="2"/>
      <c r="AG28" s="2"/>
      <c r="AH28" s="2"/>
      <c r="AI28" s="2"/>
      <c r="AJ28" s="2"/>
    </row>
    <row r="29" spans="1:44" x14ac:dyDescent="0.3">
      <c r="A29" s="1">
        <v>8</v>
      </c>
      <c r="B29" s="2">
        <v>937</v>
      </c>
      <c r="L29">
        <v>3</v>
      </c>
      <c r="M29" s="2">
        <v>94.355310167968611</v>
      </c>
      <c r="N29" s="2"/>
      <c r="O29" s="2">
        <v>124.31222423270387</v>
      </c>
      <c r="P29" s="2">
        <v>104.221359710247</v>
      </c>
      <c r="Q29" s="2">
        <v>208.17364534206763</v>
      </c>
      <c r="R29" s="2">
        <v>196.51376861028442</v>
      </c>
      <c r="S29" s="2">
        <v>167.09500270240068</v>
      </c>
      <c r="T29" s="2"/>
      <c r="U29" s="2">
        <v>170.23420028403461</v>
      </c>
      <c r="V29" s="2">
        <v>762.73532097757129</v>
      </c>
      <c r="W29" s="2">
        <v>848.48026063591533</v>
      </c>
      <c r="X29" s="2">
        <v>1697.0502126313061</v>
      </c>
      <c r="Y29" s="2">
        <v>445.04852571621694</v>
      </c>
      <c r="Z29" s="2">
        <v>237.68210260942661</v>
      </c>
      <c r="AA29" s="2">
        <v>20.89808675773449</v>
      </c>
      <c r="AB29" s="2"/>
      <c r="AC29" s="2"/>
      <c r="AD29" s="2"/>
      <c r="AE29" s="2"/>
      <c r="AF29" s="2"/>
      <c r="AG29" s="2"/>
      <c r="AH29" s="2"/>
      <c r="AI29" s="2"/>
      <c r="AJ29" s="2"/>
    </row>
    <row r="30" spans="1:44" x14ac:dyDescent="0.3">
      <c r="A30" s="1">
        <v>3.2</v>
      </c>
      <c r="B30" s="2">
        <v>404</v>
      </c>
      <c r="L30">
        <v>4</v>
      </c>
      <c r="M30" s="2">
        <v>25.292963372022001</v>
      </c>
      <c r="N30" s="2">
        <v>58.299383658915957</v>
      </c>
      <c r="O30" s="2">
        <v>62.963334351629243</v>
      </c>
      <c r="P30" s="2">
        <v>188.97969441436297</v>
      </c>
      <c r="Q30" s="2">
        <v>222.43457149863323</v>
      </c>
      <c r="R30" s="2">
        <v>140.63605165720037</v>
      </c>
      <c r="S30" s="2">
        <v>98.570804063305602</v>
      </c>
      <c r="T30" s="2"/>
      <c r="U30" s="2">
        <v>16.951666940823255</v>
      </c>
      <c r="V30" s="2">
        <v>957.0068056009743</v>
      </c>
      <c r="W30" s="2">
        <v>779.05914840206776</v>
      </c>
      <c r="X30" s="2">
        <v>920.68180501349582</v>
      </c>
      <c r="Y30" s="2">
        <v>178.03734855838184</v>
      </c>
      <c r="Z30" s="2">
        <v>54.891111998856267</v>
      </c>
      <c r="AA30" s="2">
        <v>73.815988848135135</v>
      </c>
      <c r="AB30" s="2"/>
      <c r="AC30" s="2"/>
      <c r="AD30" s="2"/>
      <c r="AE30" s="2"/>
      <c r="AF30" s="2"/>
      <c r="AG30" s="2"/>
      <c r="AH30" s="2"/>
      <c r="AI30" s="2"/>
      <c r="AJ30" s="2"/>
    </row>
    <row r="31" spans="1:44" x14ac:dyDescent="0.3">
      <c r="A31" s="1">
        <v>1.6</v>
      </c>
      <c r="B31" s="2">
        <v>323</v>
      </c>
      <c r="L31" t="s">
        <v>42</v>
      </c>
      <c r="M31">
        <f>AVERAGE(M27:M30)</f>
        <v>54.681832160080667</v>
      </c>
      <c r="N31">
        <f t="shared" ref="N31:AA31" si="15">AVERAGE(N27:N30)</f>
        <v>52.708622251625037</v>
      </c>
      <c r="O31">
        <f t="shared" si="15"/>
        <v>98.002758786628988</v>
      </c>
      <c r="P31">
        <f t="shared" si="15"/>
        <v>170.63781140167333</v>
      </c>
      <c r="Q31">
        <f t="shared" si="15"/>
        <v>203.28546625066619</v>
      </c>
      <c r="R31">
        <f t="shared" si="15"/>
        <v>140.23244053956171</v>
      </c>
      <c r="S31">
        <f t="shared" si="15"/>
        <v>280.03884712161596</v>
      </c>
      <c r="T31">
        <f t="shared" si="15"/>
        <v>325.98324601281547</v>
      </c>
      <c r="U31">
        <f t="shared" si="15"/>
        <v>81.73125132182642</v>
      </c>
      <c r="V31">
        <f t="shared" si="15"/>
        <v>1037.2207780916776</v>
      </c>
      <c r="W31">
        <f t="shared" si="15"/>
        <v>946.62503074171354</v>
      </c>
      <c r="X31">
        <f t="shared" si="15"/>
        <v>1445.6154349023402</v>
      </c>
      <c r="Y31">
        <f t="shared" si="15"/>
        <v>294.72580723568905</v>
      </c>
      <c r="Z31">
        <f t="shared" si="15"/>
        <v>115.02916852701496</v>
      </c>
      <c r="AA31">
        <f t="shared" si="15"/>
        <v>85.812208177950538</v>
      </c>
    </row>
    <row r="32" spans="1:44" x14ac:dyDescent="0.3">
      <c r="L32" t="s">
        <v>43</v>
      </c>
      <c r="M32">
        <f>STDEV(M27:M30)</f>
        <v>35.661349194111345</v>
      </c>
      <c r="N32">
        <f t="shared" ref="N32:AA32" si="16">STDEV(N27:N30)</f>
        <v>34.558109127757916</v>
      </c>
      <c r="O32">
        <f t="shared" si="16"/>
        <v>31.592415393117516</v>
      </c>
      <c r="P32">
        <f t="shared" si="16"/>
        <v>104.20063292462137</v>
      </c>
      <c r="Q32">
        <f t="shared" si="16"/>
        <v>43.718902923907059</v>
      </c>
      <c r="R32">
        <f t="shared" si="16"/>
        <v>59.591994894930018</v>
      </c>
      <c r="S32">
        <f t="shared" si="16"/>
        <v>208.39981669063692</v>
      </c>
      <c r="T32">
        <f t="shared" si="16"/>
        <v>280.25902739616782</v>
      </c>
      <c r="U32">
        <f t="shared" si="16"/>
        <v>70.83987534227073</v>
      </c>
      <c r="V32">
        <f t="shared" si="16"/>
        <v>322.1709429106362</v>
      </c>
      <c r="W32">
        <f t="shared" si="16"/>
        <v>214.66241597914924</v>
      </c>
      <c r="X32">
        <f t="shared" si="16"/>
        <v>454.73969772423811</v>
      </c>
      <c r="Y32">
        <f t="shared" si="16"/>
        <v>111.32975296293465</v>
      </c>
      <c r="Z32">
        <f t="shared" si="16"/>
        <v>89.812346261025539</v>
      </c>
      <c r="AA32">
        <f t="shared" si="16"/>
        <v>61.892166914615181</v>
      </c>
    </row>
    <row r="34" spans="1:3" x14ac:dyDescent="0.3">
      <c r="A34" s="1"/>
      <c r="B34" s="2"/>
    </row>
    <row r="35" spans="1:3" x14ac:dyDescent="0.3">
      <c r="A35" s="1"/>
      <c r="B35" s="2"/>
    </row>
    <row r="36" spans="1:3" x14ac:dyDescent="0.3">
      <c r="A36" s="1"/>
      <c r="B36" s="2"/>
    </row>
    <row r="37" spans="1:3" x14ac:dyDescent="0.3">
      <c r="A37" s="1"/>
      <c r="B37" s="2"/>
    </row>
    <row r="38" spans="1:3" x14ac:dyDescent="0.3">
      <c r="A38" s="1"/>
      <c r="B38" s="2"/>
    </row>
    <row r="39" spans="1:3" x14ac:dyDescent="0.3">
      <c r="A39" s="1"/>
      <c r="B39" s="2"/>
    </row>
    <row r="40" spans="1:3" ht="28.8" x14ac:dyDescent="0.3">
      <c r="A40" s="1" t="s">
        <v>50</v>
      </c>
      <c r="B40" s="2"/>
    </row>
    <row r="41" spans="1:3" x14ac:dyDescent="0.3">
      <c r="A41" s="1">
        <v>24</v>
      </c>
      <c r="B41" s="2"/>
      <c r="C41" s="2"/>
    </row>
    <row r="42" spans="1:3" x14ac:dyDescent="0.3">
      <c r="A42" s="1">
        <v>16</v>
      </c>
      <c r="B42" s="2">
        <v>33568</v>
      </c>
      <c r="C42" s="2"/>
    </row>
    <row r="43" spans="1:3" x14ac:dyDescent="0.3">
      <c r="A43" s="1">
        <v>8</v>
      </c>
      <c r="B43" s="2">
        <v>19351</v>
      </c>
      <c r="C43" s="2"/>
    </row>
    <row r="44" spans="1:3" x14ac:dyDescent="0.3">
      <c r="A44" s="1">
        <v>3.2</v>
      </c>
      <c r="B44" s="2">
        <v>8697</v>
      </c>
      <c r="C44" s="2"/>
    </row>
    <row r="45" spans="1:3" x14ac:dyDescent="0.3">
      <c r="A45" s="1">
        <v>1.6</v>
      </c>
      <c r="B45" s="2">
        <v>6116</v>
      </c>
      <c r="C45" s="2"/>
    </row>
    <row r="46" spans="1:3" x14ac:dyDescent="0.3">
      <c r="A46" s="1">
        <v>24</v>
      </c>
      <c r="B46" s="2"/>
    </row>
    <row r="47" spans="1:3" x14ac:dyDescent="0.3">
      <c r="A47" s="1">
        <v>16</v>
      </c>
      <c r="B47" s="2">
        <v>34111</v>
      </c>
    </row>
    <row r="48" spans="1:3" x14ac:dyDescent="0.3">
      <c r="A48" s="1">
        <v>8</v>
      </c>
      <c r="B48" s="2">
        <v>19408</v>
      </c>
    </row>
    <row r="49" spans="1:2" x14ac:dyDescent="0.3">
      <c r="A49" s="1">
        <v>3.2</v>
      </c>
      <c r="B49" s="2">
        <v>9111</v>
      </c>
    </row>
    <row r="50" spans="1:2" x14ac:dyDescent="0.3">
      <c r="A50" s="1">
        <v>1.6</v>
      </c>
      <c r="B50" s="2">
        <v>5575</v>
      </c>
    </row>
    <row r="51" spans="1:2" x14ac:dyDescent="0.3">
      <c r="A51" s="1"/>
      <c r="B51" s="2"/>
    </row>
    <row r="52" spans="1:2" x14ac:dyDescent="0.3">
      <c r="B52" s="2"/>
    </row>
    <row r="53" spans="1:2" x14ac:dyDescent="0.3">
      <c r="B53" s="2"/>
    </row>
    <row r="54" spans="1:2" x14ac:dyDescent="0.3">
      <c r="B54" s="2"/>
    </row>
    <row r="55" spans="1:2" x14ac:dyDescent="0.3">
      <c r="B55" s="2"/>
    </row>
    <row r="56" spans="1:2" x14ac:dyDescent="0.3">
      <c r="A56" s="1"/>
      <c r="B56" s="2"/>
    </row>
    <row r="57" spans="1:2" x14ac:dyDescent="0.3">
      <c r="A57" s="1"/>
      <c r="B57" s="2"/>
    </row>
    <row r="62" spans="1:2" x14ac:dyDescent="0.3">
      <c r="A62" s="1"/>
      <c r="B62" s="2"/>
    </row>
    <row r="63" spans="1:2" x14ac:dyDescent="0.3">
      <c r="A63" s="1"/>
    </row>
    <row r="64" spans="1:2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</sheetData>
  <mergeCells count="8">
    <mergeCell ref="Y25:AA25"/>
    <mergeCell ref="AB25:AD25"/>
    <mergeCell ref="AE25:AG25"/>
    <mergeCell ref="AH25:AJ25"/>
    <mergeCell ref="M25:O25"/>
    <mergeCell ref="P25:R25"/>
    <mergeCell ref="S25:U25"/>
    <mergeCell ref="V25:X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Chll contamination</vt:lpstr>
      <vt:lpstr>SA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Nunn</dc:creator>
  <cp:lastModifiedBy>Garrett Nunn</cp:lastModifiedBy>
  <dcterms:created xsi:type="dcterms:W3CDTF">2015-06-05T18:17:20Z</dcterms:created>
  <dcterms:modified xsi:type="dcterms:W3CDTF">2023-07-13T18:54:37Z</dcterms:modified>
</cp:coreProperties>
</file>