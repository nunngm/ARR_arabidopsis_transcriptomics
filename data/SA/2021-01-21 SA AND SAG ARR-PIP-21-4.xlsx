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racellular SA/"/>
    </mc:Choice>
  </mc:AlternateContent>
  <xr:revisionPtr revIDLastSave="458" documentId="11_870020F1E105A339D2173CF9DA247A2C9ACAAD76" xr6:coauthVersionLast="47" xr6:coauthVersionMax="47" xr10:uidLastSave="{AEC638FD-A691-4E0D-B1B9-23AEE9ACF56D}"/>
  <bookViews>
    <workbookView xWindow="-107" yWindow="-107" windowWidth="20847" windowHeight="11111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0" i="3" l="1"/>
  <c r="X51" i="3"/>
  <c r="Y50" i="3"/>
  <c r="Z50" i="3"/>
  <c r="W51" i="3"/>
  <c r="V51" i="3"/>
  <c r="R50" i="3"/>
  <c r="U50" i="3"/>
  <c r="S50" i="3"/>
  <c r="U51" i="3"/>
  <c r="Q51" i="3"/>
  <c r="T50" i="3"/>
  <c r="X50" i="3"/>
  <c r="AA50" i="3"/>
  <c r="AB50" i="3"/>
  <c r="AC50" i="3"/>
  <c r="AD50" i="3"/>
  <c r="AE50" i="3"/>
  <c r="R51" i="3"/>
  <c r="T51" i="3"/>
  <c r="Z51" i="3"/>
  <c r="AA51" i="3"/>
  <c r="AB51" i="3"/>
  <c r="AC51" i="3"/>
  <c r="AD51" i="3"/>
  <c r="AE51" i="3"/>
  <c r="R13" i="3"/>
  <c r="S13" i="3"/>
  <c r="T13" i="3"/>
  <c r="U13" i="3"/>
  <c r="V13" i="3"/>
  <c r="W13" i="3"/>
  <c r="X13" i="3"/>
  <c r="Y13" i="3"/>
  <c r="Z13" i="3"/>
  <c r="AA13" i="3"/>
  <c r="AB13" i="3"/>
  <c r="AC13" i="3"/>
  <c r="R14" i="3"/>
  <c r="S14" i="3"/>
  <c r="T14" i="3"/>
  <c r="U14" i="3"/>
  <c r="V14" i="3"/>
  <c r="W14" i="3"/>
  <c r="X14" i="3"/>
  <c r="Y14" i="3"/>
  <c r="Z14" i="3"/>
  <c r="AA14" i="3"/>
  <c r="AB14" i="3"/>
  <c r="AC14" i="3"/>
  <c r="R15" i="3"/>
  <c r="S15" i="3"/>
  <c r="T15" i="3"/>
  <c r="U15" i="3"/>
  <c r="V15" i="3"/>
  <c r="W15" i="3"/>
  <c r="X15" i="3"/>
  <c r="Y15" i="3"/>
  <c r="Z15" i="3"/>
  <c r="AA15" i="3"/>
  <c r="AB15" i="3"/>
  <c r="AC15" i="3"/>
  <c r="R16" i="3"/>
  <c r="S16" i="3"/>
  <c r="T16" i="3"/>
  <c r="U16" i="3"/>
  <c r="V16" i="3"/>
  <c r="W16" i="3"/>
  <c r="X16" i="3"/>
  <c r="Y16" i="3"/>
  <c r="Z16" i="3"/>
  <c r="AA16" i="3"/>
  <c r="AB16" i="3"/>
  <c r="AC16" i="3"/>
  <c r="R17" i="3"/>
  <c r="S17" i="3"/>
  <c r="T17" i="3"/>
  <c r="U17" i="3"/>
  <c r="V17" i="3"/>
  <c r="W17" i="3"/>
  <c r="X17" i="3"/>
  <c r="Y17" i="3"/>
  <c r="Z17" i="3"/>
  <c r="AA17" i="3"/>
  <c r="AB17" i="3"/>
  <c r="AC17" i="3"/>
  <c r="R18" i="3"/>
  <c r="S18" i="3"/>
  <c r="T18" i="3"/>
  <c r="U18" i="3"/>
  <c r="V18" i="3"/>
  <c r="W18" i="3"/>
  <c r="X18" i="3"/>
  <c r="Y18" i="3"/>
  <c r="Z18" i="3"/>
  <c r="AA18" i="3"/>
  <c r="AB18" i="3"/>
  <c r="AC18" i="3"/>
  <c r="R19" i="3"/>
  <c r="S19" i="3"/>
  <c r="T19" i="3"/>
  <c r="U19" i="3"/>
  <c r="V19" i="3"/>
  <c r="W19" i="3"/>
  <c r="X19" i="3"/>
  <c r="Y19" i="3"/>
  <c r="Z19" i="3"/>
  <c r="AA19" i="3"/>
  <c r="AB19" i="3"/>
  <c r="AC19" i="3"/>
  <c r="S12" i="3"/>
  <c r="T12" i="3"/>
  <c r="U12" i="3"/>
  <c r="V12" i="3"/>
  <c r="W12" i="3"/>
  <c r="X12" i="3"/>
  <c r="Y12" i="3"/>
  <c r="Z12" i="3"/>
  <c r="AA12" i="3"/>
  <c r="AB12" i="3"/>
  <c r="AC12" i="3"/>
  <c r="R12" i="3"/>
  <c r="V50" i="3" l="1"/>
  <c r="Y51" i="3"/>
  <c r="S51" i="3"/>
  <c r="Q5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A41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A40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C14" i="3"/>
  <c r="D14" i="3"/>
  <c r="E14" i="3"/>
  <c r="F14" i="3"/>
  <c r="G14" i="3"/>
  <c r="H14" i="3"/>
  <c r="I14" i="3"/>
  <c r="J14" i="3"/>
  <c r="K14" i="3"/>
  <c r="L14" i="3"/>
  <c r="M14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C12" i="3"/>
  <c r="D12" i="3"/>
  <c r="E12" i="3"/>
  <c r="F12" i="3"/>
  <c r="G12" i="3"/>
  <c r="H12" i="3"/>
  <c r="I12" i="3"/>
  <c r="J12" i="3"/>
  <c r="K12" i="3"/>
  <c r="L12" i="3"/>
  <c r="M12" i="3"/>
  <c r="B12" i="3"/>
  <c r="C70" i="1"/>
  <c r="D70" i="1"/>
  <c r="F70" i="1"/>
  <c r="H70" i="1"/>
  <c r="I70" i="1"/>
  <c r="J70" i="1"/>
  <c r="K70" i="1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B41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B40" i="2"/>
  <c r="B20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C12" i="2"/>
  <c r="D12" i="2"/>
  <c r="E12" i="2"/>
  <c r="F12" i="2"/>
  <c r="G12" i="2"/>
  <c r="H12" i="2"/>
  <c r="I12" i="2"/>
  <c r="J12" i="2"/>
  <c r="K12" i="2"/>
  <c r="L12" i="2"/>
  <c r="M12" i="2"/>
  <c r="B12" i="2"/>
  <c r="E70" i="1"/>
</calcChain>
</file>

<file path=xl/sharedStrings.xml><?xml version="1.0" encoding="utf-8"?>
<sst xmlns="http://schemas.openxmlformats.org/spreadsheetml/2006/main" count="317" uniqueCount="31">
  <si>
    <t>A</t>
  </si>
  <si>
    <t>low:Lum</t>
  </si>
  <si>
    <t>B</t>
  </si>
  <si>
    <t>C</t>
  </si>
  <si>
    <t>D</t>
  </si>
  <si>
    <t>E</t>
  </si>
  <si>
    <t>F</t>
  </si>
  <si>
    <t>G</t>
  </si>
  <si>
    <t>H</t>
  </si>
  <si>
    <t>P1R1</t>
  </si>
  <si>
    <t>high:Lum</t>
  </si>
  <si>
    <t>P1R2</t>
  </si>
  <si>
    <t>P2R1</t>
  </si>
  <si>
    <t>P2R2</t>
  </si>
  <si>
    <t>Low r1</t>
  </si>
  <si>
    <t>Low r2</t>
  </si>
  <si>
    <t>high r1</t>
  </si>
  <si>
    <t>high r2</t>
  </si>
  <si>
    <t>Plate 2</t>
  </si>
  <si>
    <t>p1r1low</t>
  </si>
  <si>
    <t>p1r2low</t>
  </si>
  <si>
    <t>p1r1high</t>
  </si>
  <si>
    <t>p1r2high</t>
  </si>
  <si>
    <t>Dilution Factor</t>
  </si>
  <si>
    <t>Col</t>
  </si>
  <si>
    <t>Un</t>
  </si>
  <si>
    <t>ald1</t>
  </si>
  <si>
    <t>fmo1</t>
  </si>
  <si>
    <t>Plate 1</t>
  </si>
  <si>
    <t>DF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</si>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</sst>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129.5"/>
            <c:dispRSqr val="1"/>
            <c:dispEq val="1"/>
            <c:trendlineLbl>
              <c:layout>
                <c:manualLayout>
                  <c:x val="-0.35913451443569555"/>
                  <c:y val="-0.178605278506853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Sheet1!$G$44:$G$67</c:f>
              <c:numCache>
                <c:formatCode>General</c:formatCode>
                <c:ptCount val="24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xVal>
          <c:yVal>
            <c:numRef>
              <c:f>Sheet1!$H$44:$H$67</c:f>
              <c:numCache>
                <c:formatCode>General</c:formatCode>
                <c:ptCount val="24"/>
                <c:pt idx="0">
                  <c:v>1924</c:v>
                </c:pt>
                <c:pt idx="1">
                  <c:v>1370</c:v>
                </c:pt>
                <c:pt idx="2">
                  <c:v>1457</c:v>
                </c:pt>
                <c:pt idx="3">
                  <c:v>1374</c:v>
                </c:pt>
                <c:pt idx="4">
                  <c:v>1182</c:v>
                </c:pt>
                <c:pt idx="5">
                  <c:v>1042</c:v>
                </c:pt>
                <c:pt idx="6">
                  <c:v>991</c:v>
                </c:pt>
                <c:pt idx="7">
                  <c:v>686</c:v>
                </c:pt>
                <c:pt idx="8">
                  <c:v>359</c:v>
                </c:pt>
                <c:pt idx="9">
                  <c:v>224</c:v>
                </c:pt>
                <c:pt idx="10">
                  <c:v>188</c:v>
                </c:pt>
                <c:pt idx="12">
                  <c:v>1792</c:v>
                </c:pt>
                <c:pt idx="13">
                  <c:v>1472</c:v>
                </c:pt>
                <c:pt idx="14">
                  <c:v>1387</c:v>
                </c:pt>
                <c:pt idx="15">
                  <c:v>1298</c:v>
                </c:pt>
                <c:pt idx="16">
                  <c:v>1088</c:v>
                </c:pt>
                <c:pt idx="17">
                  <c:v>1018</c:v>
                </c:pt>
                <c:pt idx="18">
                  <c:v>910</c:v>
                </c:pt>
                <c:pt idx="19">
                  <c:v>676</c:v>
                </c:pt>
                <c:pt idx="20">
                  <c:v>379</c:v>
                </c:pt>
                <c:pt idx="21">
                  <c:v>233</c:v>
                </c:pt>
                <c:pt idx="22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D7-46E9-9835-48D3E8A9C6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2.1710629921259841E-2"/>
                  <c:y val="0.19901283172936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Sheet1!$G$44:$G$67</c:f>
              <c:numCache>
                <c:formatCode>General</c:formatCode>
                <c:ptCount val="24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xVal>
          <c:yVal>
            <c:numRef>
              <c:f>Sheet1!$I$44:$I$67</c:f>
              <c:numCache>
                <c:formatCode>General</c:formatCode>
                <c:ptCount val="24"/>
                <c:pt idx="0">
                  <c:v>1182</c:v>
                </c:pt>
                <c:pt idx="1">
                  <c:v>746</c:v>
                </c:pt>
                <c:pt idx="2">
                  <c:v>838</c:v>
                </c:pt>
                <c:pt idx="3">
                  <c:v>795</c:v>
                </c:pt>
                <c:pt idx="4">
                  <c:v>734</c:v>
                </c:pt>
                <c:pt idx="5">
                  <c:v>630</c:v>
                </c:pt>
                <c:pt idx="6">
                  <c:v>556</c:v>
                </c:pt>
                <c:pt idx="7">
                  <c:v>407</c:v>
                </c:pt>
                <c:pt idx="8">
                  <c:v>245</c:v>
                </c:pt>
                <c:pt idx="9">
                  <c:v>155</c:v>
                </c:pt>
                <c:pt idx="10">
                  <c:v>119</c:v>
                </c:pt>
                <c:pt idx="12">
                  <c:v>1059</c:v>
                </c:pt>
                <c:pt idx="13">
                  <c:v>873</c:v>
                </c:pt>
                <c:pt idx="14">
                  <c:v>836</c:v>
                </c:pt>
                <c:pt idx="15">
                  <c:v>773</c:v>
                </c:pt>
                <c:pt idx="16">
                  <c:v>667</c:v>
                </c:pt>
                <c:pt idx="17">
                  <c:v>695</c:v>
                </c:pt>
                <c:pt idx="18">
                  <c:v>611</c:v>
                </c:pt>
                <c:pt idx="19">
                  <c:v>411</c:v>
                </c:pt>
                <c:pt idx="20">
                  <c:v>239</c:v>
                </c:pt>
                <c:pt idx="21">
                  <c:v>173</c:v>
                </c:pt>
                <c:pt idx="22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D7-46E9-9835-48D3E8A9C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454760"/>
        <c:axId val="582456728"/>
      </c:scatterChart>
      <c:valAx>
        <c:axId val="582454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56728"/>
        <c:crosses val="autoZero"/>
        <c:crossBetween val="midCat"/>
      </c:valAx>
      <c:valAx>
        <c:axId val="58245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54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forward val="10"/>
            <c:dispRSqr val="1"/>
            <c:dispEq val="1"/>
            <c:trendlineLbl>
              <c:layout>
                <c:manualLayout>
                  <c:x val="8.1492065034527675E-2"/>
                  <c:y val="0.303007072032662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Sheet1!$F$44:$F$66</c:f>
              <c:numCache>
                <c:formatCode>General</c:formatCode>
                <c:ptCount val="23"/>
                <c:pt idx="0">
                  <c:v>31612</c:v>
                </c:pt>
                <c:pt idx="1">
                  <c:v>20196</c:v>
                </c:pt>
                <c:pt idx="2">
                  <c:v>21974</c:v>
                </c:pt>
                <c:pt idx="3">
                  <c:v>18931</c:v>
                </c:pt>
                <c:pt idx="4">
                  <c:v>16964</c:v>
                </c:pt>
                <c:pt idx="5">
                  <c:v>15815</c:v>
                </c:pt>
                <c:pt idx="6">
                  <c:v>13164</c:v>
                </c:pt>
                <c:pt idx="7">
                  <c:v>9267</c:v>
                </c:pt>
                <c:pt idx="8">
                  <c:v>5811</c:v>
                </c:pt>
                <c:pt idx="9">
                  <c:v>3950</c:v>
                </c:pt>
                <c:pt idx="10">
                  <c:v>2496</c:v>
                </c:pt>
                <c:pt idx="12">
                  <c:v>33304</c:v>
                </c:pt>
                <c:pt idx="13">
                  <c:v>22979</c:v>
                </c:pt>
                <c:pt idx="14">
                  <c:v>21299</c:v>
                </c:pt>
                <c:pt idx="15">
                  <c:v>20519</c:v>
                </c:pt>
                <c:pt idx="16">
                  <c:v>19861</c:v>
                </c:pt>
                <c:pt idx="17">
                  <c:v>15915</c:v>
                </c:pt>
                <c:pt idx="18">
                  <c:v>13635</c:v>
                </c:pt>
                <c:pt idx="19">
                  <c:v>10686</c:v>
                </c:pt>
                <c:pt idx="21">
                  <c:v>4246</c:v>
                </c:pt>
                <c:pt idx="22">
                  <c:v>3161</c:v>
                </c:pt>
              </c:numCache>
            </c:numRef>
          </c:xVal>
          <c:yVal>
            <c:numRef>
              <c:f>Sheet1!$B$44:$B$67</c:f>
              <c:numCache>
                <c:formatCode>General</c:formatCode>
                <c:ptCount val="24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1">
                  <c:v>3.2</c:v>
                </c:pt>
                <c:pt idx="22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3-425A-98D7-B9276994964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5034636031016255"/>
                  <c:y val="2.40004374453193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Sheet1!$K$44:$K$67</c:f>
              <c:numCache>
                <c:formatCode>General</c:formatCode>
                <c:ptCount val="24"/>
                <c:pt idx="0">
                  <c:v>27037</c:v>
                </c:pt>
                <c:pt idx="1">
                  <c:v>18621</c:v>
                </c:pt>
                <c:pt idx="2">
                  <c:v>20212</c:v>
                </c:pt>
                <c:pt idx="3">
                  <c:v>17097</c:v>
                </c:pt>
                <c:pt idx="4">
                  <c:v>16581</c:v>
                </c:pt>
                <c:pt idx="5">
                  <c:v>14877</c:v>
                </c:pt>
                <c:pt idx="6">
                  <c:v>12508</c:v>
                </c:pt>
                <c:pt idx="7">
                  <c:v>8681</c:v>
                </c:pt>
                <c:pt idx="8">
                  <c:v>5056</c:v>
                </c:pt>
                <c:pt idx="9">
                  <c:v>3716</c:v>
                </c:pt>
                <c:pt idx="10">
                  <c:v>2403</c:v>
                </c:pt>
                <c:pt idx="12">
                  <c:v>25850</c:v>
                </c:pt>
                <c:pt idx="13">
                  <c:v>19419</c:v>
                </c:pt>
                <c:pt idx="14">
                  <c:v>19297</c:v>
                </c:pt>
                <c:pt idx="15">
                  <c:v>18646</c:v>
                </c:pt>
                <c:pt idx="16">
                  <c:v>15220</c:v>
                </c:pt>
                <c:pt idx="17">
                  <c:v>14896</c:v>
                </c:pt>
                <c:pt idx="18">
                  <c:v>13657</c:v>
                </c:pt>
                <c:pt idx="19">
                  <c:v>8940</c:v>
                </c:pt>
                <c:pt idx="20">
                  <c:v>5190</c:v>
                </c:pt>
                <c:pt idx="21">
                  <c:v>3502</c:v>
                </c:pt>
                <c:pt idx="22">
                  <c:v>2729</c:v>
                </c:pt>
              </c:numCache>
            </c:numRef>
          </c:xVal>
          <c:yVal>
            <c:numRef>
              <c:f>Sheet1!$G$44:$G$67</c:f>
              <c:numCache>
                <c:formatCode>General</c:formatCode>
                <c:ptCount val="24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A3-425A-98D7-B9276994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759576"/>
        <c:axId val="590763512"/>
      </c:scatterChart>
      <c:valAx>
        <c:axId val="59075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763512"/>
        <c:crosses val="autoZero"/>
        <c:crossBetween val="midCat"/>
      </c:valAx>
      <c:valAx>
        <c:axId val="59076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759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Sheet1!$V$45:$V$67</c:f>
              <c:numCache>
                <c:formatCode>General</c:formatCode>
                <c:ptCount val="23"/>
                <c:pt idx="0">
                  <c:v>29580.5</c:v>
                </c:pt>
                <c:pt idx="1">
                  <c:v>18164.5</c:v>
                </c:pt>
                <c:pt idx="2">
                  <c:v>19942.5</c:v>
                </c:pt>
                <c:pt idx="3">
                  <c:v>16899.5</c:v>
                </c:pt>
                <c:pt idx="4">
                  <c:v>14932.5</c:v>
                </c:pt>
                <c:pt idx="5">
                  <c:v>13783.5</c:v>
                </c:pt>
                <c:pt idx="6">
                  <c:v>11132.5</c:v>
                </c:pt>
                <c:pt idx="7">
                  <c:v>7235.5</c:v>
                </c:pt>
                <c:pt idx="8">
                  <c:v>3779.5</c:v>
                </c:pt>
                <c:pt idx="9">
                  <c:v>1918.5</c:v>
                </c:pt>
                <c:pt idx="10">
                  <c:v>464.5</c:v>
                </c:pt>
                <c:pt idx="12">
                  <c:v>31272.5</c:v>
                </c:pt>
                <c:pt idx="13">
                  <c:v>20947.5</c:v>
                </c:pt>
                <c:pt idx="14">
                  <c:v>19267.5</c:v>
                </c:pt>
                <c:pt idx="15">
                  <c:v>18487.5</c:v>
                </c:pt>
                <c:pt idx="16">
                  <c:v>17829.5</c:v>
                </c:pt>
                <c:pt idx="17">
                  <c:v>13883.5</c:v>
                </c:pt>
                <c:pt idx="18">
                  <c:v>11603.5</c:v>
                </c:pt>
                <c:pt idx="19">
                  <c:v>8654.5</c:v>
                </c:pt>
                <c:pt idx="21">
                  <c:v>2214.5</c:v>
                </c:pt>
                <c:pt idx="22">
                  <c:v>1129.5</c:v>
                </c:pt>
              </c:numCache>
            </c:numRef>
          </c:xVal>
          <c:yVal>
            <c:numRef>
              <c:f>Sheet1!$U$45:$U$67</c:f>
              <c:numCache>
                <c:formatCode>General</c:formatCode>
                <c:ptCount val="23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F-4851-8D51-0055D6C2C76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Sheet1!$W$45:$W$67</c:f>
              <c:numCache>
                <c:formatCode>General</c:formatCode>
                <c:ptCount val="23"/>
                <c:pt idx="0">
                  <c:v>25286.5</c:v>
                </c:pt>
                <c:pt idx="1">
                  <c:v>16870.5</c:v>
                </c:pt>
                <c:pt idx="2">
                  <c:v>18461.5</c:v>
                </c:pt>
                <c:pt idx="3">
                  <c:v>15346.5</c:v>
                </c:pt>
                <c:pt idx="4">
                  <c:v>14830.5</c:v>
                </c:pt>
                <c:pt idx="5">
                  <c:v>13126.5</c:v>
                </c:pt>
                <c:pt idx="6">
                  <c:v>10757.5</c:v>
                </c:pt>
                <c:pt idx="7">
                  <c:v>6930.5</c:v>
                </c:pt>
                <c:pt idx="8">
                  <c:v>3305.5</c:v>
                </c:pt>
                <c:pt idx="9">
                  <c:v>1965.5</c:v>
                </c:pt>
                <c:pt idx="10">
                  <c:v>652.5</c:v>
                </c:pt>
                <c:pt idx="12">
                  <c:v>24099.5</c:v>
                </c:pt>
                <c:pt idx="13">
                  <c:v>17668.5</c:v>
                </c:pt>
                <c:pt idx="14">
                  <c:v>17546.5</c:v>
                </c:pt>
                <c:pt idx="15">
                  <c:v>16895.5</c:v>
                </c:pt>
                <c:pt idx="16">
                  <c:v>13469.5</c:v>
                </c:pt>
                <c:pt idx="17">
                  <c:v>13145.5</c:v>
                </c:pt>
                <c:pt idx="18">
                  <c:v>11906.5</c:v>
                </c:pt>
                <c:pt idx="19">
                  <c:v>7189.5</c:v>
                </c:pt>
                <c:pt idx="20">
                  <c:v>3439.5</c:v>
                </c:pt>
                <c:pt idx="21">
                  <c:v>1751.5</c:v>
                </c:pt>
                <c:pt idx="22">
                  <c:v>978.5</c:v>
                </c:pt>
              </c:numCache>
            </c:numRef>
          </c:xVal>
          <c:yVal>
            <c:numRef>
              <c:f>Sheet1!$U$45:$U$67</c:f>
              <c:numCache>
                <c:formatCode>General</c:formatCode>
                <c:ptCount val="23"/>
                <c:pt idx="0">
                  <c:v>200</c:v>
                </c:pt>
                <c:pt idx="1">
                  <c:v>64</c:v>
                </c:pt>
                <c:pt idx="2">
                  <c:v>56</c:v>
                </c:pt>
                <c:pt idx="3">
                  <c:v>48</c:v>
                </c:pt>
                <c:pt idx="4">
                  <c:v>40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2">
                  <c:v>200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40</c:v>
                </c:pt>
                <c:pt idx="17">
                  <c:v>32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9F-4851-8D51-0055D6C2C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86024"/>
        <c:axId val="655581760"/>
      </c:scatterChart>
      <c:valAx>
        <c:axId val="655586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81760"/>
        <c:crosses val="autoZero"/>
        <c:crossBetween val="midCat"/>
      </c:valAx>
      <c:valAx>
        <c:axId val="6555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86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Sheet2!$B$41:$F$41</c:f>
                <c:numCache>
                  <c:formatCode>General</c:formatCode>
                  <c:ptCount val="5"/>
                  <c:pt idx="0">
                    <c:v>39.405614907707537</c:v>
                  </c:pt>
                  <c:pt idx="1">
                    <c:v>376.15487421408551</c:v>
                  </c:pt>
                  <c:pt idx="2">
                    <c:v>277.56258161466928</c:v>
                  </c:pt>
                  <c:pt idx="3">
                    <c:v>333.5454196813119</c:v>
                  </c:pt>
                  <c:pt idx="4">
                    <c:v>290.03762782205803</c:v>
                  </c:pt>
                </c:numCache>
              </c:numRef>
            </c:plus>
            <c:minus>
              <c:numRef>
                <c:f>Sheet2!$B$41:$G$41</c:f>
                <c:numCache>
                  <c:formatCode>General</c:formatCode>
                  <c:ptCount val="6"/>
                  <c:pt idx="0">
                    <c:v>39.405614907707537</c:v>
                  </c:pt>
                  <c:pt idx="1">
                    <c:v>376.15487421408551</c:v>
                  </c:pt>
                  <c:pt idx="2">
                    <c:v>277.56258161466928</c:v>
                  </c:pt>
                  <c:pt idx="3">
                    <c:v>333.5454196813119</c:v>
                  </c:pt>
                  <c:pt idx="4">
                    <c:v>290.03762782205803</c:v>
                  </c:pt>
                  <c:pt idx="5">
                    <c:v>102.30721849629344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Sheet2!$B$40:$F$40</c:f>
              <c:numCache>
                <c:formatCode>General</c:formatCode>
                <c:ptCount val="5"/>
                <c:pt idx="0">
                  <c:v>288.75267064412407</c:v>
                </c:pt>
                <c:pt idx="1">
                  <c:v>928.51841981953999</c:v>
                </c:pt>
                <c:pt idx="2">
                  <c:v>962.73458806300891</c:v>
                </c:pt>
                <c:pt idx="3">
                  <c:v>3722.1725535077958</c:v>
                </c:pt>
                <c:pt idx="4">
                  <c:v>3920.3438858167879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8-43B9-8EE2-B47A8BAAA993}"/>
            </c:ext>
          </c:extLst>
        </c:ser>
        <c:ser>
          <c:idx val="1"/>
          <c:order val="1"/>
          <c:tx>
            <c:v>ald1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Sheet2!$G$41:$K$41</c:f>
                <c:numCache>
                  <c:formatCode>General</c:formatCode>
                  <c:ptCount val="5"/>
                  <c:pt idx="0">
                    <c:v>102.30721849629344</c:v>
                  </c:pt>
                  <c:pt idx="1">
                    <c:v>77.410508364633245</c:v>
                  </c:pt>
                  <c:pt idx="2">
                    <c:v>188.27897158685181</c:v>
                  </c:pt>
                  <c:pt idx="3">
                    <c:v>214.89542239337541</c:v>
                  </c:pt>
                  <c:pt idx="4">
                    <c:v>398.27582257655524</c:v>
                  </c:pt>
                </c:numCache>
              </c:numRef>
            </c:plus>
            <c:minus>
              <c:numRef>
                <c:f>Sheet2!$G$41:$K$41</c:f>
                <c:numCache>
                  <c:formatCode>General</c:formatCode>
                  <c:ptCount val="5"/>
                  <c:pt idx="0">
                    <c:v>102.30721849629344</c:v>
                  </c:pt>
                  <c:pt idx="1">
                    <c:v>77.410508364633245</c:v>
                  </c:pt>
                  <c:pt idx="2">
                    <c:v>188.27897158685181</c:v>
                  </c:pt>
                  <c:pt idx="3">
                    <c:v>214.89542239337541</c:v>
                  </c:pt>
                  <c:pt idx="4">
                    <c:v>398.27582257655524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Sheet2!$G$40:$K$40</c:f>
              <c:numCache>
                <c:formatCode>General</c:formatCode>
                <c:ptCount val="5"/>
                <c:pt idx="0">
                  <c:v>-158.86019239692845</c:v>
                </c:pt>
                <c:pt idx="1">
                  <c:v>407.96306652725718</c:v>
                </c:pt>
                <c:pt idx="2">
                  <c:v>476.27696361790595</c:v>
                </c:pt>
                <c:pt idx="3">
                  <c:v>2491.627244706488</c:v>
                </c:pt>
                <c:pt idx="4">
                  <c:v>1366.0448579591705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8-43B9-8EE2-B47A8BAAA993}"/>
            </c:ext>
          </c:extLst>
        </c:ser>
        <c:ser>
          <c:idx val="2"/>
          <c:order val="2"/>
          <c:tx>
            <c:v>fmo1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Sheet2!$L$41:$P$41</c:f>
                <c:numCache>
                  <c:formatCode>General</c:formatCode>
                  <c:ptCount val="5"/>
                  <c:pt idx="0">
                    <c:v>206.69572360277829</c:v>
                  </c:pt>
                  <c:pt idx="1">
                    <c:v>212.48556467827882</c:v>
                  </c:pt>
                  <c:pt idx="2">
                    <c:v>150.07213253749276</c:v>
                  </c:pt>
                  <c:pt idx="3">
                    <c:v>68.190255068803921</c:v>
                  </c:pt>
                  <c:pt idx="4">
                    <c:v>179.58265857169565</c:v>
                  </c:pt>
                </c:numCache>
              </c:numRef>
            </c:plus>
            <c:minus>
              <c:numRef>
                <c:f>Sheet2!$L$41:$P$41</c:f>
                <c:numCache>
                  <c:formatCode>General</c:formatCode>
                  <c:ptCount val="5"/>
                  <c:pt idx="0">
                    <c:v>206.69572360277829</c:v>
                  </c:pt>
                  <c:pt idx="1">
                    <c:v>212.48556467827882</c:v>
                  </c:pt>
                  <c:pt idx="2">
                    <c:v>150.07213253749276</c:v>
                  </c:pt>
                  <c:pt idx="3">
                    <c:v>68.190255068803921</c:v>
                  </c:pt>
                  <c:pt idx="4">
                    <c:v>179.58265857169565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Sheet2!$L$40:$P$40</c:f>
              <c:numCache>
                <c:formatCode>General</c:formatCode>
                <c:ptCount val="5"/>
                <c:pt idx="0">
                  <c:v>11.360324370064779</c:v>
                </c:pt>
                <c:pt idx="1">
                  <c:v>330.33777588104294</c:v>
                </c:pt>
                <c:pt idx="2">
                  <c:v>398.33505225008304</c:v>
                </c:pt>
                <c:pt idx="3">
                  <c:v>2107.9177464138379</c:v>
                </c:pt>
                <c:pt idx="4">
                  <c:v>1415.6270492383283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D8-43B9-8EE2-B47A8BAAA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801544"/>
        <c:axId val="610797608"/>
      </c:barChart>
      <c:catAx>
        <c:axId val="610801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797608"/>
        <c:crosses val="autoZero"/>
        <c:auto val="1"/>
        <c:lblAlgn val="ctr"/>
        <c:lblOffset val="100"/>
        <c:noMultiLvlLbl val="0"/>
      </c:catAx>
      <c:valAx>
        <c:axId val="61079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01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57764811405884"/>
          <c:y val="5.0925925925925923E-2"/>
          <c:w val="0.84757939238049196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Sheet3!$A$41:$E$41</c:f>
                <c:numCache>
                  <c:formatCode>General</c:formatCode>
                  <c:ptCount val="5"/>
                  <c:pt idx="0">
                    <c:v>84.852626141698664</c:v>
                  </c:pt>
                  <c:pt idx="1">
                    <c:v>90.362021269806178</c:v>
                  </c:pt>
                  <c:pt idx="2">
                    <c:v>170.89892162828991</c:v>
                  </c:pt>
                  <c:pt idx="3">
                    <c:v>367.7812638156505</c:v>
                  </c:pt>
                  <c:pt idx="4">
                    <c:v>449.2306594046849</c:v>
                  </c:pt>
                </c:numCache>
              </c:numRef>
            </c:plus>
            <c:minus>
              <c:numRef>
                <c:f>Sheet3!$A$41:$E$41</c:f>
                <c:numCache>
                  <c:formatCode>General</c:formatCode>
                  <c:ptCount val="5"/>
                  <c:pt idx="0">
                    <c:v>84.852626141698664</c:v>
                  </c:pt>
                  <c:pt idx="1">
                    <c:v>90.362021269806178</c:v>
                  </c:pt>
                  <c:pt idx="2">
                    <c:v>170.89892162828991</c:v>
                  </c:pt>
                  <c:pt idx="3">
                    <c:v>367.7812638156505</c:v>
                  </c:pt>
                  <c:pt idx="4">
                    <c:v>449.2306594046849</c:v>
                  </c:pt>
                </c:numCache>
              </c:numRef>
            </c:minus>
          </c:errBars>
          <c:val>
            <c:numRef>
              <c:f>Sheet3!$A$40:$E$40</c:f>
              <c:numCache>
                <c:formatCode>General</c:formatCode>
                <c:ptCount val="5"/>
                <c:pt idx="0">
                  <c:v>255.69844019554751</c:v>
                </c:pt>
                <c:pt idx="1">
                  <c:v>509.10433750575459</c:v>
                </c:pt>
                <c:pt idx="2">
                  <c:v>752.20710649256728</c:v>
                </c:pt>
                <c:pt idx="3">
                  <c:v>3939.4453903552012</c:v>
                </c:pt>
                <c:pt idx="4">
                  <c:v>4470.6575677442524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09-42F6-AF35-3B80465EDCC3}"/>
            </c:ext>
          </c:extLst>
        </c:ser>
        <c:ser>
          <c:idx val="1"/>
          <c:order val="1"/>
          <c:tx>
            <c:v>ald1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Sheet3!$F$41:$J$41</c:f>
                <c:numCache>
                  <c:formatCode>General</c:formatCode>
                  <c:ptCount val="5"/>
                  <c:pt idx="0">
                    <c:v>20.624457978737485</c:v>
                  </c:pt>
                  <c:pt idx="1">
                    <c:v>41.823065733870884</c:v>
                  </c:pt>
                  <c:pt idx="2">
                    <c:v>142.63080658729777</c:v>
                  </c:pt>
                  <c:pt idx="3">
                    <c:v>290.82493323341856</c:v>
                  </c:pt>
                  <c:pt idx="4">
                    <c:v>515.10854823919442</c:v>
                  </c:pt>
                </c:numCache>
              </c:numRef>
            </c:plus>
            <c:minus>
              <c:numRef>
                <c:f>Sheet3!$F$41:$J$41</c:f>
                <c:numCache>
                  <c:formatCode>General</c:formatCode>
                  <c:ptCount val="5"/>
                  <c:pt idx="0">
                    <c:v>20.624457978737485</c:v>
                  </c:pt>
                  <c:pt idx="1">
                    <c:v>41.823065733870884</c:v>
                  </c:pt>
                  <c:pt idx="2">
                    <c:v>142.63080658729777</c:v>
                  </c:pt>
                  <c:pt idx="3">
                    <c:v>290.82493323341856</c:v>
                  </c:pt>
                  <c:pt idx="4">
                    <c:v>515.10854823919442</c:v>
                  </c:pt>
                </c:numCache>
              </c:numRef>
            </c:minus>
          </c:errBars>
          <c:val>
            <c:numRef>
              <c:f>Sheet3!$F$40:$J$40</c:f>
              <c:numCache>
                <c:formatCode>General</c:formatCode>
                <c:ptCount val="5"/>
                <c:pt idx="0">
                  <c:v>62.510746462915456</c:v>
                </c:pt>
                <c:pt idx="1">
                  <c:v>328.72446906240174</c:v>
                </c:pt>
                <c:pt idx="2">
                  <c:v>399.19544533576465</c:v>
                </c:pt>
                <c:pt idx="3">
                  <c:v>2267.4144589471935</c:v>
                </c:pt>
                <c:pt idx="4">
                  <c:v>1348.3657259060749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09-42F6-AF35-3B80465EDCC3}"/>
            </c:ext>
          </c:extLst>
        </c:ser>
        <c:ser>
          <c:idx val="2"/>
          <c:order val="2"/>
          <c:tx>
            <c:v>fmo1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Sheet3!$K$41:$O$41</c:f>
                <c:numCache>
                  <c:formatCode>General</c:formatCode>
                  <c:ptCount val="5"/>
                  <c:pt idx="0">
                    <c:v>93.254767237292441</c:v>
                  </c:pt>
                  <c:pt idx="1">
                    <c:v>109.57477273067242</c:v>
                  </c:pt>
                  <c:pt idx="2">
                    <c:v>187.47462849938219</c:v>
                  </c:pt>
                  <c:pt idx="3">
                    <c:v>154.40736669786997</c:v>
                  </c:pt>
                  <c:pt idx="4">
                    <c:v>296.31069882798721</c:v>
                  </c:pt>
                </c:numCache>
              </c:numRef>
            </c:plus>
            <c:minus>
              <c:numRef>
                <c:f>Sheet3!$K$41:$O$41</c:f>
                <c:numCache>
                  <c:formatCode>General</c:formatCode>
                  <c:ptCount val="5"/>
                  <c:pt idx="0">
                    <c:v>93.254767237292441</c:v>
                  </c:pt>
                  <c:pt idx="1">
                    <c:v>109.57477273067242</c:v>
                  </c:pt>
                  <c:pt idx="2">
                    <c:v>187.47462849938219</c:v>
                  </c:pt>
                  <c:pt idx="3">
                    <c:v>154.40736669786997</c:v>
                  </c:pt>
                  <c:pt idx="4">
                    <c:v>296.31069882798721</c:v>
                  </c:pt>
                </c:numCache>
              </c:numRef>
            </c:minus>
          </c:errBars>
          <c:val>
            <c:numRef>
              <c:f>Sheet3!$K$40:$O$40</c:f>
              <c:numCache>
                <c:formatCode>General</c:formatCode>
                <c:ptCount val="5"/>
                <c:pt idx="0">
                  <c:v>142.57160431032344</c:v>
                </c:pt>
                <c:pt idx="1">
                  <c:v>311.91787610164914</c:v>
                </c:pt>
                <c:pt idx="2">
                  <c:v>416.94494342840102</c:v>
                </c:pt>
                <c:pt idx="3">
                  <c:v>1987.7842792681292</c:v>
                </c:pt>
                <c:pt idx="4">
                  <c:v>1011.3532852710733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09-42F6-AF35-3B80465ED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  <c:majorUnit val="5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362349418174"/>
          <c:y val="5.0925925925925923E-2"/>
          <c:w val="0.8581733771890071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Sheet3!$Q$51:$U$51</c:f>
                <c:numCache>
                  <c:formatCode>General</c:formatCode>
                  <c:ptCount val="5"/>
                  <c:pt idx="0">
                    <c:v>2075.6938281325106</c:v>
                  </c:pt>
                  <c:pt idx="1">
                    <c:v>1867.2833285116824</c:v>
                  </c:pt>
                  <c:pt idx="2">
                    <c:v>763.93604174225015</c:v>
                  </c:pt>
                  <c:pt idx="3">
                    <c:v>1399.8927512413563</c:v>
                  </c:pt>
                  <c:pt idx="4">
                    <c:v>1886.3606516230063</c:v>
                  </c:pt>
                </c:numCache>
              </c:numRef>
            </c:plus>
            <c:minus>
              <c:numRef>
                <c:f>Sheet3!$Q$51:$U$51</c:f>
                <c:numCache>
                  <c:formatCode>General</c:formatCode>
                  <c:ptCount val="5"/>
                  <c:pt idx="0">
                    <c:v>2075.6938281325106</c:v>
                  </c:pt>
                  <c:pt idx="1">
                    <c:v>1867.2833285116824</c:v>
                  </c:pt>
                  <c:pt idx="2">
                    <c:v>763.93604174225015</c:v>
                  </c:pt>
                  <c:pt idx="3">
                    <c:v>1399.8927512413563</c:v>
                  </c:pt>
                  <c:pt idx="4">
                    <c:v>1886.3606516230063</c:v>
                  </c:pt>
                </c:numCache>
              </c:numRef>
            </c:minus>
          </c:errBars>
          <c:val>
            <c:numRef>
              <c:f>Sheet3!$Q$50:$U$50</c:f>
              <c:numCache>
                <c:formatCode>General</c:formatCode>
                <c:ptCount val="5"/>
                <c:pt idx="0">
                  <c:v>6501.0939541752741</c:v>
                </c:pt>
                <c:pt idx="1">
                  <c:v>12217.780317161365</c:v>
                </c:pt>
                <c:pt idx="2">
                  <c:v>7806.5095424097699</c:v>
                </c:pt>
                <c:pt idx="3">
                  <c:v>5669.2651807997709</c:v>
                </c:pt>
                <c:pt idx="4">
                  <c:v>17925.638961833909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CA-4C7B-BCD0-90C0AD3635B5}"/>
            </c:ext>
          </c:extLst>
        </c:ser>
        <c:ser>
          <c:idx val="1"/>
          <c:order val="1"/>
          <c:tx>
            <c:v>ald1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Sheet3!$V$51:$Z$51</c:f>
                <c:numCache>
                  <c:formatCode>General</c:formatCode>
                  <c:ptCount val="5"/>
                  <c:pt idx="0">
                    <c:v>146.71372027468058</c:v>
                  </c:pt>
                  <c:pt idx="1">
                    <c:v>656.15848735796044</c:v>
                  </c:pt>
                  <c:pt idx="2">
                    <c:v>1017.2641065291618</c:v>
                  </c:pt>
                  <c:pt idx="3">
                    <c:v>1492.7673080403877</c:v>
                  </c:pt>
                  <c:pt idx="4">
                    <c:v>1008.0304111640866</c:v>
                  </c:pt>
                </c:numCache>
              </c:numRef>
            </c:plus>
            <c:minus>
              <c:numRef>
                <c:f>Sheet3!$V$51:$Z$51</c:f>
                <c:numCache>
                  <c:formatCode>General</c:formatCode>
                  <c:ptCount val="5"/>
                  <c:pt idx="0">
                    <c:v>146.71372027468058</c:v>
                  </c:pt>
                  <c:pt idx="1">
                    <c:v>656.15848735796044</c:v>
                  </c:pt>
                  <c:pt idx="2">
                    <c:v>1017.2641065291618</c:v>
                  </c:pt>
                  <c:pt idx="3">
                    <c:v>1492.7673080403877</c:v>
                  </c:pt>
                  <c:pt idx="4">
                    <c:v>1008.0304111640866</c:v>
                  </c:pt>
                </c:numCache>
              </c:numRef>
            </c:minus>
          </c:errBars>
          <c:val>
            <c:numRef>
              <c:f>Sheet3!$V$50:$Z$50</c:f>
              <c:numCache>
                <c:formatCode>General</c:formatCode>
                <c:ptCount val="5"/>
                <c:pt idx="0">
                  <c:v>275.09992381415032</c:v>
                </c:pt>
                <c:pt idx="1">
                  <c:v>3624.5498878273538</c:v>
                </c:pt>
                <c:pt idx="2">
                  <c:v>1586.8753289610888</c:v>
                </c:pt>
                <c:pt idx="3">
                  <c:v>7910.533981635801</c:v>
                </c:pt>
                <c:pt idx="4">
                  <c:v>19984.002029129046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CA-4C7B-BCD0-90C0AD3635B5}"/>
            </c:ext>
          </c:extLst>
        </c:ser>
        <c:ser>
          <c:idx val="2"/>
          <c:order val="2"/>
          <c:tx>
            <c:v>fmo1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Sheet3!$AA$51:$AE$51</c:f>
                <c:numCache>
                  <c:formatCode>General</c:formatCode>
                  <c:ptCount val="5"/>
                  <c:pt idx="0">
                    <c:v>368.95221082852515</c:v>
                  </c:pt>
                  <c:pt idx="1">
                    <c:v>477.04021370050265</c:v>
                  </c:pt>
                  <c:pt idx="2">
                    <c:v>1604.5699709019416</c:v>
                  </c:pt>
                  <c:pt idx="3">
                    <c:v>2022.9457020769598</c:v>
                  </c:pt>
                  <c:pt idx="4">
                    <c:v>586.86249293693925</c:v>
                  </c:pt>
                </c:numCache>
              </c:numRef>
            </c:plus>
            <c:minus>
              <c:numRef>
                <c:f>Sheet3!$AA$51:$AE$51</c:f>
                <c:numCache>
                  <c:formatCode>General</c:formatCode>
                  <c:ptCount val="5"/>
                  <c:pt idx="0">
                    <c:v>368.95221082852515</c:v>
                  </c:pt>
                  <c:pt idx="1">
                    <c:v>477.04021370050265</c:v>
                  </c:pt>
                  <c:pt idx="2">
                    <c:v>1604.5699709019416</c:v>
                  </c:pt>
                  <c:pt idx="3">
                    <c:v>2022.9457020769598</c:v>
                  </c:pt>
                  <c:pt idx="4">
                    <c:v>586.86249293693925</c:v>
                  </c:pt>
                </c:numCache>
              </c:numRef>
            </c:minus>
          </c:errBars>
          <c:val>
            <c:numRef>
              <c:f>Sheet3!$AA$50:$AE$50</c:f>
              <c:numCache>
                <c:formatCode>General</c:formatCode>
                <c:ptCount val="5"/>
                <c:pt idx="0">
                  <c:v>435.06334166396675</c:v>
                </c:pt>
                <c:pt idx="1">
                  <c:v>1351.0410156062096</c:v>
                </c:pt>
                <c:pt idx="2">
                  <c:v>6061.7440462191062</c:v>
                </c:pt>
                <c:pt idx="3">
                  <c:v>6063.9924154053351</c:v>
                </c:pt>
                <c:pt idx="4">
                  <c:v>18901.443385197708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CA-4C7B-BCD0-90C0AD363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57764811405884"/>
          <c:y val="5.0925925925925923E-2"/>
          <c:w val="0.84757939238049196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Sheet3!$A$41:$E$41</c15:sqref>
                    </c15:fullRef>
                  </c:ext>
                </c:extLst>
                <c:f>Sheet3!$A$41:$D$41</c:f>
                <c:numCache>
                  <c:formatCode>General</c:formatCode>
                  <c:ptCount val="4"/>
                  <c:pt idx="0">
                    <c:v>84.852626141698664</c:v>
                  </c:pt>
                  <c:pt idx="1">
                    <c:v>90.362021269806178</c:v>
                  </c:pt>
                  <c:pt idx="2">
                    <c:v>170.89892162828991</c:v>
                  </c:pt>
                  <c:pt idx="3">
                    <c:v>367.7812638156505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Sheet3!$A$41:$E$41</c15:sqref>
                    </c15:fullRef>
                  </c:ext>
                </c:extLst>
                <c:f>Sheet3!$A$41:$D$41</c:f>
                <c:numCache>
                  <c:formatCode>General</c:formatCode>
                  <c:ptCount val="4"/>
                  <c:pt idx="0">
                    <c:v>84.852626141698664</c:v>
                  </c:pt>
                  <c:pt idx="1">
                    <c:v>90.362021269806178</c:v>
                  </c:pt>
                  <c:pt idx="2">
                    <c:v>170.89892162828991</c:v>
                  </c:pt>
                  <c:pt idx="3">
                    <c:v>367.7812638156505</c:v>
                  </c:pt>
                </c:numCache>
              </c:numRef>
            </c:minus>
          </c:errBar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Sheet3!$A$40:$E$40</c15:sqref>
                  </c15:fullRef>
                </c:ext>
              </c:extLst>
              <c:f>Sheet3!$A$40:$D$40</c:f>
              <c:numCache>
                <c:formatCode>General</c:formatCode>
                <c:ptCount val="4"/>
                <c:pt idx="0">
                  <c:v>255.69844019554751</c:v>
                </c:pt>
                <c:pt idx="1">
                  <c:v>509.10433750575459</c:v>
                </c:pt>
                <c:pt idx="2">
                  <c:v>752.20710649256728</c:v>
                </c:pt>
                <c:pt idx="3">
                  <c:v>3939.4453903552012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7-4E98-B9C3-B0E061633D9E}"/>
            </c:ext>
          </c:extLst>
        </c:ser>
        <c:ser>
          <c:idx val="1"/>
          <c:order val="1"/>
          <c:tx>
            <c:v>ald1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Sheet3!$F$41:$J$41</c15:sqref>
                    </c15:fullRef>
                  </c:ext>
                </c:extLst>
                <c:f>Sheet3!$F$41:$I$41</c:f>
                <c:numCache>
                  <c:formatCode>General</c:formatCode>
                  <c:ptCount val="4"/>
                  <c:pt idx="0">
                    <c:v>20.624457978737485</c:v>
                  </c:pt>
                  <c:pt idx="1">
                    <c:v>41.823065733870884</c:v>
                  </c:pt>
                  <c:pt idx="2">
                    <c:v>142.63080658729777</c:v>
                  </c:pt>
                  <c:pt idx="3">
                    <c:v>290.82493323341856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Sheet3!$F$41:$J$41</c15:sqref>
                    </c15:fullRef>
                  </c:ext>
                </c:extLst>
                <c:f>Sheet3!$F$41:$I$41</c:f>
                <c:numCache>
                  <c:formatCode>General</c:formatCode>
                  <c:ptCount val="4"/>
                  <c:pt idx="0">
                    <c:v>20.624457978737485</c:v>
                  </c:pt>
                  <c:pt idx="1">
                    <c:v>41.823065733870884</c:v>
                  </c:pt>
                  <c:pt idx="2">
                    <c:v>142.63080658729777</c:v>
                  </c:pt>
                  <c:pt idx="3">
                    <c:v>290.82493323341856</c:v>
                  </c:pt>
                </c:numCache>
              </c:numRef>
            </c:minus>
          </c:errBar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Sheet3!$F$40:$J$40</c15:sqref>
                  </c15:fullRef>
                </c:ext>
              </c:extLst>
              <c:f>Sheet3!$F$40:$I$40</c:f>
              <c:numCache>
                <c:formatCode>General</c:formatCode>
                <c:ptCount val="4"/>
                <c:pt idx="0">
                  <c:v>62.510746462915456</c:v>
                </c:pt>
                <c:pt idx="1">
                  <c:v>328.72446906240174</c:v>
                </c:pt>
                <c:pt idx="2">
                  <c:v>399.19544533576465</c:v>
                </c:pt>
                <c:pt idx="3">
                  <c:v>2267.4144589471935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7-4E98-B9C3-B0E061633D9E}"/>
            </c:ext>
          </c:extLst>
        </c:ser>
        <c:ser>
          <c:idx val="2"/>
          <c:order val="2"/>
          <c:tx>
            <c:v>fmo1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Sheet3!$K$41:$O$41</c15:sqref>
                    </c15:fullRef>
                  </c:ext>
                </c:extLst>
                <c:f>Sheet3!$K$41:$N$41</c:f>
                <c:numCache>
                  <c:formatCode>General</c:formatCode>
                  <c:ptCount val="4"/>
                  <c:pt idx="0">
                    <c:v>93.254767237292441</c:v>
                  </c:pt>
                  <c:pt idx="1">
                    <c:v>109.57477273067242</c:v>
                  </c:pt>
                  <c:pt idx="2">
                    <c:v>187.47462849938219</c:v>
                  </c:pt>
                  <c:pt idx="3">
                    <c:v>154.40736669786997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Sheet3!$K$41:$O$41</c15:sqref>
                    </c15:fullRef>
                  </c:ext>
                </c:extLst>
                <c:f>Sheet3!$K$41:$N$41</c:f>
                <c:numCache>
                  <c:formatCode>General</c:formatCode>
                  <c:ptCount val="4"/>
                  <c:pt idx="0">
                    <c:v>93.254767237292441</c:v>
                  </c:pt>
                  <c:pt idx="1">
                    <c:v>109.57477273067242</c:v>
                  </c:pt>
                  <c:pt idx="2">
                    <c:v>187.47462849938219</c:v>
                  </c:pt>
                  <c:pt idx="3">
                    <c:v>154.40736669786997</c:v>
                  </c:pt>
                </c:numCache>
              </c:numRef>
            </c:minus>
          </c:errBar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Sheet3!$K$40:$O$40</c15:sqref>
                  </c15:fullRef>
                </c:ext>
              </c:extLst>
              <c:f>Sheet3!$K$40:$N$40</c:f>
              <c:numCache>
                <c:formatCode>General</c:formatCode>
                <c:ptCount val="4"/>
                <c:pt idx="0">
                  <c:v>142.57160431032344</c:v>
                </c:pt>
                <c:pt idx="1">
                  <c:v>311.91787610164914</c:v>
                </c:pt>
                <c:pt idx="2">
                  <c:v>416.94494342840102</c:v>
                </c:pt>
                <c:pt idx="3">
                  <c:v>1987.7842792681292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57-4E98-B9C3-B0E061633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  <c:majorUnit val="5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432287</xdr:colOff>
      <xdr:row>42</xdr:row>
      <xdr:rowOff>115766</xdr:rowOff>
    </xdr:from>
    <xdr:to>
      <xdr:col>19</xdr:col>
      <xdr:colOff>139210</xdr:colOff>
      <xdr:row>57</xdr:row>
      <xdr:rowOff>1466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68A384-E13C-4727-BC54-2E06DF9AC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556845</xdr:colOff>
      <xdr:row>56</xdr:row>
      <xdr:rowOff>167053</xdr:rowOff>
    </xdr:from>
    <xdr:to>
      <xdr:col>19</xdr:col>
      <xdr:colOff>263768</xdr:colOff>
      <xdr:row>71</xdr:row>
      <xdr:rowOff>52753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AD798B-C9C1-4F8A-AA2D-87C2C1EBD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111815</xdr:colOff>
      <xdr:row>46</xdr:row>
      <xdr:rowOff>127552</xdr:rowOff>
    </xdr:from>
    <xdr:to>
      <xdr:col>30</xdr:col>
      <xdr:colOff>393424</xdr:colOff>
      <xdr:row>61</xdr:row>
      <xdr:rowOff>13252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D6E33D-AB4E-4DE2-9EA1-1EE486913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</xdr:colOff>
      <xdr:row>43</xdr:row>
      <xdr:rowOff>185737</xdr:rowOff>
    </xdr:from>
    <xdr:to>
      <xdr:col>9</xdr:col>
      <xdr:colOff>252412</xdr:colOff>
      <xdr:row>58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25EDC-B5EE-469E-933E-962772F55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252412</xdr:colOff>
      <xdr:row>42</xdr:row>
      <xdr:rowOff>61912</xdr:rowOff>
    </xdr:from>
    <xdr:to>
      <xdr:col>7</xdr:col>
      <xdr:colOff>395287</xdr:colOff>
      <xdr:row>56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C00DD4-8B06-4C11-88A9-6E0BD6FF5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54</xdr:row>
      <xdr:rowOff>0</xdr:rowOff>
    </xdr:from>
    <xdr:to>
      <xdr:col>23</xdr:col>
      <xdr:colOff>142875</xdr:colOff>
      <xdr:row>68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F5F75-B844-46AA-BAF9-22014EA60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491319</xdr:colOff>
      <xdr:row>56</xdr:row>
      <xdr:rowOff>156949</xdr:rowOff>
    </xdr:from>
    <xdr:to>
      <xdr:col>8</xdr:col>
      <xdr:colOff>33692</xdr:colOff>
      <xdr:row>71</xdr:row>
      <xdr:rowOff>55727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8FD006-E70E-406C-A505-D3DCAEAAC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2.08545E-7</cdr:x>
      <cdr:y>0.08039</cdr:y>
    </cdr:from>
    <cdr:to>
      <cdr:x>0.13245</cdr:x>
      <cdr:y>0.78634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660574" y="883330"/>
          <a:ext cx="1956259" cy="635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 dirty="0"/>
            <a:t>Intercellular SA (ng</a:t>
          </a:r>
          <a:r>
            <a:rPr lang="en-CA" sz="1100" b="1" baseline="0" dirty="0"/>
            <a:t> ml IWF </a:t>
          </a:r>
          <a:r>
            <a:rPr lang="en-CA" sz="1100" b="1" baseline="30000" dirty="0"/>
            <a:t>-1</a:t>
          </a:r>
          <a:r>
            <a:rPr lang="en-CA" sz="1100" b="1" baseline="0" dirty="0"/>
            <a:t>)</a:t>
          </a:r>
          <a:endParaRPr lang="en-CA" sz="1100" b="1" dirty="0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0.39216</cdr:x>
      <cdr:y>0.85726</cdr:y>
    </cdr:from>
    <cdr:to>
      <cdr:x>0.47104</cdr:x>
      <cdr:y>0.94021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142686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dirty="0"/>
            <a:t>12</a:t>
          </a:r>
          <a:r>
            <a:rPr lang="en-CA" sz="1100" baseline="0" dirty="0"/>
            <a:t> </a:t>
          </a:r>
          <a:r>
            <a:rPr lang="en-CA" sz="1100" baseline="0" dirty="0" err="1"/>
            <a:t>hpi</a:t>
          </a:r>
          <a:endParaRPr lang="en-CA" sz="1100" dirty="0"/>
        </a:p>
      </cdr:txBody>
    </cdr:sp>
  </cdr:relSizeAnchor>
  <cdr:relSizeAnchor xmlns:cdr="http://schemas.openxmlformats.org/drawingml/2006/chartDrawing">
    <cdr:from>
      <cdr:x>0.6059</cdr:x>
      <cdr:y>0.85726</cdr:y>
    </cdr:from>
    <cdr:to>
      <cdr:x>0.68478</cdr:x>
      <cdr:y>0.94021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3310530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  <cdr:relSizeAnchor xmlns:cdr="http://schemas.openxmlformats.org/drawingml/2006/chartDrawing">
    <cdr:from>
      <cdr:x>0.81964</cdr:x>
      <cdr:y>0.85726</cdr:y>
    </cdr:from>
    <cdr:to>
      <cdr:x>0.89852</cdr:x>
      <cdr:y>0.94021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4478375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0.33119</cdr:x>
      <cdr:y>0.86789</cdr:y>
    </cdr:from>
    <cdr:to>
      <cdr:x>0.41007</cdr:x>
      <cdr:y>0.95084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299692" y="2593418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0.50378</cdr:x>
      <cdr:y>0.87497</cdr:y>
    </cdr:from>
    <cdr:to>
      <cdr:x>0.58266</cdr:x>
      <cdr:y>0.95792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3498078" y="2614585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18 hpi</a:t>
          </a:r>
          <a:endParaRPr lang="en-CA" sz="1100"/>
        </a:p>
      </cdr:txBody>
    </cdr:sp>
  </cdr:relSizeAnchor>
  <cdr:relSizeAnchor xmlns:cdr="http://schemas.openxmlformats.org/drawingml/2006/chartDrawing">
    <cdr:from>
      <cdr:x>0.85927</cdr:x>
      <cdr:y>0.87851</cdr:y>
    </cdr:from>
    <cdr:to>
      <cdr:x>0.93815</cdr:x>
      <cdr:y>0.96146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5966465" y="2625168"/>
          <a:ext cx="547716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  <cdr:relSizeAnchor xmlns:cdr="http://schemas.openxmlformats.org/drawingml/2006/chartDrawing">
    <cdr:from>
      <cdr:x>0.68252</cdr:x>
      <cdr:y>0.86701</cdr:y>
    </cdr:from>
    <cdr:to>
      <cdr:x>0.7614</cdr:x>
      <cdr:y>0.94996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37E47B1-7B79-4259-9F1F-66AFA0118839}"/>
            </a:ext>
          </a:extLst>
        </cdr:cNvPr>
        <cdr:cNvSpPr txBox="1"/>
      </cdr:nvSpPr>
      <cdr:spPr>
        <a:xfrm xmlns:a="http://schemas.openxmlformats.org/drawingml/2006/main">
          <a:off x="4739216" y="2590800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2.08545E-7</cdr:x>
      <cdr:y>0.08039</cdr:y>
    </cdr:from>
    <cdr:to>
      <cdr:x>0.13245</cdr:x>
      <cdr:y>0.78634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660574" y="883330"/>
          <a:ext cx="1956259" cy="635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 dirty="0"/>
            <a:t>Intercellular SA (ng</a:t>
          </a:r>
          <a:r>
            <a:rPr lang="en-CA" sz="1100" b="1" baseline="0" dirty="0"/>
            <a:t> ml IWF </a:t>
          </a:r>
          <a:r>
            <a:rPr lang="en-CA" sz="1100" b="1" baseline="30000" dirty="0"/>
            <a:t>-1</a:t>
          </a:r>
          <a:r>
            <a:rPr lang="en-CA" sz="1100" b="1" baseline="0" dirty="0"/>
            <a:t>)</a:t>
          </a:r>
          <a:endParaRPr lang="en-CA" sz="1100" b="1" dirty="0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0.39216</cdr:x>
      <cdr:y>0.85726</cdr:y>
    </cdr:from>
    <cdr:to>
      <cdr:x>0.47104</cdr:x>
      <cdr:y>0.94021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142686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dirty="0"/>
            <a:t>12</a:t>
          </a:r>
          <a:r>
            <a:rPr lang="en-CA" sz="1100" baseline="0" dirty="0"/>
            <a:t> </a:t>
          </a:r>
          <a:r>
            <a:rPr lang="en-CA" sz="1100" baseline="0" dirty="0" err="1"/>
            <a:t>hpi</a:t>
          </a:r>
          <a:endParaRPr lang="en-CA" sz="1100" dirty="0"/>
        </a:p>
      </cdr:txBody>
    </cdr:sp>
  </cdr:relSizeAnchor>
  <cdr:relSizeAnchor xmlns:cdr="http://schemas.openxmlformats.org/drawingml/2006/chartDrawing">
    <cdr:from>
      <cdr:x>0.6059</cdr:x>
      <cdr:y>0.85726</cdr:y>
    </cdr:from>
    <cdr:to>
      <cdr:x>0.68478</cdr:x>
      <cdr:y>0.94021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3310530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18 hpi</a:t>
          </a:r>
          <a:endParaRPr lang="en-CA" sz="1100"/>
        </a:p>
      </cdr:txBody>
    </cdr:sp>
  </cdr:relSizeAnchor>
  <cdr:relSizeAnchor xmlns:cdr="http://schemas.openxmlformats.org/drawingml/2006/chartDrawing">
    <cdr:from>
      <cdr:x>0.81964</cdr:x>
      <cdr:y>0.85726</cdr:y>
    </cdr:from>
    <cdr:to>
      <cdr:x>0.89852</cdr:x>
      <cdr:y>0.94021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4478375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0"/>
  <sheetViews>
    <sheetView topLeftCell="M7" zoomScaleNormal="100" workbookViewId="0">
      <selection activeCell="P12" sqref="P12:AA19"/>
    </sheetView>
  </sheetViews>
  <sheetFormatPr defaultRowHeight="14" x14ac:dyDescent="0.3"/>
  <sheetData>
    <row r="1" spans="1:42" x14ac:dyDescent="0.3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1" t="s">
        <v>9</v>
      </c>
      <c r="P1" s="2">
        <v>1</v>
      </c>
      <c r="Q1" s="2">
        <v>2</v>
      </c>
      <c r="R1" s="2">
        <v>3</v>
      </c>
      <c r="S1" s="2">
        <v>4</v>
      </c>
      <c r="T1" s="2">
        <v>5</v>
      </c>
      <c r="U1" s="2">
        <v>6</v>
      </c>
      <c r="V1" s="2">
        <v>7</v>
      </c>
      <c r="W1" s="2">
        <v>8</v>
      </c>
      <c r="X1" s="2">
        <v>9</v>
      </c>
      <c r="Y1" s="2">
        <v>10</v>
      </c>
      <c r="Z1" s="2">
        <v>11</v>
      </c>
      <c r="AA1" s="2">
        <v>12</v>
      </c>
    </row>
    <row r="2" spans="1:42" x14ac:dyDescent="0.3">
      <c r="A2" s="2" t="s">
        <v>0</v>
      </c>
      <c r="B2" s="3">
        <v>2836</v>
      </c>
      <c r="C2" s="3">
        <v>2003</v>
      </c>
      <c r="D2" s="3">
        <v>1813</v>
      </c>
      <c r="E2" s="3">
        <v>1642</v>
      </c>
      <c r="F2" s="3">
        <v>1358</v>
      </c>
      <c r="G2" s="3">
        <v>1259</v>
      </c>
      <c r="H2" s="3">
        <v>1052</v>
      </c>
      <c r="I2" s="3">
        <v>709</v>
      </c>
      <c r="J2" s="3">
        <v>454</v>
      </c>
      <c r="K2" s="3">
        <v>325</v>
      </c>
      <c r="L2" s="3">
        <v>197</v>
      </c>
      <c r="M2" s="3">
        <v>151</v>
      </c>
      <c r="N2" s="4" t="s">
        <v>1</v>
      </c>
      <c r="O2" s="2" t="s">
        <v>0</v>
      </c>
      <c r="P2" s="3">
        <v>41740</v>
      </c>
      <c r="Q2" s="3">
        <v>28118</v>
      </c>
      <c r="R2" s="3">
        <v>27561</v>
      </c>
      <c r="S2" s="3">
        <v>24459</v>
      </c>
      <c r="T2" s="3">
        <v>22678</v>
      </c>
      <c r="U2" s="3">
        <v>19795</v>
      </c>
      <c r="V2" s="3">
        <v>17126</v>
      </c>
      <c r="W2" s="3">
        <v>13748</v>
      </c>
      <c r="X2" s="3">
        <v>7861</v>
      </c>
      <c r="Y2" s="3">
        <v>4986</v>
      </c>
      <c r="Z2" s="3">
        <v>3792</v>
      </c>
      <c r="AA2" s="3">
        <v>2438</v>
      </c>
      <c r="AB2" s="4" t="s">
        <v>10</v>
      </c>
    </row>
    <row r="3" spans="1:42" x14ac:dyDescent="0.3">
      <c r="A3" s="2" t="s">
        <v>2</v>
      </c>
      <c r="B3" s="3">
        <v>2006</v>
      </c>
      <c r="C3" s="3">
        <v>1435</v>
      </c>
      <c r="D3" s="3">
        <v>1412</v>
      </c>
      <c r="E3" s="3">
        <v>1368</v>
      </c>
      <c r="F3" s="3">
        <v>1422</v>
      </c>
      <c r="G3" s="3">
        <v>1230</v>
      </c>
      <c r="H3" s="3">
        <v>1031</v>
      </c>
      <c r="I3" s="3">
        <v>782</v>
      </c>
      <c r="J3" s="3">
        <v>673</v>
      </c>
      <c r="K3" s="3">
        <v>304</v>
      </c>
      <c r="L3" s="3">
        <v>243</v>
      </c>
      <c r="M3" s="3">
        <v>146</v>
      </c>
      <c r="N3" s="4" t="s">
        <v>1</v>
      </c>
      <c r="O3" s="2" t="s">
        <v>2</v>
      </c>
      <c r="P3" s="3">
        <v>43132</v>
      </c>
      <c r="Q3" s="3">
        <v>31318</v>
      </c>
      <c r="R3" s="3">
        <v>26754</v>
      </c>
      <c r="S3" s="3">
        <v>25590</v>
      </c>
      <c r="T3" s="3">
        <v>25185</v>
      </c>
      <c r="U3" s="3">
        <v>20918</v>
      </c>
      <c r="V3" s="3">
        <v>19602</v>
      </c>
      <c r="W3" s="3">
        <v>13099</v>
      </c>
      <c r="X3" s="3">
        <v>13289</v>
      </c>
      <c r="Y3" s="3">
        <v>5209</v>
      </c>
      <c r="Z3" s="3">
        <v>3673</v>
      </c>
      <c r="AA3" s="3">
        <v>2803</v>
      </c>
      <c r="AB3" s="4" t="s">
        <v>10</v>
      </c>
    </row>
    <row r="4" spans="1:42" x14ac:dyDescent="0.3">
      <c r="A4" s="2" t="s">
        <v>3</v>
      </c>
      <c r="B4" s="3">
        <v>173</v>
      </c>
      <c r="C4" s="3">
        <v>148</v>
      </c>
      <c r="D4" s="3">
        <v>211</v>
      </c>
      <c r="E4" s="3">
        <v>209</v>
      </c>
      <c r="F4" s="3">
        <v>100</v>
      </c>
      <c r="G4" s="3">
        <v>101</v>
      </c>
      <c r="H4" s="3">
        <v>98</v>
      </c>
      <c r="I4" s="3">
        <v>131</v>
      </c>
      <c r="J4" s="3">
        <v>94</v>
      </c>
      <c r="K4" s="3">
        <v>101</v>
      </c>
      <c r="L4" s="3">
        <v>166</v>
      </c>
      <c r="M4" s="3">
        <v>127</v>
      </c>
      <c r="N4" s="4" t="s">
        <v>1</v>
      </c>
      <c r="O4" s="2" t="s">
        <v>3</v>
      </c>
      <c r="P4" s="3">
        <v>3970</v>
      </c>
      <c r="Q4" s="3">
        <v>3681</v>
      </c>
      <c r="R4" s="3">
        <v>3992</v>
      </c>
      <c r="S4" s="3">
        <v>4097</v>
      </c>
      <c r="T4" s="3">
        <v>1695</v>
      </c>
      <c r="U4" s="3">
        <v>1936</v>
      </c>
      <c r="V4" s="3">
        <v>1403</v>
      </c>
      <c r="W4" s="3">
        <v>2517</v>
      </c>
      <c r="X4" s="3">
        <v>1466</v>
      </c>
      <c r="Y4" s="3">
        <v>2579</v>
      </c>
      <c r="Z4" s="3">
        <v>3767</v>
      </c>
      <c r="AA4" s="3">
        <v>2863</v>
      </c>
      <c r="AB4" s="4" t="s">
        <v>10</v>
      </c>
    </row>
    <row r="5" spans="1:42" x14ac:dyDescent="0.3">
      <c r="A5" s="2" t="s">
        <v>4</v>
      </c>
      <c r="B5" s="3">
        <v>368</v>
      </c>
      <c r="C5" s="3">
        <v>221</v>
      </c>
      <c r="D5" s="3">
        <v>255</v>
      </c>
      <c r="E5" s="3">
        <v>285</v>
      </c>
      <c r="F5" s="3">
        <v>193</v>
      </c>
      <c r="G5" s="3">
        <v>217</v>
      </c>
      <c r="H5" s="3">
        <v>180</v>
      </c>
      <c r="I5" s="3">
        <v>201</v>
      </c>
      <c r="J5" s="3">
        <v>241</v>
      </c>
      <c r="K5" s="3">
        <v>170</v>
      </c>
      <c r="L5" s="3">
        <v>164</v>
      </c>
      <c r="M5" s="3">
        <v>173</v>
      </c>
      <c r="N5" s="4" t="s">
        <v>1</v>
      </c>
      <c r="O5" s="2" t="s">
        <v>4</v>
      </c>
      <c r="P5" s="3">
        <v>8966</v>
      </c>
      <c r="Q5" s="3">
        <v>5354</v>
      </c>
      <c r="R5" s="3">
        <v>5717</v>
      </c>
      <c r="S5" s="3">
        <v>7018</v>
      </c>
      <c r="T5" s="3">
        <v>4622</v>
      </c>
      <c r="U5" s="3">
        <v>4671</v>
      </c>
      <c r="V5" s="3">
        <v>3950</v>
      </c>
      <c r="W5" s="3">
        <v>4643</v>
      </c>
      <c r="X5" s="3">
        <v>5388</v>
      </c>
      <c r="Y5" s="3">
        <v>4183</v>
      </c>
      <c r="Z5" s="3">
        <v>3108</v>
      </c>
      <c r="AA5" s="3">
        <v>3796</v>
      </c>
      <c r="AB5" s="4" t="s">
        <v>10</v>
      </c>
    </row>
    <row r="6" spans="1:42" x14ac:dyDescent="0.3">
      <c r="A6" s="2" t="s">
        <v>5</v>
      </c>
      <c r="B6" s="3">
        <v>360</v>
      </c>
      <c r="C6" s="3">
        <v>293</v>
      </c>
      <c r="D6" s="3">
        <v>317</v>
      </c>
      <c r="E6" s="3">
        <v>245</v>
      </c>
      <c r="F6" s="3">
        <v>247</v>
      </c>
      <c r="G6" s="3">
        <v>245</v>
      </c>
      <c r="H6" s="3">
        <v>178</v>
      </c>
      <c r="I6" s="3">
        <v>532</v>
      </c>
      <c r="J6" s="3">
        <v>193</v>
      </c>
      <c r="K6" s="3">
        <v>198</v>
      </c>
      <c r="L6" s="3">
        <v>295</v>
      </c>
      <c r="M6" s="3">
        <v>164</v>
      </c>
      <c r="N6" s="4" t="s">
        <v>1</v>
      </c>
      <c r="O6" s="2" t="s">
        <v>5</v>
      </c>
      <c r="P6" s="3">
        <v>8615</v>
      </c>
      <c r="Q6" s="3">
        <v>6454</v>
      </c>
      <c r="R6" s="3">
        <v>6798</v>
      </c>
      <c r="S6" s="3">
        <v>5808</v>
      </c>
      <c r="T6" s="3">
        <v>5063</v>
      </c>
      <c r="U6" s="3">
        <v>5438</v>
      </c>
      <c r="V6" s="3">
        <v>3825</v>
      </c>
      <c r="W6" s="3">
        <v>12024</v>
      </c>
      <c r="X6" s="3">
        <v>5105</v>
      </c>
      <c r="Y6" s="3">
        <v>4419</v>
      </c>
      <c r="Z6" s="3">
        <v>6370</v>
      </c>
      <c r="AA6" s="3">
        <v>3757</v>
      </c>
      <c r="AB6" s="4" t="s">
        <v>10</v>
      </c>
    </row>
    <row r="7" spans="1:42" x14ac:dyDescent="0.3">
      <c r="A7" s="2" t="s">
        <v>6</v>
      </c>
      <c r="B7" s="3">
        <v>897</v>
      </c>
      <c r="C7" s="3">
        <v>811</v>
      </c>
      <c r="D7" s="3">
        <v>846</v>
      </c>
      <c r="E7" s="3">
        <v>656</v>
      </c>
      <c r="F7" s="3">
        <v>499</v>
      </c>
      <c r="G7" s="3">
        <v>530</v>
      </c>
      <c r="H7" s="3">
        <v>589</v>
      </c>
      <c r="I7" s="3">
        <v>598</v>
      </c>
      <c r="J7" s="3">
        <v>685</v>
      </c>
      <c r="K7" s="3">
        <v>518</v>
      </c>
      <c r="L7" s="3">
        <v>540</v>
      </c>
      <c r="M7" s="3">
        <v>554</v>
      </c>
      <c r="N7" s="4" t="s">
        <v>1</v>
      </c>
      <c r="O7" s="2" t="s">
        <v>6</v>
      </c>
      <c r="P7" s="3">
        <v>18921</v>
      </c>
      <c r="Q7" s="3">
        <v>18348</v>
      </c>
      <c r="R7" s="3">
        <v>18627</v>
      </c>
      <c r="S7" s="3">
        <v>16189</v>
      </c>
      <c r="T7" s="3">
        <v>12166</v>
      </c>
      <c r="U7" s="3">
        <v>13174</v>
      </c>
      <c r="V7" s="3">
        <v>14172</v>
      </c>
      <c r="W7" s="3">
        <v>13691</v>
      </c>
      <c r="X7" s="3">
        <v>15234</v>
      </c>
      <c r="Y7" s="3">
        <v>12041</v>
      </c>
      <c r="Z7" s="3">
        <v>11485</v>
      </c>
      <c r="AA7" s="3">
        <v>11743</v>
      </c>
      <c r="AB7" s="4" t="s">
        <v>10</v>
      </c>
    </row>
    <row r="8" spans="1:42" x14ac:dyDescent="0.3">
      <c r="A8" s="2" t="s">
        <v>7</v>
      </c>
      <c r="B8" s="3">
        <v>833</v>
      </c>
      <c r="C8" s="3">
        <v>828</v>
      </c>
      <c r="D8" s="3">
        <v>771</v>
      </c>
      <c r="E8" s="3">
        <v>425</v>
      </c>
      <c r="F8" s="3">
        <v>426</v>
      </c>
      <c r="G8" s="3">
        <v>373</v>
      </c>
      <c r="H8" s="3">
        <v>532</v>
      </c>
      <c r="I8" s="3">
        <v>276</v>
      </c>
      <c r="J8" s="3">
        <v>410</v>
      </c>
      <c r="K8" s="3">
        <v>476</v>
      </c>
      <c r="L8" s="3">
        <v>269</v>
      </c>
      <c r="M8" s="3">
        <v>361</v>
      </c>
      <c r="N8" s="4" t="s">
        <v>1</v>
      </c>
      <c r="O8" s="2" t="s">
        <v>7</v>
      </c>
      <c r="P8" s="3">
        <v>19841</v>
      </c>
      <c r="Q8" s="3">
        <v>18682</v>
      </c>
      <c r="R8" s="3">
        <v>17732</v>
      </c>
      <c r="S8" s="3">
        <v>10051</v>
      </c>
      <c r="T8" s="3">
        <v>9853</v>
      </c>
      <c r="U8" s="3">
        <v>7454</v>
      </c>
      <c r="V8" s="3">
        <v>12040</v>
      </c>
      <c r="W8" s="3">
        <v>5374</v>
      </c>
      <c r="X8" s="3">
        <v>8621</v>
      </c>
      <c r="Y8" s="3">
        <v>9726</v>
      </c>
      <c r="Z8" s="3">
        <v>5734</v>
      </c>
      <c r="AA8" s="3">
        <v>8267</v>
      </c>
      <c r="AB8" s="4" t="s">
        <v>10</v>
      </c>
    </row>
    <row r="9" spans="1:42" x14ac:dyDescent="0.3">
      <c r="A9" s="2" t="s">
        <v>8</v>
      </c>
      <c r="B9" s="3">
        <v>280</v>
      </c>
      <c r="C9" s="3">
        <v>195</v>
      </c>
      <c r="D9" s="3">
        <v>309</v>
      </c>
      <c r="E9" s="3">
        <v>281</v>
      </c>
      <c r="F9" s="3">
        <v>298</v>
      </c>
      <c r="G9" s="3">
        <v>290</v>
      </c>
      <c r="H9" s="3">
        <v>261</v>
      </c>
      <c r="I9" s="3">
        <v>264</v>
      </c>
      <c r="J9" s="3">
        <v>2</v>
      </c>
      <c r="K9" s="3">
        <v>2</v>
      </c>
      <c r="L9" s="3">
        <v>1</v>
      </c>
      <c r="M9" s="3">
        <v>1</v>
      </c>
      <c r="N9" s="4" t="s">
        <v>1</v>
      </c>
      <c r="O9" s="2" t="s">
        <v>8</v>
      </c>
      <c r="P9" s="3">
        <v>5763</v>
      </c>
      <c r="Q9" s="3">
        <v>3938</v>
      </c>
      <c r="R9" s="3">
        <v>5681</v>
      </c>
      <c r="S9" s="3">
        <v>6032</v>
      </c>
      <c r="T9" s="3">
        <v>5890</v>
      </c>
      <c r="U9" s="3">
        <v>5977</v>
      </c>
      <c r="V9" s="3">
        <v>5678</v>
      </c>
      <c r="W9" s="3">
        <v>5827</v>
      </c>
      <c r="X9" s="3">
        <v>16</v>
      </c>
      <c r="Y9" s="3">
        <v>7</v>
      </c>
      <c r="Z9" s="3">
        <v>3</v>
      </c>
      <c r="AA9" s="3">
        <v>6</v>
      </c>
      <c r="AB9" s="4" t="s">
        <v>10</v>
      </c>
    </row>
    <row r="11" spans="1:42" x14ac:dyDescent="0.3">
      <c r="A11" s="1" t="s">
        <v>11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O11" s="1" t="s">
        <v>11</v>
      </c>
      <c r="P11" s="2">
        <v>1</v>
      </c>
      <c r="Q11" s="2">
        <v>2</v>
      </c>
      <c r="R11" s="2">
        <v>3</v>
      </c>
      <c r="S11" s="2">
        <v>4</v>
      </c>
      <c r="T11" s="2">
        <v>5</v>
      </c>
      <c r="U11" s="2">
        <v>6</v>
      </c>
      <c r="V11" s="2">
        <v>7</v>
      </c>
      <c r="W11" s="2">
        <v>8</v>
      </c>
      <c r="X11" s="2">
        <v>9</v>
      </c>
      <c r="Y11" s="2">
        <v>10</v>
      </c>
      <c r="Z11" s="2">
        <v>11</v>
      </c>
      <c r="AA11" s="2">
        <v>12</v>
      </c>
      <c r="AC11" s="1" t="s">
        <v>11</v>
      </c>
      <c r="AD11" s="2">
        <v>1</v>
      </c>
      <c r="AE11" s="2">
        <v>2</v>
      </c>
      <c r="AF11" s="2">
        <v>3</v>
      </c>
      <c r="AG11" s="2">
        <v>4</v>
      </c>
      <c r="AH11" s="2">
        <v>5</v>
      </c>
      <c r="AI11" s="2">
        <v>6</v>
      </c>
      <c r="AJ11" s="2">
        <v>7</v>
      </c>
      <c r="AK11" s="2">
        <v>8</v>
      </c>
      <c r="AL11" s="2">
        <v>9</v>
      </c>
      <c r="AM11" s="2">
        <v>10</v>
      </c>
      <c r="AN11" s="2">
        <v>11</v>
      </c>
      <c r="AO11" s="2">
        <v>12</v>
      </c>
    </row>
    <row r="12" spans="1:42" x14ac:dyDescent="0.3">
      <c r="A12" s="2" t="s">
        <v>0</v>
      </c>
      <c r="B12" s="3">
        <v>1451</v>
      </c>
      <c r="C12" s="3">
        <v>1066</v>
      </c>
      <c r="D12" s="3">
        <v>1007</v>
      </c>
      <c r="E12" s="3">
        <v>953</v>
      </c>
      <c r="F12" s="3">
        <v>872</v>
      </c>
      <c r="G12" s="3">
        <v>755</v>
      </c>
      <c r="H12" s="3">
        <v>643</v>
      </c>
      <c r="I12" s="3">
        <v>490</v>
      </c>
      <c r="J12" s="3">
        <v>326</v>
      </c>
      <c r="K12" s="3">
        <v>208</v>
      </c>
      <c r="L12" s="3">
        <v>137</v>
      </c>
      <c r="M12" s="3">
        <v>100</v>
      </c>
      <c r="N12" s="4" t="s">
        <v>1</v>
      </c>
      <c r="O12" s="2" t="s">
        <v>0</v>
      </c>
      <c r="P12" s="3">
        <v>31612</v>
      </c>
      <c r="Q12" s="3">
        <v>20196</v>
      </c>
      <c r="R12" s="3">
        <v>21974</v>
      </c>
      <c r="S12" s="3">
        <v>18931</v>
      </c>
      <c r="T12" s="3">
        <v>16964</v>
      </c>
      <c r="U12" s="3">
        <v>15815</v>
      </c>
      <c r="V12" s="3">
        <v>13164</v>
      </c>
      <c r="W12" s="3">
        <v>9267</v>
      </c>
      <c r="X12" s="3">
        <v>5811</v>
      </c>
      <c r="Y12" s="3">
        <v>3950</v>
      </c>
      <c r="Z12" s="3">
        <v>2496</v>
      </c>
      <c r="AA12" s="3">
        <v>1842</v>
      </c>
      <c r="AB12" s="4" t="s">
        <v>10</v>
      </c>
      <c r="AC12" s="2" t="s">
        <v>0</v>
      </c>
      <c r="AD12" s="3">
        <v>29580.5</v>
      </c>
      <c r="AE12" s="3">
        <v>18164.5</v>
      </c>
      <c r="AF12" s="3">
        <v>19942.5</v>
      </c>
      <c r="AG12" s="3">
        <v>16899.5</v>
      </c>
      <c r="AH12" s="3">
        <v>14932.5</v>
      </c>
      <c r="AI12" s="3">
        <v>13783.5</v>
      </c>
      <c r="AJ12" s="3">
        <v>11132.5</v>
      </c>
      <c r="AK12" s="3">
        <v>7235.5</v>
      </c>
      <c r="AL12" s="3">
        <v>3779.5</v>
      </c>
      <c r="AM12" s="3">
        <v>1918.5</v>
      </c>
      <c r="AN12" s="3">
        <v>464.5</v>
      </c>
      <c r="AO12" s="3">
        <v>-189.5</v>
      </c>
      <c r="AP12" s="4" t="s">
        <v>10</v>
      </c>
    </row>
    <row r="13" spans="1:42" x14ac:dyDescent="0.3">
      <c r="A13" s="2" t="s">
        <v>2</v>
      </c>
      <c r="B13" s="3">
        <v>1614</v>
      </c>
      <c r="C13" s="3">
        <v>1111</v>
      </c>
      <c r="D13" s="3">
        <v>994</v>
      </c>
      <c r="E13" s="3">
        <v>1026</v>
      </c>
      <c r="F13" s="3">
        <v>998</v>
      </c>
      <c r="G13" s="3">
        <v>801</v>
      </c>
      <c r="H13" s="3">
        <v>743</v>
      </c>
      <c r="I13" s="3">
        <v>497</v>
      </c>
      <c r="J13" s="3">
        <v>624</v>
      </c>
      <c r="K13" s="3">
        <v>218</v>
      </c>
      <c r="L13" s="3">
        <v>163</v>
      </c>
      <c r="M13" s="3">
        <v>109</v>
      </c>
      <c r="N13" s="4" t="s">
        <v>1</v>
      </c>
      <c r="O13" s="2" t="s">
        <v>2</v>
      </c>
      <c r="P13" s="3">
        <v>33304</v>
      </c>
      <c r="Q13" s="3">
        <v>22979</v>
      </c>
      <c r="R13" s="3">
        <v>21299</v>
      </c>
      <c r="S13" s="3">
        <v>20519</v>
      </c>
      <c r="T13" s="3">
        <v>19861</v>
      </c>
      <c r="U13" s="3">
        <v>15915</v>
      </c>
      <c r="V13" s="3">
        <v>13635</v>
      </c>
      <c r="W13" s="3">
        <v>10686</v>
      </c>
      <c r="X13" s="3">
        <v>11734</v>
      </c>
      <c r="Y13" s="3">
        <v>4246</v>
      </c>
      <c r="Z13" s="3">
        <v>3161</v>
      </c>
      <c r="AA13" s="3">
        <v>2221</v>
      </c>
      <c r="AB13" s="4" t="s">
        <v>10</v>
      </c>
      <c r="AC13" s="2" t="s">
        <v>2</v>
      </c>
      <c r="AD13" s="3">
        <v>31272.5</v>
      </c>
      <c r="AE13" s="3">
        <v>20947.5</v>
      </c>
      <c r="AF13" s="3">
        <v>19267.5</v>
      </c>
      <c r="AG13" s="3">
        <v>18487.5</v>
      </c>
      <c r="AH13" s="3">
        <v>17829.5</v>
      </c>
      <c r="AI13" s="3">
        <v>13883.5</v>
      </c>
      <c r="AJ13" s="3">
        <v>11603.5</v>
      </c>
      <c r="AK13" s="3">
        <v>8654.5</v>
      </c>
      <c r="AL13" s="3">
        <v>9702.5</v>
      </c>
      <c r="AM13" s="3">
        <v>2214.5</v>
      </c>
      <c r="AN13" s="3">
        <v>1129.5</v>
      </c>
      <c r="AO13" s="3">
        <v>189.5</v>
      </c>
      <c r="AP13" s="4" t="s">
        <v>10</v>
      </c>
    </row>
    <row r="14" spans="1:42" x14ac:dyDescent="0.3">
      <c r="A14" s="2" t="s">
        <v>3</v>
      </c>
      <c r="B14" s="3">
        <v>169</v>
      </c>
      <c r="C14" s="3">
        <v>124</v>
      </c>
      <c r="D14" s="3">
        <v>177</v>
      </c>
      <c r="E14" s="3">
        <v>134</v>
      </c>
      <c r="F14" s="3">
        <v>62</v>
      </c>
      <c r="G14" s="3">
        <v>67</v>
      </c>
      <c r="H14" s="3">
        <v>75</v>
      </c>
      <c r="I14" s="3">
        <v>81</v>
      </c>
      <c r="J14" s="3">
        <v>58</v>
      </c>
      <c r="K14" s="3">
        <v>90</v>
      </c>
      <c r="L14" s="3">
        <v>134</v>
      </c>
      <c r="M14" s="3">
        <v>113</v>
      </c>
      <c r="N14" s="4" t="s">
        <v>1</v>
      </c>
      <c r="O14" s="2" t="s">
        <v>3</v>
      </c>
      <c r="P14" s="3">
        <v>3212</v>
      </c>
      <c r="Q14" s="3">
        <v>2434</v>
      </c>
      <c r="R14" s="3">
        <v>3878</v>
      </c>
      <c r="S14" s="3">
        <v>3094</v>
      </c>
      <c r="T14" s="3">
        <v>1179</v>
      </c>
      <c r="U14" s="3">
        <v>1338</v>
      </c>
      <c r="V14" s="3">
        <v>1466</v>
      </c>
      <c r="W14" s="3">
        <v>1794</v>
      </c>
      <c r="X14" s="3">
        <v>1361</v>
      </c>
      <c r="Y14" s="3">
        <v>1670</v>
      </c>
      <c r="Z14" s="3">
        <v>3203</v>
      </c>
      <c r="AA14" s="3">
        <v>2602</v>
      </c>
      <c r="AB14" s="4" t="s">
        <v>10</v>
      </c>
      <c r="AC14" s="2" t="s">
        <v>3</v>
      </c>
      <c r="AD14" s="3">
        <v>1180.5</v>
      </c>
      <c r="AE14" s="3">
        <v>402.5</v>
      </c>
      <c r="AF14" s="3">
        <v>1846.5</v>
      </c>
      <c r="AG14" s="3">
        <v>1062.5</v>
      </c>
      <c r="AH14" s="3">
        <v>-852.5</v>
      </c>
      <c r="AI14" s="3">
        <v>-693.5</v>
      </c>
      <c r="AJ14" s="3">
        <v>-565.5</v>
      </c>
      <c r="AK14" s="3">
        <v>-237.5</v>
      </c>
      <c r="AL14" s="3">
        <v>-670.5</v>
      </c>
      <c r="AM14" s="3">
        <v>-361.5</v>
      </c>
      <c r="AN14" s="3">
        <v>1171.5</v>
      </c>
      <c r="AO14" s="3">
        <v>570.5</v>
      </c>
      <c r="AP14" s="4" t="s">
        <v>10</v>
      </c>
    </row>
    <row r="15" spans="1:42" x14ac:dyDescent="0.3">
      <c r="A15" s="2" t="s">
        <v>4</v>
      </c>
      <c r="B15" s="3">
        <v>303</v>
      </c>
      <c r="C15" s="3">
        <v>181</v>
      </c>
      <c r="D15" s="3">
        <v>208</v>
      </c>
      <c r="E15" s="3">
        <v>235</v>
      </c>
      <c r="F15" s="3">
        <v>182</v>
      </c>
      <c r="G15" s="3">
        <v>174</v>
      </c>
      <c r="H15" s="3">
        <v>141</v>
      </c>
      <c r="I15" s="3">
        <v>170</v>
      </c>
      <c r="J15" s="3">
        <v>194</v>
      </c>
      <c r="K15" s="3">
        <v>170</v>
      </c>
      <c r="L15" s="3">
        <v>113</v>
      </c>
      <c r="M15" s="3">
        <v>132</v>
      </c>
      <c r="N15" s="4" t="s">
        <v>1</v>
      </c>
      <c r="O15" s="2" t="s">
        <v>4</v>
      </c>
      <c r="P15" s="3">
        <v>7283</v>
      </c>
      <c r="Q15" s="3">
        <v>4209</v>
      </c>
      <c r="R15" s="3">
        <v>4642</v>
      </c>
      <c r="S15" s="3">
        <v>5129</v>
      </c>
      <c r="T15" s="3">
        <v>3777</v>
      </c>
      <c r="U15" s="3">
        <v>3881</v>
      </c>
      <c r="V15" s="3">
        <v>3277</v>
      </c>
      <c r="W15" s="3">
        <v>3701</v>
      </c>
      <c r="X15" s="3">
        <v>4449</v>
      </c>
      <c r="Y15" s="3">
        <v>3448</v>
      </c>
      <c r="Z15" s="3">
        <v>2840</v>
      </c>
      <c r="AA15" s="3">
        <v>3348</v>
      </c>
      <c r="AB15" s="4" t="s">
        <v>10</v>
      </c>
      <c r="AC15" s="2" t="s">
        <v>4</v>
      </c>
      <c r="AD15" s="3">
        <v>5251.5</v>
      </c>
      <c r="AE15" s="3">
        <v>2177.5</v>
      </c>
      <c r="AF15" s="3">
        <v>2610.5</v>
      </c>
      <c r="AG15" s="3">
        <v>3097.5</v>
      </c>
      <c r="AH15" s="3">
        <v>1745.5</v>
      </c>
      <c r="AI15" s="3">
        <v>1849.5</v>
      </c>
      <c r="AJ15" s="3">
        <v>1245.5</v>
      </c>
      <c r="AK15" s="3">
        <v>1669.5</v>
      </c>
      <c r="AL15" s="3">
        <v>2417.5</v>
      </c>
      <c r="AM15" s="3">
        <v>1416.5</v>
      </c>
      <c r="AN15" s="3">
        <v>808.5</v>
      </c>
      <c r="AO15" s="3">
        <v>1316.5</v>
      </c>
      <c r="AP15" s="4" t="s">
        <v>10</v>
      </c>
    </row>
    <row r="16" spans="1:42" x14ac:dyDescent="0.3">
      <c r="A16" s="2" t="s">
        <v>5</v>
      </c>
      <c r="B16" s="3">
        <v>299</v>
      </c>
      <c r="C16" s="3">
        <v>246</v>
      </c>
      <c r="D16" s="3">
        <v>271</v>
      </c>
      <c r="E16" s="3">
        <v>221</v>
      </c>
      <c r="F16" s="3">
        <v>228</v>
      </c>
      <c r="G16" s="3">
        <v>224</v>
      </c>
      <c r="H16" s="3">
        <v>139</v>
      </c>
      <c r="I16" s="3">
        <v>448</v>
      </c>
      <c r="J16" s="3">
        <v>177</v>
      </c>
      <c r="K16" s="3">
        <v>158</v>
      </c>
      <c r="L16" s="3">
        <v>267</v>
      </c>
      <c r="M16" s="3">
        <v>130</v>
      </c>
      <c r="N16" s="4" t="s">
        <v>1</v>
      </c>
      <c r="O16" s="2" t="s">
        <v>5</v>
      </c>
      <c r="P16" s="3">
        <v>6546</v>
      </c>
      <c r="Q16" s="3">
        <v>5262</v>
      </c>
      <c r="R16" s="3">
        <v>6247</v>
      </c>
      <c r="S16" s="3">
        <v>5044</v>
      </c>
      <c r="T16" s="3">
        <v>4870</v>
      </c>
      <c r="U16" s="3">
        <v>3998</v>
      </c>
      <c r="V16" s="3">
        <v>3248</v>
      </c>
      <c r="W16" s="3">
        <v>10312</v>
      </c>
      <c r="X16" s="3">
        <v>4608</v>
      </c>
      <c r="Y16" s="3">
        <v>3443</v>
      </c>
      <c r="Z16" s="3">
        <v>5316</v>
      </c>
      <c r="AA16" s="3">
        <v>3042</v>
      </c>
      <c r="AB16" s="4" t="s">
        <v>10</v>
      </c>
      <c r="AC16" s="2" t="s">
        <v>5</v>
      </c>
      <c r="AD16" s="3">
        <v>4514.5</v>
      </c>
      <c r="AE16" s="3">
        <v>3230.5</v>
      </c>
      <c r="AF16" s="3">
        <v>4215.5</v>
      </c>
      <c r="AG16" s="3">
        <v>3012.5</v>
      </c>
      <c r="AH16" s="3">
        <v>2838.5</v>
      </c>
      <c r="AI16" s="3">
        <v>1966.5</v>
      </c>
      <c r="AJ16" s="3">
        <v>1216.5</v>
      </c>
      <c r="AK16" s="3">
        <v>8280.5</v>
      </c>
      <c r="AL16" s="3">
        <v>2576.5</v>
      </c>
      <c r="AM16" s="3">
        <v>1411.5</v>
      </c>
      <c r="AN16" s="3">
        <v>3284.5</v>
      </c>
      <c r="AO16" s="3">
        <v>1010.5</v>
      </c>
      <c r="AP16" s="4" t="s">
        <v>10</v>
      </c>
    </row>
    <row r="17" spans="1:42" x14ac:dyDescent="0.3">
      <c r="A17" s="2" t="s">
        <v>6</v>
      </c>
      <c r="B17" s="3">
        <v>709</v>
      </c>
      <c r="C17" s="3">
        <v>711</v>
      </c>
      <c r="D17" s="3">
        <v>679</v>
      </c>
      <c r="E17" s="3">
        <v>552</v>
      </c>
      <c r="F17" s="3">
        <v>440</v>
      </c>
      <c r="G17" s="3">
        <v>446</v>
      </c>
      <c r="H17" s="3">
        <v>539</v>
      </c>
      <c r="I17" s="3">
        <v>539</v>
      </c>
      <c r="J17" s="3">
        <v>563</v>
      </c>
      <c r="K17" s="3">
        <v>443</v>
      </c>
      <c r="L17" s="3">
        <v>401</v>
      </c>
      <c r="M17" s="3">
        <v>410</v>
      </c>
      <c r="N17" s="4" t="s">
        <v>1</v>
      </c>
      <c r="O17" s="2" t="s">
        <v>6</v>
      </c>
      <c r="P17" s="3">
        <v>15083</v>
      </c>
      <c r="Q17" s="3">
        <v>14958</v>
      </c>
      <c r="R17" s="3">
        <v>14698</v>
      </c>
      <c r="S17" s="3">
        <v>13409</v>
      </c>
      <c r="T17" s="3">
        <v>9962</v>
      </c>
      <c r="U17" s="3">
        <v>10271</v>
      </c>
      <c r="V17" s="3">
        <v>11679</v>
      </c>
      <c r="W17" s="3">
        <v>10851</v>
      </c>
      <c r="X17" s="3">
        <v>11809</v>
      </c>
      <c r="Y17" s="3">
        <v>9507</v>
      </c>
      <c r="Z17" s="3">
        <v>10366</v>
      </c>
      <c r="AA17" s="3">
        <v>9969</v>
      </c>
      <c r="AB17" s="4" t="s">
        <v>10</v>
      </c>
      <c r="AC17" s="2" t="s">
        <v>6</v>
      </c>
      <c r="AD17" s="3">
        <v>13051.5</v>
      </c>
      <c r="AE17" s="3">
        <v>12926.5</v>
      </c>
      <c r="AF17" s="3">
        <v>12666.5</v>
      </c>
      <c r="AG17" s="3">
        <v>11377.5</v>
      </c>
      <c r="AH17" s="3">
        <v>7930.5</v>
      </c>
      <c r="AI17" s="3">
        <v>8239.5</v>
      </c>
      <c r="AJ17" s="3">
        <v>9647.5</v>
      </c>
      <c r="AK17" s="3">
        <v>8819.5</v>
      </c>
      <c r="AL17" s="3">
        <v>9777.5</v>
      </c>
      <c r="AM17" s="3">
        <v>7475.5</v>
      </c>
      <c r="AN17" s="3">
        <v>8334.5</v>
      </c>
      <c r="AO17" s="3">
        <v>7937.5</v>
      </c>
      <c r="AP17" s="4" t="s">
        <v>10</v>
      </c>
    </row>
    <row r="18" spans="1:42" x14ac:dyDescent="0.3">
      <c r="A18" s="2" t="s">
        <v>7</v>
      </c>
      <c r="B18" s="3">
        <v>681</v>
      </c>
      <c r="C18" s="3">
        <v>716</v>
      </c>
      <c r="D18" s="3">
        <v>630</v>
      </c>
      <c r="E18" s="3">
        <v>380</v>
      </c>
      <c r="F18" s="3">
        <v>404</v>
      </c>
      <c r="G18" s="3">
        <v>288</v>
      </c>
      <c r="H18" s="3">
        <v>426</v>
      </c>
      <c r="I18" s="3">
        <v>219</v>
      </c>
      <c r="J18" s="3">
        <v>319</v>
      </c>
      <c r="K18" s="3">
        <v>378</v>
      </c>
      <c r="L18" s="3">
        <v>231</v>
      </c>
      <c r="M18" s="3">
        <v>263</v>
      </c>
      <c r="N18" s="4" t="s">
        <v>1</v>
      </c>
      <c r="O18" s="2" t="s">
        <v>7</v>
      </c>
      <c r="P18" s="3">
        <v>16037</v>
      </c>
      <c r="Q18" s="3">
        <v>16168</v>
      </c>
      <c r="R18" s="3">
        <v>14578</v>
      </c>
      <c r="S18" s="3">
        <v>8345</v>
      </c>
      <c r="T18" s="3">
        <v>8212</v>
      </c>
      <c r="U18" s="3">
        <v>6033</v>
      </c>
      <c r="V18" s="3">
        <v>9512</v>
      </c>
      <c r="W18" s="3">
        <v>4826</v>
      </c>
      <c r="X18" s="3">
        <v>6480</v>
      </c>
      <c r="Y18" s="3">
        <v>8006</v>
      </c>
      <c r="Z18" s="3">
        <v>4586</v>
      </c>
      <c r="AA18" s="3">
        <v>5892</v>
      </c>
      <c r="AB18" s="4" t="s">
        <v>10</v>
      </c>
      <c r="AC18" s="2" t="s">
        <v>7</v>
      </c>
      <c r="AD18" s="3">
        <v>14005.5</v>
      </c>
      <c r="AE18" s="3">
        <v>14136.5</v>
      </c>
      <c r="AF18" s="3">
        <v>12546.5</v>
      </c>
      <c r="AG18" s="3">
        <v>6313.5</v>
      </c>
      <c r="AH18" s="3">
        <v>6180.5</v>
      </c>
      <c r="AI18" s="3">
        <v>4001.5</v>
      </c>
      <c r="AJ18" s="3">
        <v>7480.5</v>
      </c>
      <c r="AK18" s="3">
        <v>2794.5</v>
      </c>
      <c r="AL18" s="3">
        <v>4448.5</v>
      </c>
      <c r="AM18" s="3">
        <v>5974.5</v>
      </c>
      <c r="AN18" s="3">
        <v>2554.5</v>
      </c>
      <c r="AO18" s="3">
        <v>3860.5</v>
      </c>
      <c r="AP18" s="4" t="s">
        <v>10</v>
      </c>
    </row>
    <row r="19" spans="1:42" x14ac:dyDescent="0.3">
      <c r="A19" s="2" t="s">
        <v>8</v>
      </c>
      <c r="B19" s="3">
        <v>214</v>
      </c>
      <c r="C19" s="3">
        <v>143</v>
      </c>
      <c r="D19" s="3">
        <v>223</v>
      </c>
      <c r="E19" s="3">
        <v>239</v>
      </c>
      <c r="F19" s="3">
        <v>211</v>
      </c>
      <c r="G19" s="3">
        <v>217</v>
      </c>
      <c r="H19" s="3">
        <v>232</v>
      </c>
      <c r="I19" s="3">
        <v>211</v>
      </c>
      <c r="J19" s="3">
        <v>2</v>
      </c>
      <c r="K19" s="3">
        <v>2</v>
      </c>
      <c r="L19" s="3">
        <v>2</v>
      </c>
      <c r="M19" s="3">
        <v>1</v>
      </c>
      <c r="N19" s="4" t="s">
        <v>1</v>
      </c>
      <c r="O19" s="2" t="s">
        <v>8</v>
      </c>
      <c r="P19" s="3">
        <v>4738</v>
      </c>
      <c r="Q19" s="3">
        <v>3202</v>
      </c>
      <c r="R19" s="3">
        <v>4855</v>
      </c>
      <c r="S19" s="3">
        <v>4961</v>
      </c>
      <c r="T19" s="3">
        <v>4469</v>
      </c>
      <c r="U19" s="3">
        <v>4581</v>
      </c>
      <c r="V19" s="3">
        <v>5029</v>
      </c>
      <c r="W19" s="3">
        <v>4739</v>
      </c>
      <c r="X19" s="3">
        <v>22</v>
      </c>
      <c r="Y19" s="3">
        <v>29</v>
      </c>
      <c r="Z19" s="3">
        <v>33</v>
      </c>
      <c r="AA19" s="3">
        <v>17</v>
      </c>
      <c r="AB19" s="4" t="s">
        <v>10</v>
      </c>
      <c r="AC19" s="2" t="s">
        <v>8</v>
      </c>
      <c r="AD19" s="3">
        <v>2706.5</v>
      </c>
      <c r="AE19" s="3">
        <v>1170.5</v>
      </c>
      <c r="AF19" s="3">
        <v>2823.5</v>
      </c>
      <c r="AG19" s="3">
        <v>2929.5</v>
      </c>
      <c r="AH19" s="3">
        <v>2437.5</v>
      </c>
      <c r="AI19" s="3">
        <v>2549.5</v>
      </c>
      <c r="AJ19" s="3">
        <v>2997.5</v>
      </c>
      <c r="AK19" s="3">
        <v>2707.5</v>
      </c>
      <c r="AL19" s="3">
        <v>-2009.5</v>
      </c>
      <c r="AM19" s="3">
        <v>-2002.5</v>
      </c>
      <c r="AN19" s="3">
        <v>-1998.5</v>
      </c>
      <c r="AO19" s="3">
        <v>-2014.5</v>
      </c>
      <c r="AP19" s="4" t="s">
        <v>10</v>
      </c>
    </row>
    <row r="21" spans="1:42" x14ac:dyDescent="0.3">
      <c r="A21" s="1" t="s">
        <v>12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O21" s="1" t="s">
        <v>12</v>
      </c>
      <c r="P21" s="2">
        <v>1</v>
      </c>
      <c r="Q21" s="2">
        <v>2</v>
      </c>
      <c r="R21" s="2">
        <v>3</v>
      </c>
      <c r="S21" s="2">
        <v>4</v>
      </c>
      <c r="T21" s="2">
        <v>5</v>
      </c>
      <c r="U21" s="2">
        <v>6</v>
      </c>
      <c r="V21" s="2">
        <v>7</v>
      </c>
      <c r="W21" s="2">
        <v>8</v>
      </c>
      <c r="X21" s="2">
        <v>9</v>
      </c>
      <c r="Y21" s="2">
        <v>10</v>
      </c>
      <c r="Z21" s="2">
        <v>11</v>
      </c>
      <c r="AA21" s="2">
        <v>12</v>
      </c>
    </row>
    <row r="22" spans="1:42" x14ac:dyDescent="0.3">
      <c r="A22" s="2" t="s">
        <v>0</v>
      </c>
      <c r="B22" s="3">
        <v>1924</v>
      </c>
      <c r="C22" s="3">
        <v>1370</v>
      </c>
      <c r="D22" s="3">
        <v>1457</v>
      </c>
      <c r="E22" s="3">
        <v>1374</v>
      </c>
      <c r="F22" s="3">
        <v>1182</v>
      </c>
      <c r="G22" s="3">
        <v>1042</v>
      </c>
      <c r="H22" s="3">
        <v>991</v>
      </c>
      <c r="I22" s="3">
        <v>686</v>
      </c>
      <c r="J22" s="3">
        <v>359</v>
      </c>
      <c r="K22" s="3">
        <v>224</v>
      </c>
      <c r="L22" s="3">
        <v>188</v>
      </c>
      <c r="M22" s="3">
        <v>125</v>
      </c>
      <c r="N22" s="4" t="s">
        <v>1</v>
      </c>
      <c r="O22" s="2" t="s">
        <v>0</v>
      </c>
      <c r="P22" s="3">
        <v>29272</v>
      </c>
      <c r="Q22" s="3">
        <v>21542</v>
      </c>
      <c r="R22" s="3">
        <v>24914</v>
      </c>
      <c r="S22" s="3">
        <v>21436</v>
      </c>
      <c r="T22" s="3">
        <v>20698</v>
      </c>
      <c r="U22" s="3">
        <v>18259</v>
      </c>
      <c r="V22" s="3">
        <v>16793</v>
      </c>
      <c r="W22" s="3">
        <v>11743</v>
      </c>
      <c r="X22" s="3">
        <v>6809</v>
      </c>
      <c r="Y22" s="3">
        <v>4175</v>
      </c>
      <c r="Z22" s="3">
        <v>2625</v>
      </c>
      <c r="AA22" s="3">
        <v>2114</v>
      </c>
      <c r="AB22" s="4" t="s">
        <v>10</v>
      </c>
    </row>
    <row r="23" spans="1:42" x14ac:dyDescent="0.3">
      <c r="A23" s="2" t="s">
        <v>2</v>
      </c>
      <c r="B23" s="3">
        <v>1792</v>
      </c>
      <c r="C23" s="3">
        <v>1472</v>
      </c>
      <c r="D23" s="3">
        <v>1387</v>
      </c>
      <c r="E23" s="3">
        <v>1298</v>
      </c>
      <c r="F23" s="3">
        <v>1088</v>
      </c>
      <c r="G23" s="3">
        <v>1018</v>
      </c>
      <c r="H23" s="3">
        <v>910</v>
      </c>
      <c r="I23" s="3">
        <v>676</v>
      </c>
      <c r="J23" s="3">
        <v>379</v>
      </c>
      <c r="K23" s="3">
        <v>233</v>
      </c>
      <c r="L23" s="3">
        <v>210</v>
      </c>
      <c r="M23" s="3">
        <v>134</v>
      </c>
      <c r="N23" s="4" t="s">
        <v>1</v>
      </c>
      <c r="O23" s="2" t="s">
        <v>2</v>
      </c>
      <c r="P23" s="3">
        <v>33030</v>
      </c>
      <c r="Q23" s="3">
        <v>26623</v>
      </c>
      <c r="R23" s="3">
        <v>25342</v>
      </c>
      <c r="S23" s="3">
        <v>23803</v>
      </c>
      <c r="T23" s="3">
        <v>18860</v>
      </c>
      <c r="U23" s="3">
        <v>17909</v>
      </c>
      <c r="V23" s="3">
        <v>16973</v>
      </c>
      <c r="W23" s="3">
        <v>12257</v>
      </c>
      <c r="X23" s="3">
        <v>7182</v>
      </c>
      <c r="Y23" s="3">
        <v>4357</v>
      </c>
      <c r="Z23" s="3">
        <v>3121</v>
      </c>
      <c r="AA23" s="3">
        <v>1955</v>
      </c>
      <c r="AB23" s="4" t="s">
        <v>10</v>
      </c>
    </row>
    <row r="24" spans="1:42" x14ac:dyDescent="0.3">
      <c r="A24" s="2" t="s">
        <v>3</v>
      </c>
      <c r="B24" s="3">
        <v>1122</v>
      </c>
      <c r="C24" s="3">
        <v>1413</v>
      </c>
      <c r="D24" s="3">
        <v>1546</v>
      </c>
      <c r="E24" s="3">
        <v>1266</v>
      </c>
      <c r="F24" s="3">
        <v>227</v>
      </c>
      <c r="G24" s="3">
        <v>290</v>
      </c>
      <c r="H24" s="3">
        <v>222</v>
      </c>
      <c r="I24" s="3">
        <v>355</v>
      </c>
      <c r="J24" s="3">
        <v>165</v>
      </c>
      <c r="K24" s="3">
        <v>223</v>
      </c>
      <c r="L24" s="3">
        <v>334</v>
      </c>
      <c r="M24" s="3">
        <v>441</v>
      </c>
      <c r="N24" s="4" t="s">
        <v>1</v>
      </c>
      <c r="O24" s="2" t="s">
        <v>3</v>
      </c>
      <c r="P24" s="3">
        <v>21104</v>
      </c>
      <c r="Q24" s="3">
        <v>28879</v>
      </c>
      <c r="R24" s="3">
        <v>28978</v>
      </c>
      <c r="S24" s="3">
        <v>22962</v>
      </c>
      <c r="T24" s="3">
        <v>4245</v>
      </c>
      <c r="U24" s="3">
        <v>5427</v>
      </c>
      <c r="V24" s="3">
        <v>3898</v>
      </c>
      <c r="W24" s="3">
        <v>6577</v>
      </c>
      <c r="X24" s="3">
        <v>3415</v>
      </c>
      <c r="Y24" s="3">
        <v>3937</v>
      </c>
      <c r="Z24" s="3">
        <v>6835</v>
      </c>
      <c r="AA24" s="3">
        <v>8248</v>
      </c>
      <c r="AB24" s="4" t="s">
        <v>10</v>
      </c>
    </row>
    <row r="25" spans="1:42" x14ac:dyDescent="0.3">
      <c r="A25" s="2" t="s">
        <v>4</v>
      </c>
      <c r="B25" s="3">
        <v>1648</v>
      </c>
      <c r="C25" s="3">
        <v>1222</v>
      </c>
      <c r="D25" s="3">
        <v>1623</v>
      </c>
      <c r="E25" s="3">
        <v>1543</v>
      </c>
      <c r="F25" s="3">
        <v>883</v>
      </c>
      <c r="G25" s="3">
        <v>1028</v>
      </c>
      <c r="H25" s="3">
        <v>781</v>
      </c>
      <c r="I25" s="3">
        <v>921</v>
      </c>
      <c r="J25" s="3">
        <v>634</v>
      </c>
      <c r="K25" s="3">
        <v>504</v>
      </c>
      <c r="L25" s="3">
        <v>607</v>
      </c>
      <c r="M25" s="3">
        <v>439</v>
      </c>
      <c r="N25" s="4" t="s">
        <v>1</v>
      </c>
      <c r="O25" s="2" t="s">
        <v>4</v>
      </c>
      <c r="P25" s="3">
        <v>33886</v>
      </c>
      <c r="Q25" s="3">
        <v>24427</v>
      </c>
      <c r="R25" s="3">
        <v>34183</v>
      </c>
      <c r="S25" s="3">
        <v>29404</v>
      </c>
      <c r="T25" s="3">
        <v>17035</v>
      </c>
      <c r="U25" s="3">
        <v>21060</v>
      </c>
      <c r="V25" s="3">
        <v>14676</v>
      </c>
      <c r="W25" s="3">
        <v>18399</v>
      </c>
      <c r="X25" s="3">
        <v>13442</v>
      </c>
      <c r="Y25" s="3">
        <v>9755</v>
      </c>
      <c r="Z25" s="3">
        <v>12756</v>
      </c>
      <c r="AA25" s="3">
        <v>8409</v>
      </c>
      <c r="AB25" s="4" t="s">
        <v>10</v>
      </c>
    </row>
    <row r="26" spans="1:42" x14ac:dyDescent="0.3">
      <c r="A26" s="2" t="s">
        <v>5</v>
      </c>
      <c r="B26" s="3">
        <v>1224</v>
      </c>
      <c r="C26" s="3">
        <v>1361</v>
      </c>
      <c r="D26" s="3">
        <v>1559</v>
      </c>
      <c r="E26" s="3">
        <v>1357</v>
      </c>
      <c r="F26" s="3">
        <v>702</v>
      </c>
      <c r="G26" s="3">
        <v>534</v>
      </c>
      <c r="H26" s="3">
        <v>370</v>
      </c>
      <c r="I26" s="3">
        <v>1027</v>
      </c>
      <c r="J26" s="3">
        <v>1049</v>
      </c>
      <c r="K26" s="3">
        <v>1152</v>
      </c>
      <c r="L26" s="3">
        <v>1031</v>
      </c>
      <c r="M26" s="3">
        <v>831</v>
      </c>
      <c r="N26" s="4" t="s">
        <v>1</v>
      </c>
      <c r="O26" s="2" t="s">
        <v>5</v>
      </c>
      <c r="P26" s="3">
        <v>25421</v>
      </c>
      <c r="Q26" s="3">
        <v>28325</v>
      </c>
      <c r="R26" s="3">
        <v>31832</v>
      </c>
      <c r="S26" s="3">
        <v>26589</v>
      </c>
      <c r="T26" s="3">
        <v>14240</v>
      </c>
      <c r="U26" s="3">
        <v>9996</v>
      </c>
      <c r="V26" s="3">
        <v>7270</v>
      </c>
      <c r="W26" s="3">
        <v>20770</v>
      </c>
      <c r="X26" s="3">
        <v>21475</v>
      </c>
      <c r="Y26" s="3">
        <v>21950</v>
      </c>
      <c r="Z26" s="3">
        <v>21496</v>
      </c>
      <c r="AA26" s="3">
        <v>16664</v>
      </c>
      <c r="AB26" s="4" t="s">
        <v>10</v>
      </c>
    </row>
    <row r="27" spans="1:42" x14ac:dyDescent="0.3">
      <c r="A27" s="2" t="s">
        <v>6</v>
      </c>
      <c r="B27" s="3">
        <v>1242</v>
      </c>
      <c r="C27" s="3">
        <v>1490</v>
      </c>
      <c r="D27" s="3">
        <v>1249</v>
      </c>
      <c r="E27" s="3">
        <v>1229</v>
      </c>
      <c r="F27" s="3">
        <v>1267</v>
      </c>
      <c r="G27" s="3">
        <v>1232</v>
      </c>
      <c r="H27" s="3">
        <v>1341</v>
      </c>
      <c r="I27" s="3">
        <v>1504</v>
      </c>
      <c r="J27" s="3">
        <v>1187</v>
      </c>
      <c r="K27" s="3">
        <v>1255</v>
      </c>
      <c r="L27" s="3">
        <v>1019</v>
      </c>
      <c r="M27" s="3">
        <v>1357</v>
      </c>
      <c r="N27" s="4" t="s">
        <v>1</v>
      </c>
      <c r="O27" s="2" t="s">
        <v>6</v>
      </c>
      <c r="P27" s="3">
        <v>27058</v>
      </c>
      <c r="Q27" s="3">
        <v>31636</v>
      </c>
      <c r="R27" s="3">
        <v>27999</v>
      </c>
      <c r="S27" s="3">
        <v>26982</v>
      </c>
      <c r="T27" s="3">
        <v>27465</v>
      </c>
      <c r="U27" s="3">
        <v>25994</v>
      </c>
      <c r="V27" s="3">
        <v>30075</v>
      </c>
      <c r="W27" s="3">
        <v>32163</v>
      </c>
      <c r="X27" s="3">
        <v>24148</v>
      </c>
      <c r="Y27" s="3">
        <v>25626</v>
      </c>
      <c r="Z27" s="3">
        <v>20759</v>
      </c>
      <c r="AA27" s="3">
        <v>28540</v>
      </c>
      <c r="AB27" s="4" t="s">
        <v>10</v>
      </c>
    </row>
    <row r="28" spans="1:42" x14ac:dyDescent="0.3">
      <c r="A28" s="2" t="s">
        <v>7</v>
      </c>
      <c r="B28" s="3">
        <v>2087</v>
      </c>
      <c r="C28" s="3">
        <v>2041</v>
      </c>
      <c r="D28" s="3">
        <v>2015</v>
      </c>
      <c r="E28" s="3">
        <v>2072</v>
      </c>
      <c r="F28" s="3">
        <v>1963</v>
      </c>
      <c r="G28" s="3">
        <v>2009</v>
      </c>
      <c r="H28" s="3">
        <v>1997</v>
      </c>
      <c r="I28" s="3">
        <v>1622</v>
      </c>
      <c r="J28" s="3">
        <v>1909</v>
      </c>
      <c r="K28" s="3">
        <v>1894</v>
      </c>
      <c r="L28" s="3">
        <v>1651</v>
      </c>
      <c r="M28" s="3">
        <v>1838</v>
      </c>
      <c r="N28" s="4" t="s">
        <v>1</v>
      </c>
      <c r="O28" s="2" t="s">
        <v>7</v>
      </c>
      <c r="P28" s="3">
        <v>46263</v>
      </c>
      <c r="Q28" s="3">
        <v>46022</v>
      </c>
      <c r="R28" s="3">
        <v>43564</v>
      </c>
      <c r="S28" s="3">
        <v>42023</v>
      </c>
      <c r="T28" s="3">
        <v>42460</v>
      </c>
      <c r="U28" s="3">
        <v>44268</v>
      </c>
      <c r="V28" s="3">
        <v>44355</v>
      </c>
      <c r="W28" s="3">
        <v>33843</v>
      </c>
      <c r="X28" s="3">
        <v>41027</v>
      </c>
      <c r="Y28" s="3">
        <v>42133</v>
      </c>
      <c r="Z28" s="3">
        <v>36737</v>
      </c>
      <c r="AA28" s="3">
        <v>41211</v>
      </c>
      <c r="AB28" s="4" t="s">
        <v>10</v>
      </c>
    </row>
    <row r="29" spans="1:42" x14ac:dyDescent="0.3">
      <c r="A29" s="2" t="s">
        <v>8</v>
      </c>
      <c r="B29" s="3">
        <v>240</v>
      </c>
      <c r="C29" s="3">
        <v>220</v>
      </c>
      <c r="D29" s="3">
        <v>237</v>
      </c>
      <c r="E29" s="3">
        <v>222</v>
      </c>
      <c r="F29" s="3">
        <v>221</v>
      </c>
      <c r="G29" s="3">
        <v>214</v>
      </c>
      <c r="H29" s="3">
        <v>220</v>
      </c>
      <c r="I29" s="3">
        <v>229</v>
      </c>
      <c r="J29" s="3">
        <v>1</v>
      </c>
      <c r="K29" s="3">
        <v>1</v>
      </c>
      <c r="L29" s="3">
        <v>8</v>
      </c>
      <c r="M29" s="3">
        <v>1</v>
      </c>
      <c r="N29" s="4" t="s">
        <v>1</v>
      </c>
      <c r="O29" s="2" t="s">
        <v>8</v>
      </c>
      <c r="P29" s="3">
        <v>4754</v>
      </c>
      <c r="Q29" s="3">
        <v>5278</v>
      </c>
      <c r="R29" s="3">
        <v>5052</v>
      </c>
      <c r="S29" s="3">
        <v>5109</v>
      </c>
      <c r="T29" s="3">
        <v>4714</v>
      </c>
      <c r="U29" s="3">
        <v>5570</v>
      </c>
      <c r="V29" s="3">
        <v>5015</v>
      </c>
      <c r="W29" s="3">
        <v>4741</v>
      </c>
      <c r="X29" s="3">
        <v>50</v>
      </c>
      <c r="Y29" s="3">
        <v>33</v>
      </c>
      <c r="Z29" s="3">
        <v>17</v>
      </c>
      <c r="AA29" s="3">
        <v>38</v>
      </c>
      <c r="AB29" s="4" t="s">
        <v>10</v>
      </c>
    </row>
    <row r="31" spans="1:42" x14ac:dyDescent="0.3">
      <c r="A31" s="1" t="s">
        <v>13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  <c r="O31" s="1" t="s">
        <v>13</v>
      </c>
      <c r="P31" s="2">
        <v>1</v>
      </c>
      <c r="Q31" s="2">
        <v>2</v>
      </c>
      <c r="R31" s="2">
        <v>3</v>
      </c>
      <c r="S31" s="2">
        <v>4</v>
      </c>
      <c r="T31" s="2">
        <v>5</v>
      </c>
      <c r="U31" s="2">
        <v>6</v>
      </c>
      <c r="V31" s="2">
        <v>7</v>
      </c>
      <c r="W31" s="2">
        <v>8</v>
      </c>
      <c r="X31" s="2">
        <v>9</v>
      </c>
      <c r="Y31" s="2">
        <v>10</v>
      </c>
      <c r="Z31" s="2">
        <v>11</v>
      </c>
      <c r="AA31" s="2">
        <v>12</v>
      </c>
      <c r="AC31" s="1" t="s">
        <v>13</v>
      </c>
      <c r="AD31" s="2">
        <v>1</v>
      </c>
      <c r="AE31" s="2">
        <v>2</v>
      </c>
      <c r="AF31" s="2">
        <v>3</v>
      </c>
      <c r="AG31" s="2">
        <v>4</v>
      </c>
      <c r="AH31" s="2">
        <v>5</v>
      </c>
      <c r="AI31" s="2">
        <v>6</v>
      </c>
      <c r="AJ31" s="2">
        <v>7</v>
      </c>
      <c r="AK31" s="2">
        <v>8</v>
      </c>
      <c r="AL31" s="2">
        <v>9</v>
      </c>
      <c r="AM31" s="2">
        <v>10</v>
      </c>
      <c r="AN31" s="2">
        <v>11</v>
      </c>
      <c r="AO31" s="2">
        <v>12</v>
      </c>
    </row>
    <row r="32" spans="1:42" x14ac:dyDescent="0.3">
      <c r="A32" s="2" t="s">
        <v>0</v>
      </c>
      <c r="B32" s="3">
        <v>1182</v>
      </c>
      <c r="C32" s="3">
        <v>746</v>
      </c>
      <c r="D32" s="3">
        <v>838</v>
      </c>
      <c r="E32" s="3">
        <v>795</v>
      </c>
      <c r="F32" s="3">
        <v>734</v>
      </c>
      <c r="G32" s="3">
        <v>630</v>
      </c>
      <c r="H32" s="3">
        <v>556</v>
      </c>
      <c r="I32" s="3">
        <v>407</v>
      </c>
      <c r="J32" s="3">
        <v>245</v>
      </c>
      <c r="K32" s="3">
        <v>155</v>
      </c>
      <c r="L32" s="3">
        <v>119</v>
      </c>
      <c r="M32" s="3">
        <v>80</v>
      </c>
      <c r="N32" s="4" t="s">
        <v>1</v>
      </c>
      <c r="O32" s="2" t="s">
        <v>0</v>
      </c>
      <c r="P32" s="3">
        <v>27037</v>
      </c>
      <c r="Q32" s="3">
        <v>18621</v>
      </c>
      <c r="R32" s="3">
        <v>20212</v>
      </c>
      <c r="S32" s="3">
        <v>17097</v>
      </c>
      <c r="T32" s="3">
        <v>16581</v>
      </c>
      <c r="U32" s="3">
        <v>14877</v>
      </c>
      <c r="V32" s="3">
        <v>12508</v>
      </c>
      <c r="W32" s="3">
        <v>8681</v>
      </c>
      <c r="X32" s="3">
        <v>5056</v>
      </c>
      <c r="Y32" s="3">
        <v>3716</v>
      </c>
      <c r="Z32" s="3">
        <v>2403</v>
      </c>
      <c r="AA32" s="3">
        <v>1595</v>
      </c>
      <c r="AB32" s="4" t="s">
        <v>10</v>
      </c>
      <c r="AC32" s="2" t="s">
        <v>0</v>
      </c>
      <c r="AD32" s="3">
        <v>25286.5</v>
      </c>
      <c r="AE32" s="3">
        <v>16870.5</v>
      </c>
      <c r="AF32" s="3">
        <v>18461.5</v>
      </c>
      <c r="AG32" s="3">
        <v>15346.5</v>
      </c>
      <c r="AH32" s="3">
        <v>14830.5</v>
      </c>
      <c r="AI32" s="3">
        <v>13126.5</v>
      </c>
      <c r="AJ32" s="3">
        <v>10757.5</v>
      </c>
      <c r="AK32" s="3">
        <v>6930.5</v>
      </c>
      <c r="AL32" s="3">
        <v>3305.5</v>
      </c>
      <c r="AM32" s="3">
        <v>1965.5</v>
      </c>
      <c r="AN32" s="3">
        <v>652.5</v>
      </c>
      <c r="AO32" s="3">
        <v>-155.5</v>
      </c>
      <c r="AP32" s="4" t="s">
        <v>10</v>
      </c>
    </row>
    <row r="33" spans="1:42" x14ac:dyDescent="0.3">
      <c r="A33" s="2" t="s">
        <v>2</v>
      </c>
      <c r="B33" s="3">
        <v>1059</v>
      </c>
      <c r="C33" s="3">
        <v>873</v>
      </c>
      <c r="D33" s="3">
        <v>836</v>
      </c>
      <c r="E33" s="3">
        <v>773</v>
      </c>
      <c r="F33" s="3">
        <v>667</v>
      </c>
      <c r="G33" s="3">
        <v>695</v>
      </c>
      <c r="H33" s="3">
        <v>611</v>
      </c>
      <c r="I33" s="3">
        <v>411</v>
      </c>
      <c r="J33" s="3">
        <v>239</v>
      </c>
      <c r="K33" s="3">
        <v>173</v>
      </c>
      <c r="L33" s="3">
        <v>116</v>
      </c>
      <c r="M33" s="3">
        <v>81</v>
      </c>
      <c r="N33" s="4" t="s">
        <v>1</v>
      </c>
      <c r="O33" s="2" t="s">
        <v>2</v>
      </c>
      <c r="P33" s="3">
        <v>25850</v>
      </c>
      <c r="Q33" s="3">
        <v>19419</v>
      </c>
      <c r="R33" s="3">
        <v>19297</v>
      </c>
      <c r="S33" s="3">
        <v>18646</v>
      </c>
      <c r="T33" s="3">
        <v>15220</v>
      </c>
      <c r="U33" s="3">
        <v>14896</v>
      </c>
      <c r="V33" s="3">
        <v>13657</v>
      </c>
      <c r="W33" s="3">
        <v>8940</v>
      </c>
      <c r="X33" s="3">
        <v>5190</v>
      </c>
      <c r="Y33" s="3">
        <v>3502</v>
      </c>
      <c r="Z33" s="3">
        <v>2729</v>
      </c>
      <c r="AA33" s="3">
        <v>1906</v>
      </c>
      <c r="AB33" s="4" t="s">
        <v>10</v>
      </c>
      <c r="AC33" s="2" t="s">
        <v>2</v>
      </c>
      <c r="AD33" s="3">
        <v>24099.5</v>
      </c>
      <c r="AE33" s="3">
        <v>17668.5</v>
      </c>
      <c r="AF33" s="3">
        <v>17546.5</v>
      </c>
      <c r="AG33" s="3">
        <v>16895.5</v>
      </c>
      <c r="AH33" s="3">
        <v>13469.5</v>
      </c>
      <c r="AI33" s="3">
        <v>13145.5</v>
      </c>
      <c r="AJ33" s="3">
        <v>11906.5</v>
      </c>
      <c r="AK33" s="3">
        <v>7189.5</v>
      </c>
      <c r="AL33" s="3">
        <v>3439.5</v>
      </c>
      <c r="AM33" s="3">
        <v>1751.5</v>
      </c>
      <c r="AN33" s="3">
        <v>978.5</v>
      </c>
      <c r="AO33" s="3">
        <v>155.5</v>
      </c>
      <c r="AP33" s="4" t="s">
        <v>10</v>
      </c>
    </row>
    <row r="34" spans="1:42" x14ac:dyDescent="0.3">
      <c r="A34" s="2" t="s">
        <v>3</v>
      </c>
      <c r="B34" s="3">
        <v>761</v>
      </c>
      <c r="C34" s="3">
        <v>1092</v>
      </c>
      <c r="D34" s="3">
        <v>1154</v>
      </c>
      <c r="E34" s="3">
        <v>893</v>
      </c>
      <c r="F34" s="3">
        <v>155</v>
      </c>
      <c r="G34" s="3">
        <v>183</v>
      </c>
      <c r="H34" s="3">
        <v>139</v>
      </c>
      <c r="I34" s="3">
        <v>230</v>
      </c>
      <c r="J34" s="3">
        <v>134</v>
      </c>
      <c r="K34" s="3">
        <v>165</v>
      </c>
      <c r="L34" s="3">
        <v>239</v>
      </c>
      <c r="M34" s="3">
        <v>296</v>
      </c>
      <c r="N34" s="4" t="s">
        <v>1</v>
      </c>
      <c r="O34" s="2" t="s">
        <v>3</v>
      </c>
      <c r="P34" s="3">
        <v>16719</v>
      </c>
      <c r="Q34" s="3">
        <v>23548</v>
      </c>
      <c r="R34" s="3">
        <v>25002</v>
      </c>
      <c r="S34" s="3">
        <v>20060</v>
      </c>
      <c r="T34" s="3">
        <v>2980</v>
      </c>
      <c r="U34" s="3">
        <v>4054</v>
      </c>
      <c r="V34" s="3">
        <v>2922</v>
      </c>
      <c r="W34" s="3">
        <v>5040</v>
      </c>
      <c r="X34" s="3">
        <v>2431</v>
      </c>
      <c r="Y34" s="3">
        <v>3500</v>
      </c>
      <c r="Z34" s="3">
        <v>6097</v>
      </c>
      <c r="AA34" s="3">
        <v>7375</v>
      </c>
      <c r="AB34" s="4" t="s">
        <v>10</v>
      </c>
      <c r="AC34" s="2" t="s">
        <v>3</v>
      </c>
      <c r="AD34" s="3">
        <v>14968.5</v>
      </c>
      <c r="AE34" s="3">
        <v>21797.5</v>
      </c>
      <c r="AF34" s="3">
        <v>23251.5</v>
      </c>
      <c r="AG34" s="3">
        <v>18309.5</v>
      </c>
      <c r="AH34" s="3">
        <v>1229.5</v>
      </c>
      <c r="AI34" s="3">
        <v>2303.5</v>
      </c>
      <c r="AJ34" s="3">
        <v>1171.5</v>
      </c>
      <c r="AK34" s="3">
        <v>3289.5</v>
      </c>
      <c r="AL34" s="3">
        <v>680.5</v>
      </c>
      <c r="AM34" s="3">
        <v>1749.5</v>
      </c>
      <c r="AN34" s="3">
        <v>4346.5</v>
      </c>
      <c r="AO34" s="3">
        <v>5624.5</v>
      </c>
      <c r="AP34" s="4" t="s">
        <v>10</v>
      </c>
    </row>
    <row r="35" spans="1:42" x14ac:dyDescent="0.3">
      <c r="A35" s="2" t="s">
        <v>4</v>
      </c>
      <c r="B35" s="3">
        <v>1380</v>
      </c>
      <c r="C35" s="3">
        <v>959</v>
      </c>
      <c r="D35" s="3">
        <v>1258</v>
      </c>
      <c r="E35" s="3">
        <v>1109</v>
      </c>
      <c r="F35" s="3">
        <v>648</v>
      </c>
      <c r="G35" s="3">
        <v>753</v>
      </c>
      <c r="H35" s="3">
        <v>563</v>
      </c>
      <c r="I35" s="3">
        <v>671</v>
      </c>
      <c r="J35" s="3">
        <v>476</v>
      </c>
      <c r="K35" s="3">
        <v>381</v>
      </c>
      <c r="L35" s="3">
        <v>449</v>
      </c>
      <c r="M35" s="3">
        <v>331</v>
      </c>
      <c r="N35" s="4" t="s">
        <v>1</v>
      </c>
      <c r="O35" s="2" t="s">
        <v>4</v>
      </c>
      <c r="P35" s="3">
        <v>31825</v>
      </c>
      <c r="Q35" s="3">
        <v>20858</v>
      </c>
      <c r="R35" s="3">
        <v>29154</v>
      </c>
      <c r="S35" s="3">
        <v>26478</v>
      </c>
      <c r="T35" s="3">
        <v>16169</v>
      </c>
      <c r="U35" s="3">
        <v>18729</v>
      </c>
      <c r="V35" s="3">
        <v>13292</v>
      </c>
      <c r="W35" s="3">
        <v>15570</v>
      </c>
      <c r="X35" s="3">
        <v>10857</v>
      </c>
      <c r="Y35" s="3">
        <v>8617</v>
      </c>
      <c r="Z35" s="3">
        <v>10207</v>
      </c>
      <c r="AA35" s="3">
        <v>7195</v>
      </c>
      <c r="AB35" s="4" t="s">
        <v>10</v>
      </c>
      <c r="AC35" s="2" t="s">
        <v>4</v>
      </c>
      <c r="AD35" s="3">
        <v>30074.5</v>
      </c>
      <c r="AE35" s="3">
        <v>19107.5</v>
      </c>
      <c r="AF35" s="3">
        <v>27403.5</v>
      </c>
      <c r="AG35" s="3">
        <v>24727.5</v>
      </c>
      <c r="AH35" s="3">
        <v>14418.5</v>
      </c>
      <c r="AI35" s="3">
        <v>16978.5</v>
      </c>
      <c r="AJ35" s="3">
        <v>11541.5</v>
      </c>
      <c r="AK35" s="3">
        <v>13819.5</v>
      </c>
      <c r="AL35" s="3">
        <v>9106.5</v>
      </c>
      <c r="AM35" s="3">
        <v>6866.5</v>
      </c>
      <c r="AN35" s="3">
        <v>8456.5</v>
      </c>
      <c r="AO35" s="3">
        <v>5444.5</v>
      </c>
      <c r="AP35" s="4" t="s">
        <v>10</v>
      </c>
    </row>
    <row r="36" spans="1:42" x14ac:dyDescent="0.3">
      <c r="A36" s="2" t="s">
        <v>5</v>
      </c>
      <c r="B36" s="3">
        <v>911</v>
      </c>
      <c r="C36" s="3">
        <v>1050</v>
      </c>
      <c r="D36" s="3">
        <v>1146</v>
      </c>
      <c r="E36" s="3">
        <v>1031</v>
      </c>
      <c r="F36" s="3">
        <v>547</v>
      </c>
      <c r="G36" s="3">
        <v>374</v>
      </c>
      <c r="H36" s="3">
        <v>253</v>
      </c>
      <c r="I36" s="3">
        <v>768</v>
      </c>
      <c r="J36" s="3">
        <v>794</v>
      </c>
      <c r="K36" s="3">
        <v>872</v>
      </c>
      <c r="L36" s="3">
        <v>759</v>
      </c>
      <c r="M36" s="3">
        <v>611</v>
      </c>
      <c r="N36" s="4" t="s">
        <v>1</v>
      </c>
      <c r="O36" s="2" t="s">
        <v>5</v>
      </c>
      <c r="P36" s="3">
        <v>22179</v>
      </c>
      <c r="Q36" s="3">
        <v>23986</v>
      </c>
      <c r="R36" s="3">
        <v>29012</v>
      </c>
      <c r="S36" s="3">
        <v>23196</v>
      </c>
      <c r="T36" s="3">
        <v>13470</v>
      </c>
      <c r="U36" s="3">
        <v>9711</v>
      </c>
      <c r="V36" s="3">
        <v>6748</v>
      </c>
      <c r="W36" s="3">
        <v>19193</v>
      </c>
      <c r="X36" s="3">
        <v>19078</v>
      </c>
      <c r="Y36" s="3">
        <v>22864</v>
      </c>
      <c r="Z36" s="3">
        <v>20837</v>
      </c>
      <c r="AA36" s="3">
        <v>16140</v>
      </c>
      <c r="AB36" s="4" t="s">
        <v>10</v>
      </c>
      <c r="AC36" s="2" t="s">
        <v>5</v>
      </c>
      <c r="AD36" s="3">
        <v>20428.5</v>
      </c>
      <c r="AE36" s="3">
        <v>22235.5</v>
      </c>
      <c r="AF36" s="3">
        <v>27261.5</v>
      </c>
      <c r="AG36" s="3">
        <v>21445.5</v>
      </c>
      <c r="AH36" s="3">
        <v>11719.5</v>
      </c>
      <c r="AI36" s="3">
        <v>7960.5</v>
      </c>
      <c r="AJ36" s="3">
        <v>4997.5</v>
      </c>
      <c r="AK36" s="3">
        <v>17442.5</v>
      </c>
      <c r="AL36" s="3">
        <v>17327.5</v>
      </c>
      <c r="AM36" s="3">
        <v>21113.5</v>
      </c>
      <c r="AN36" s="3">
        <v>19086.5</v>
      </c>
      <c r="AO36" s="3">
        <v>14389.5</v>
      </c>
      <c r="AP36" s="4" t="s">
        <v>10</v>
      </c>
    </row>
    <row r="37" spans="1:42" x14ac:dyDescent="0.3">
      <c r="A37" s="2" t="s">
        <v>6</v>
      </c>
      <c r="B37" s="3">
        <v>964</v>
      </c>
      <c r="C37" s="3">
        <v>1113</v>
      </c>
      <c r="D37" s="3">
        <v>991</v>
      </c>
      <c r="E37" s="3">
        <v>954</v>
      </c>
      <c r="F37" s="3">
        <v>1112</v>
      </c>
      <c r="G37" s="3">
        <v>971</v>
      </c>
      <c r="H37" s="3">
        <v>1124</v>
      </c>
      <c r="I37" s="3">
        <v>1202</v>
      </c>
      <c r="J37" s="3">
        <v>890</v>
      </c>
      <c r="K37" s="3">
        <v>946</v>
      </c>
      <c r="L37" s="3">
        <v>788</v>
      </c>
      <c r="M37" s="3">
        <v>1094</v>
      </c>
      <c r="N37" s="4" t="s">
        <v>1</v>
      </c>
      <c r="O37" s="2" t="s">
        <v>6</v>
      </c>
      <c r="P37" s="3">
        <v>24529</v>
      </c>
      <c r="Q37" s="3">
        <v>27835</v>
      </c>
      <c r="R37" s="3">
        <v>23769</v>
      </c>
      <c r="S37" s="3">
        <v>22529</v>
      </c>
      <c r="T37" s="3">
        <v>24353</v>
      </c>
      <c r="U37" s="3">
        <v>23217</v>
      </c>
      <c r="V37" s="3">
        <v>25940</v>
      </c>
      <c r="W37" s="3">
        <v>28388</v>
      </c>
      <c r="X37" s="3">
        <v>23141</v>
      </c>
      <c r="Y37" s="3">
        <v>22671</v>
      </c>
      <c r="Z37" s="3">
        <v>18482</v>
      </c>
      <c r="AA37" s="3">
        <v>25944</v>
      </c>
      <c r="AB37" s="4" t="s">
        <v>10</v>
      </c>
      <c r="AC37" s="2" t="s">
        <v>6</v>
      </c>
      <c r="AD37" s="3">
        <v>22778.5</v>
      </c>
      <c r="AE37" s="3">
        <v>26084.5</v>
      </c>
      <c r="AF37" s="3">
        <v>22018.5</v>
      </c>
      <c r="AG37" s="3">
        <v>20778.5</v>
      </c>
      <c r="AH37" s="3">
        <v>22602.5</v>
      </c>
      <c r="AI37" s="3">
        <v>21466.5</v>
      </c>
      <c r="AJ37" s="3">
        <v>24189.5</v>
      </c>
      <c r="AK37" s="3">
        <v>26637.5</v>
      </c>
      <c r="AL37" s="3">
        <v>21390.5</v>
      </c>
      <c r="AM37" s="3">
        <v>20920.5</v>
      </c>
      <c r="AN37" s="3">
        <v>16731.5</v>
      </c>
      <c r="AO37" s="3">
        <v>24193.5</v>
      </c>
      <c r="AP37" s="4" t="s">
        <v>10</v>
      </c>
    </row>
    <row r="38" spans="1:42" x14ac:dyDescent="0.3">
      <c r="A38" s="2" t="s">
        <v>7</v>
      </c>
      <c r="B38" s="3">
        <v>1690</v>
      </c>
      <c r="C38" s="3">
        <v>1628</v>
      </c>
      <c r="D38" s="3">
        <v>1676</v>
      </c>
      <c r="E38" s="3">
        <v>1696</v>
      </c>
      <c r="F38" s="3">
        <v>1684</v>
      </c>
      <c r="G38" s="3">
        <v>1702</v>
      </c>
      <c r="H38" s="3">
        <v>1664</v>
      </c>
      <c r="I38" s="3">
        <v>1319</v>
      </c>
      <c r="J38" s="3">
        <v>1579</v>
      </c>
      <c r="K38" s="3">
        <v>1685</v>
      </c>
      <c r="L38" s="3">
        <v>1362</v>
      </c>
      <c r="M38" s="3">
        <v>1563</v>
      </c>
      <c r="N38" s="4" t="s">
        <v>1</v>
      </c>
      <c r="O38" s="2" t="s">
        <v>7</v>
      </c>
      <c r="P38" s="3">
        <v>41947</v>
      </c>
      <c r="Q38" s="3">
        <v>38820</v>
      </c>
      <c r="R38" s="3">
        <v>37103</v>
      </c>
      <c r="S38" s="3">
        <v>37461</v>
      </c>
      <c r="T38" s="3">
        <v>37687</v>
      </c>
      <c r="U38" s="3">
        <v>39099</v>
      </c>
      <c r="V38" s="3">
        <v>38884</v>
      </c>
      <c r="W38" s="3">
        <v>30385</v>
      </c>
      <c r="X38" s="3">
        <v>37513</v>
      </c>
      <c r="Y38" s="3">
        <v>36775</v>
      </c>
      <c r="Z38" s="3">
        <v>32038</v>
      </c>
      <c r="AA38" s="3">
        <v>37037</v>
      </c>
      <c r="AB38" s="4" t="s">
        <v>10</v>
      </c>
      <c r="AC38" s="2" t="s">
        <v>7</v>
      </c>
      <c r="AD38" s="3">
        <v>40196.5</v>
      </c>
      <c r="AE38" s="3">
        <v>37069.5</v>
      </c>
      <c r="AF38" s="3">
        <v>35352.5</v>
      </c>
      <c r="AG38" s="3">
        <v>35710.5</v>
      </c>
      <c r="AH38" s="3">
        <v>35936.5</v>
      </c>
      <c r="AI38" s="3">
        <v>37348.5</v>
      </c>
      <c r="AJ38" s="3">
        <v>37133.5</v>
      </c>
      <c r="AK38" s="3">
        <v>28634.5</v>
      </c>
      <c r="AL38" s="3">
        <v>35762.5</v>
      </c>
      <c r="AM38" s="3">
        <v>35024.5</v>
      </c>
      <c r="AN38" s="3">
        <v>30287.5</v>
      </c>
      <c r="AO38" s="3">
        <v>35286.5</v>
      </c>
      <c r="AP38" s="4" t="s">
        <v>10</v>
      </c>
    </row>
    <row r="39" spans="1:42" x14ac:dyDescent="0.3">
      <c r="A39" s="2" t="s">
        <v>8</v>
      </c>
      <c r="B39" s="3">
        <v>189</v>
      </c>
      <c r="C39" s="3">
        <v>195</v>
      </c>
      <c r="D39" s="3">
        <v>188</v>
      </c>
      <c r="E39" s="3">
        <v>194</v>
      </c>
      <c r="F39" s="3">
        <v>199</v>
      </c>
      <c r="G39" s="3">
        <v>179</v>
      </c>
      <c r="H39" s="3">
        <v>193</v>
      </c>
      <c r="I39" s="3">
        <v>205</v>
      </c>
      <c r="J39" s="3">
        <v>3</v>
      </c>
      <c r="K39" s="3">
        <v>2</v>
      </c>
      <c r="L39" s="3">
        <v>1</v>
      </c>
      <c r="M39" s="3">
        <v>3</v>
      </c>
      <c r="N39" s="4" t="s">
        <v>1</v>
      </c>
      <c r="O39" s="2" t="s">
        <v>8</v>
      </c>
      <c r="P39" s="3">
        <v>4351</v>
      </c>
      <c r="Q39" s="3">
        <v>4723</v>
      </c>
      <c r="R39" s="3">
        <v>3983</v>
      </c>
      <c r="S39" s="3">
        <v>4958</v>
      </c>
      <c r="T39" s="3">
        <v>3887</v>
      </c>
      <c r="U39" s="3">
        <v>4502</v>
      </c>
      <c r="V39" s="3">
        <v>3839</v>
      </c>
      <c r="W39" s="3">
        <v>4048</v>
      </c>
      <c r="X39" s="3">
        <v>27</v>
      </c>
      <c r="Y39" s="3">
        <v>15</v>
      </c>
      <c r="Z39" s="3">
        <v>33</v>
      </c>
      <c r="AA39" s="3">
        <v>26</v>
      </c>
      <c r="AB39" s="4" t="s">
        <v>10</v>
      </c>
      <c r="AC39" s="2" t="s">
        <v>8</v>
      </c>
      <c r="AD39" s="3">
        <v>2600.5</v>
      </c>
      <c r="AE39" s="3">
        <v>2972.5</v>
      </c>
      <c r="AF39" s="3">
        <v>2232.5</v>
      </c>
      <c r="AG39" s="3">
        <v>3207.5</v>
      </c>
      <c r="AH39" s="3">
        <v>2136.5</v>
      </c>
      <c r="AI39" s="3">
        <v>2751.5</v>
      </c>
      <c r="AJ39" s="3">
        <v>2088.5</v>
      </c>
      <c r="AK39" s="3">
        <v>2297.5</v>
      </c>
      <c r="AL39" s="3">
        <v>-1723.5</v>
      </c>
      <c r="AM39" s="3">
        <v>-1735.5</v>
      </c>
      <c r="AN39" s="3">
        <v>-1717.5</v>
      </c>
      <c r="AO39" s="3">
        <v>-1724.5</v>
      </c>
      <c r="AP39" s="4" t="s">
        <v>10</v>
      </c>
    </row>
    <row r="43" spans="1:42" x14ac:dyDescent="0.3">
      <c r="C43" t="s">
        <v>19</v>
      </c>
      <c r="D43" t="s">
        <v>20</v>
      </c>
      <c r="E43" t="s">
        <v>21</v>
      </c>
      <c r="F43" t="s">
        <v>22</v>
      </c>
      <c r="G43" t="s">
        <v>18</v>
      </c>
      <c r="H43" t="s">
        <v>14</v>
      </c>
      <c r="I43" t="s">
        <v>15</v>
      </c>
      <c r="J43" t="s">
        <v>16</v>
      </c>
      <c r="K43" t="s">
        <v>17</v>
      </c>
    </row>
    <row r="44" spans="1:42" x14ac:dyDescent="0.3">
      <c r="B44">
        <v>200</v>
      </c>
      <c r="C44" s="3">
        <v>2836</v>
      </c>
      <c r="D44">
        <v>1451</v>
      </c>
      <c r="E44" s="3">
        <v>41740</v>
      </c>
      <c r="F44" s="3">
        <v>31612</v>
      </c>
      <c r="G44">
        <v>200</v>
      </c>
      <c r="H44" s="3">
        <v>1924</v>
      </c>
      <c r="I44" s="3">
        <v>1182</v>
      </c>
      <c r="J44" s="3">
        <v>29272</v>
      </c>
      <c r="K44" s="3">
        <v>27037</v>
      </c>
      <c r="L44" s="3"/>
      <c r="V44" t="s">
        <v>28</v>
      </c>
      <c r="W44" t="s">
        <v>18</v>
      </c>
    </row>
    <row r="45" spans="1:42" x14ac:dyDescent="0.3">
      <c r="B45">
        <v>64</v>
      </c>
      <c r="C45" s="3">
        <v>2003</v>
      </c>
      <c r="D45" s="3">
        <v>1066</v>
      </c>
      <c r="E45" s="3">
        <v>28118</v>
      </c>
      <c r="F45" s="3">
        <v>20196</v>
      </c>
      <c r="G45">
        <v>64</v>
      </c>
      <c r="H45" s="3">
        <v>1370</v>
      </c>
      <c r="I45" s="3">
        <v>746</v>
      </c>
      <c r="J45" s="3">
        <v>21542</v>
      </c>
      <c r="K45" s="3">
        <v>18621</v>
      </c>
      <c r="L45" s="3"/>
      <c r="U45">
        <v>200</v>
      </c>
      <c r="V45" s="3">
        <v>29580.5</v>
      </c>
      <c r="W45" s="3">
        <v>25286.5</v>
      </c>
    </row>
    <row r="46" spans="1:42" x14ac:dyDescent="0.3">
      <c r="B46">
        <v>56</v>
      </c>
      <c r="C46" s="3">
        <v>1813</v>
      </c>
      <c r="D46" s="3">
        <v>1007</v>
      </c>
      <c r="E46" s="3">
        <v>27561</v>
      </c>
      <c r="F46" s="3">
        <v>21974</v>
      </c>
      <c r="G46">
        <v>56</v>
      </c>
      <c r="H46" s="3">
        <v>1457</v>
      </c>
      <c r="I46" s="3">
        <v>838</v>
      </c>
      <c r="J46" s="3">
        <v>24914</v>
      </c>
      <c r="K46" s="3">
        <v>20212</v>
      </c>
      <c r="L46" s="3"/>
      <c r="U46">
        <v>64</v>
      </c>
      <c r="V46" s="3">
        <v>18164.5</v>
      </c>
      <c r="W46" s="3">
        <v>16870.5</v>
      </c>
    </row>
    <row r="47" spans="1:42" x14ac:dyDescent="0.3">
      <c r="B47">
        <v>48</v>
      </c>
      <c r="C47" s="3">
        <v>1642</v>
      </c>
      <c r="D47" s="3">
        <v>953</v>
      </c>
      <c r="E47" s="3">
        <v>24459</v>
      </c>
      <c r="F47" s="3">
        <v>18931</v>
      </c>
      <c r="G47">
        <v>48</v>
      </c>
      <c r="H47" s="3">
        <v>1374</v>
      </c>
      <c r="I47" s="3">
        <v>795</v>
      </c>
      <c r="J47" s="3">
        <v>21436</v>
      </c>
      <c r="K47" s="3">
        <v>17097</v>
      </c>
      <c r="L47" s="3"/>
      <c r="U47">
        <v>56</v>
      </c>
      <c r="V47" s="3">
        <v>19942.5</v>
      </c>
      <c r="W47" s="3">
        <v>18461.5</v>
      </c>
    </row>
    <row r="48" spans="1:42" x14ac:dyDescent="0.3">
      <c r="B48">
        <v>40</v>
      </c>
      <c r="C48" s="3">
        <v>1358</v>
      </c>
      <c r="D48" s="3">
        <v>872</v>
      </c>
      <c r="E48" s="3">
        <v>22678</v>
      </c>
      <c r="F48" s="3">
        <v>16964</v>
      </c>
      <c r="G48">
        <v>40</v>
      </c>
      <c r="H48" s="3">
        <v>1182</v>
      </c>
      <c r="I48" s="3">
        <v>734</v>
      </c>
      <c r="J48" s="3">
        <v>20698</v>
      </c>
      <c r="K48" s="3">
        <v>16581</v>
      </c>
      <c r="L48" s="3"/>
      <c r="U48">
        <v>48</v>
      </c>
      <c r="V48" s="3">
        <v>16899.5</v>
      </c>
      <c r="W48" s="3">
        <v>15346.5</v>
      </c>
    </row>
    <row r="49" spans="2:23" x14ac:dyDescent="0.3">
      <c r="B49">
        <v>32</v>
      </c>
      <c r="C49" s="3">
        <v>1259</v>
      </c>
      <c r="D49" s="3">
        <v>755</v>
      </c>
      <c r="E49" s="3">
        <v>19795</v>
      </c>
      <c r="F49" s="3">
        <v>15815</v>
      </c>
      <c r="G49">
        <v>32</v>
      </c>
      <c r="H49" s="3">
        <v>1042</v>
      </c>
      <c r="I49" s="3">
        <v>630</v>
      </c>
      <c r="J49" s="3">
        <v>18259</v>
      </c>
      <c r="K49" s="3">
        <v>14877</v>
      </c>
      <c r="L49" s="3"/>
      <c r="U49">
        <v>40</v>
      </c>
      <c r="V49" s="3">
        <v>14932.5</v>
      </c>
      <c r="W49" s="3">
        <v>14830.5</v>
      </c>
    </row>
    <row r="50" spans="2:23" x14ac:dyDescent="0.3">
      <c r="B50">
        <v>24</v>
      </c>
      <c r="C50" s="3">
        <v>1052</v>
      </c>
      <c r="D50" s="3">
        <v>643</v>
      </c>
      <c r="E50" s="3">
        <v>17126</v>
      </c>
      <c r="F50" s="3">
        <v>13164</v>
      </c>
      <c r="G50">
        <v>24</v>
      </c>
      <c r="H50" s="3">
        <v>991</v>
      </c>
      <c r="I50" s="3">
        <v>556</v>
      </c>
      <c r="J50" s="3">
        <v>16793</v>
      </c>
      <c r="K50" s="3">
        <v>12508</v>
      </c>
      <c r="L50" s="3"/>
      <c r="U50">
        <v>32</v>
      </c>
      <c r="V50" s="3">
        <v>13783.5</v>
      </c>
      <c r="W50" s="3">
        <v>13126.5</v>
      </c>
    </row>
    <row r="51" spans="2:23" x14ac:dyDescent="0.3">
      <c r="B51">
        <v>16</v>
      </c>
      <c r="C51" s="3">
        <v>709</v>
      </c>
      <c r="D51" s="3">
        <v>490</v>
      </c>
      <c r="E51" s="3">
        <v>13748</v>
      </c>
      <c r="F51" s="3">
        <v>9267</v>
      </c>
      <c r="G51">
        <v>16</v>
      </c>
      <c r="H51" s="3">
        <v>686</v>
      </c>
      <c r="I51" s="3">
        <v>407</v>
      </c>
      <c r="J51" s="3">
        <v>11743</v>
      </c>
      <c r="K51" s="3">
        <v>8681</v>
      </c>
      <c r="L51" s="3"/>
      <c r="U51">
        <v>24</v>
      </c>
      <c r="V51" s="3">
        <v>11132.5</v>
      </c>
      <c r="W51" s="3">
        <v>10757.5</v>
      </c>
    </row>
    <row r="52" spans="2:23" x14ac:dyDescent="0.3">
      <c r="B52">
        <v>8</v>
      </c>
      <c r="C52" s="3">
        <v>454</v>
      </c>
      <c r="D52" s="3">
        <v>326</v>
      </c>
      <c r="E52" s="3">
        <v>7861</v>
      </c>
      <c r="F52" s="3">
        <v>5811</v>
      </c>
      <c r="G52">
        <v>8</v>
      </c>
      <c r="H52" s="3">
        <v>359</v>
      </c>
      <c r="I52" s="3">
        <v>245</v>
      </c>
      <c r="J52" s="3">
        <v>6809</v>
      </c>
      <c r="K52" s="3">
        <v>5056</v>
      </c>
      <c r="L52" s="3"/>
      <c r="U52">
        <v>16</v>
      </c>
      <c r="V52" s="3">
        <v>7235.5</v>
      </c>
      <c r="W52" s="3">
        <v>6930.5</v>
      </c>
    </row>
    <row r="53" spans="2:23" x14ac:dyDescent="0.3">
      <c r="B53">
        <v>3.2</v>
      </c>
      <c r="C53" s="3">
        <v>325</v>
      </c>
      <c r="D53" s="3">
        <v>208</v>
      </c>
      <c r="E53" s="3">
        <v>4986</v>
      </c>
      <c r="F53" s="3">
        <v>3950</v>
      </c>
      <c r="G53">
        <v>3.2</v>
      </c>
      <c r="H53" s="3">
        <v>224</v>
      </c>
      <c r="I53" s="3">
        <v>155</v>
      </c>
      <c r="J53" s="3">
        <v>4175</v>
      </c>
      <c r="K53" s="3">
        <v>3716</v>
      </c>
      <c r="L53" s="3"/>
      <c r="U53">
        <v>8</v>
      </c>
      <c r="V53" s="3">
        <v>3779.5</v>
      </c>
      <c r="W53" s="3">
        <v>3305.5</v>
      </c>
    </row>
    <row r="54" spans="2:23" x14ac:dyDescent="0.3">
      <c r="B54">
        <v>1.6</v>
      </c>
      <c r="C54" s="3">
        <v>197</v>
      </c>
      <c r="D54" s="3">
        <v>137</v>
      </c>
      <c r="E54" s="3">
        <v>3792</v>
      </c>
      <c r="F54" s="3">
        <v>2496</v>
      </c>
      <c r="G54">
        <v>1.6</v>
      </c>
      <c r="H54" s="3">
        <v>188</v>
      </c>
      <c r="I54" s="3">
        <v>119</v>
      </c>
      <c r="J54" s="3">
        <v>2625</v>
      </c>
      <c r="K54" s="3">
        <v>2403</v>
      </c>
      <c r="L54" s="3"/>
      <c r="U54">
        <v>3.2</v>
      </c>
      <c r="V54" s="3">
        <v>1918.5</v>
      </c>
      <c r="W54" s="3">
        <v>1965.5</v>
      </c>
    </row>
    <row r="55" spans="2:23" x14ac:dyDescent="0.3">
      <c r="C55" s="3"/>
      <c r="D55" s="3"/>
      <c r="E55" s="3"/>
      <c r="F55" s="3"/>
      <c r="H55" s="3"/>
      <c r="I55" s="3"/>
      <c r="J55" s="3"/>
      <c r="K55" s="3"/>
      <c r="L55" s="3"/>
      <c r="U55">
        <v>1.6</v>
      </c>
      <c r="V55" s="3">
        <v>464.5</v>
      </c>
      <c r="W55" s="3">
        <v>652.5</v>
      </c>
    </row>
    <row r="56" spans="2:23" x14ac:dyDescent="0.3">
      <c r="B56">
        <v>200</v>
      </c>
      <c r="C56" s="3">
        <v>2006</v>
      </c>
      <c r="D56">
        <v>1614</v>
      </c>
      <c r="E56" s="3">
        <v>43132</v>
      </c>
      <c r="F56" s="3">
        <v>33304</v>
      </c>
      <c r="G56" s="7">
        <v>200</v>
      </c>
      <c r="H56" s="3">
        <v>1792</v>
      </c>
      <c r="I56" s="3">
        <v>1059</v>
      </c>
      <c r="J56" s="3">
        <v>33030</v>
      </c>
      <c r="K56" s="3">
        <v>25850</v>
      </c>
      <c r="V56" s="3"/>
      <c r="W56" s="3"/>
    </row>
    <row r="57" spans="2:23" x14ac:dyDescent="0.3">
      <c r="B57">
        <v>64</v>
      </c>
      <c r="C57" s="3">
        <v>1435</v>
      </c>
      <c r="D57" s="3">
        <v>1111</v>
      </c>
      <c r="E57" s="3">
        <v>31318</v>
      </c>
      <c r="F57" s="3">
        <v>22979</v>
      </c>
      <c r="G57">
        <v>64</v>
      </c>
      <c r="H57" s="3">
        <v>1472</v>
      </c>
      <c r="I57" s="3">
        <v>873</v>
      </c>
      <c r="J57" s="3">
        <v>26623</v>
      </c>
      <c r="K57" s="3">
        <v>19419</v>
      </c>
      <c r="U57">
        <v>200</v>
      </c>
      <c r="V57" s="3">
        <v>31272.5</v>
      </c>
      <c r="W57" s="3">
        <v>24099.5</v>
      </c>
    </row>
    <row r="58" spans="2:23" x14ac:dyDescent="0.3">
      <c r="B58">
        <v>56</v>
      </c>
      <c r="C58" s="3">
        <v>1412</v>
      </c>
      <c r="D58" s="3">
        <v>994</v>
      </c>
      <c r="E58" s="3">
        <v>26754</v>
      </c>
      <c r="F58" s="3">
        <v>21299</v>
      </c>
      <c r="G58">
        <v>56</v>
      </c>
      <c r="H58" s="3">
        <v>1387</v>
      </c>
      <c r="I58" s="3">
        <v>836</v>
      </c>
      <c r="J58" s="3">
        <v>25342</v>
      </c>
      <c r="K58" s="3">
        <v>19297</v>
      </c>
      <c r="U58">
        <v>64</v>
      </c>
      <c r="V58" s="3">
        <v>20947.5</v>
      </c>
      <c r="W58" s="3">
        <v>17668.5</v>
      </c>
    </row>
    <row r="59" spans="2:23" x14ac:dyDescent="0.3">
      <c r="B59">
        <v>48</v>
      </c>
      <c r="C59" s="3">
        <v>1368</v>
      </c>
      <c r="D59" s="3">
        <v>1026</v>
      </c>
      <c r="E59" s="3">
        <v>25590</v>
      </c>
      <c r="F59" s="3">
        <v>20519</v>
      </c>
      <c r="G59">
        <v>48</v>
      </c>
      <c r="H59" s="3">
        <v>1298</v>
      </c>
      <c r="I59" s="3">
        <v>773</v>
      </c>
      <c r="J59" s="3">
        <v>23803</v>
      </c>
      <c r="K59" s="3">
        <v>18646</v>
      </c>
      <c r="U59">
        <v>56</v>
      </c>
      <c r="V59" s="3">
        <v>19267.5</v>
      </c>
      <c r="W59" s="3">
        <v>17546.5</v>
      </c>
    </row>
    <row r="60" spans="2:23" x14ac:dyDescent="0.3">
      <c r="B60">
        <v>40</v>
      </c>
      <c r="C60" s="3">
        <v>1422</v>
      </c>
      <c r="D60" s="3">
        <v>998</v>
      </c>
      <c r="E60" s="3">
        <v>25185</v>
      </c>
      <c r="F60" s="3">
        <v>19861</v>
      </c>
      <c r="G60">
        <v>40</v>
      </c>
      <c r="H60" s="3">
        <v>1088</v>
      </c>
      <c r="I60" s="3">
        <v>667</v>
      </c>
      <c r="J60" s="3">
        <v>18860</v>
      </c>
      <c r="K60" s="3">
        <v>15220</v>
      </c>
      <c r="U60">
        <v>48</v>
      </c>
      <c r="V60" s="3">
        <v>18487.5</v>
      </c>
      <c r="W60" s="3">
        <v>16895.5</v>
      </c>
    </row>
    <row r="61" spans="2:23" x14ac:dyDescent="0.3">
      <c r="B61">
        <v>32</v>
      </c>
      <c r="C61" s="3">
        <v>1230</v>
      </c>
      <c r="D61" s="3">
        <v>801</v>
      </c>
      <c r="E61" s="3">
        <v>20918</v>
      </c>
      <c r="F61" s="3">
        <v>15915</v>
      </c>
      <c r="G61">
        <v>32</v>
      </c>
      <c r="H61" s="3">
        <v>1018</v>
      </c>
      <c r="I61" s="3">
        <v>695</v>
      </c>
      <c r="J61" s="3">
        <v>17909</v>
      </c>
      <c r="K61" s="3">
        <v>14896</v>
      </c>
      <c r="U61">
        <v>40</v>
      </c>
      <c r="V61" s="3">
        <v>17829.5</v>
      </c>
      <c r="W61" s="3">
        <v>13469.5</v>
      </c>
    </row>
    <row r="62" spans="2:23" x14ac:dyDescent="0.3">
      <c r="B62">
        <v>24</v>
      </c>
      <c r="C62" s="3">
        <v>1031</v>
      </c>
      <c r="D62" s="3">
        <v>743</v>
      </c>
      <c r="E62" s="3">
        <v>19602</v>
      </c>
      <c r="F62" s="3">
        <v>13635</v>
      </c>
      <c r="G62">
        <v>24</v>
      </c>
      <c r="H62" s="3">
        <v>910</v>
      </c>
      <c r="I62" s="3">
        <v>611</v>
      </c>
      <c r="J62" s="3">
        <v>16973</v>
      </c>
      <c r="K62" s="3">
        <v>13657</v>
      </c>
      <c r="U62">
        <v>32</v>
      </c>
      <c r="V62" s="3">
        <v>13883.5</v>
      </c>
      <c r="W62" s="3">
        <v>13145.5</v>
      </c>
    </row>
    <row r="63" spans="2:23" x14ac:dyDescent="0.3">
      <c r="B63">
        <v>16</v>
      </c>
      <c r="C63" s="3">
        <v>782</v>
      </c>
      <c r="D63" s="3">
        <v>497</v>
      </c>
      <c r="E63" s="3">
        <v>13099</v>
      </c>
      <c r="F63" s="3">
        <v>10686</v>
      </c>
      <c r="G63">
        <v>16</v>
      </c>
      <c r="H63" s="3">
        <v>676</v>
      </c>
      <c r="I63" s="3">
        <v>411</v>
      </c>
      <c r="J63" s="3">
        <v>12257</v>
      </c>
      <c r="K63" s="3">
        <v>8940</v>
      </c>
      <c r="U63">
        <v>24</v>
      </c>
      <c r="V63" s="3">
        <v>11603.5</v>
      </c>
      <c r="W63" s="3">
        <v>11906.5</v>
      </c>
    </row>
    <row r="64" spans="2:23" x14ac:dyDescent="0.3">
      <c r="C64" s="3"/>
      <c r="D64" s="3"/>
      <c r="E64" s="3"/>
      <c r="F64" s="3"/>
      <c r="G64">
        <v>8</v>
      </c>
      <c r="H64" s="3">
        <v>379</v>
      </c>
      <c r="I64" s="3">
        <v>239</v>
      </c>
      <c r="J64" s="3">
        <v>7182</v>
      </c>
      <c r="K64" s="3">
        <v>5190</v>
      </c>
      <c r="U64">
        <v>16</v>
      </c>
      <c r="V64" s="3">
        <v>8654.5</v>
      </c>
      <c r="W64" s="3">
        <v>7189.5</v>
      </c>
    </row>
    <row r="65" spans="2:23" x14ac:dyDescent="0.3">
      <c r="B65">
        <v>3.2</v>
      </c>
      <c r="C65" s="3">
        <v>304</v>
      </c>
      <c r="D65" s="3">
        <v>218</v>
      </c>
      <c r="E65" s="3">
        <v>5209</v>
      </c>
      <c r="F65" s="3">
        <v>4246</v>
      </c>
      <c r="G65">
        <v>3.2</v>
      </c>
      <c r="H65" s="3">
        <v>233</v>
      </c>
      <c r="I65" s="3">
        <v>173</v>
      </c>
      <c r="J65" s="3">
        <v>4357</v>
      </c>
      <c r="K65" s="3">
        <v>3502</v>
      </c>
      <c r="U65">
        <v>8</v>
      </c>
      <c r="V65" s="3"/>
      <c r="W65" s="3">
        <v>3439.5</v>
      </c>
    </row>
    <row r="66" spans="2:23" x14ac:dyDescent="0.3">
      <c r="B66">
        <v>1.6</v>
      </c>
      <c r="C66" s="3">
        <v>243</v>
      </c>
      <c r="D66" s="3">
        <v>163</v>
      </c>
      <c r="E66" s="3">
        <v>3673</v>
      </c>
      <c r="F66" s="3">
        <v>3161</v>
      </c>
      <c r="G66">
        <v>1.6</v>
      </c>
      <c r="H66" s="3">
        <v>210</v>
      </c>
      <c r="I66" s="3">
        <v>116</v>
      </c>
      <c r="J66" s="3">
        <v>3121</v>
      </c>
      <c r="K66" s="3">
        <v>2729</v>
      </c>
      <c r="U66">
        <v>3.2</v>
      </c>
      <c r="V66" s="3">
        <v>2214.5</v>
      </c>
      <c r="W66" s="3">
        <v>1751.5</v>
      </c>
    </row>
    <row r="67" spans="2:23" x14ac:dyDescent="0.3">
      <c r="C67" s="3"/>
      <c r="D67" s="3"/>
      <c r="E67" s="3"/>
      <c r="F67" s="3"/>
      <c r="H67" s="3"/>
      <c r="I67" s="3"/>
      <c r="J67" s="3"/>
      <c r="K67" s="3"/>
      <c r="U67">
        <v>1.6</v>
      </c>
      <c r="V67" s="3">
        <v>1129.5</v>
      </c>
      <c r="W67" s="3">
        <v>978.5</v>
      </c>
    </row>
    <row r="68" spans="2:23" x14ac:dyDescent="0.3">
      <c r="V68" s="3"/>
      <c r="W68" s="3"/>
    </row>
    <row r="70" spans="2:23" x14ac:dyDescent="0.3">
      <c r="C70" t="e">
        <f t="shared" ref="C70:D70" si="0">AVERAGE(C67,C55)</f>
        <v>#DIV/0!</v>
      </c>
      <c r="D70" t="e">
        <f t="shared" si="0"/>
        <v>#DIV/0!</v>
      </c>
      <c r="E70" t="e">
        <f>AVERAGE(E67,E55)</f>
        <v>#DIV/0!</v>
      </c>
      <c r="F70" t="e">
        <f t="shared" ref="F70:K70" si="1">AVERAGE(F67,F55)</f>
        <v>#DIV/0!</v>
      </c>
      <c r="H70" t="e">
        <f t="shared" si="1"/>
        <v>#DIV/0!</v>
      </c>
      <c r="I70" t="e">
        <f t="shared" si="1"/>
        <v>#DIV/0!</v>
      </c>
      <c r="J70" t="e">
        <f t="shared" si="1"/>
        <v>#DIV/0!</v>
      </c>
      <c r="K70" t="e">
        <f t="shared" si="1"/>
        <v>#DIV/0!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E856-D06E-4CEF-AB62-1F17055C7CE5}">
  <dimension ref="A1:AB41"/>
  <sheetViews>
    <sheetView topLeftCell="A18" workbookViewId="0">
      <selection activeCell="B33" sqref="B33:P34"/>
    </sheetView>
  </sheetViews>
  <sheetFormatPr defaultRowHeight="14" x14ac:dyDescent="0.3"/>
  <cols>
    <col min="1" max="1" width="8.796875" bestFit="1" customWidth="1"/>
    <col min="2" max="3" width="11.5" bestFit="1" customWidth="1"/>
  </cols>
  <sheetData>
    <row r="1" spans="1:28" x14ac:dyDescent="0.3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1" t="s">
        <v>13</v>
      </c>
      <c r="P1" s="2">
        <v>1</v>
      </c>
      <c r="Q1" s="2">
        <v>2</v>
      </c>
      <c r="R1" s="2">
        <v>3</v>
      </c>
      <c r="S1" s="2">
        <v>4</v>
      </c>
      <c r="T1" s="2">
        <v>5</v>
      </c>
      <c r="U1" s="2">
        <v>6</v>
      </c>
      <c r="V1" s="2">
        <v>7</v>
      </c>
      <c r="W1" s="2">
        <v>8</v>
      </c>
      <c r="X1" s="2">
        <v>9</v>
      </c>
      <c r="Y1" s="2">
        <v>10</v>
      </c>
      <c r="Z1" s="2">
        <v>11</v>
      </c>
      <c r="AA1" s="2">
        <v>12</v>
      </c>
    </row>
    <row r="2" spans="1:28" x14ac:dyDescent="0.3">
      <c r="A2" s="2" t="s">
        <v>0</v>
      </c>
      <c r="B2" s="3">
        <v>41740</v>
      </c>
      <c r="C2" s="3">
        <v>28118</v>
      </c>
      <c r="D2" s="3">
        <v>27561</v>
      </c>
      <c r="E2" s="3">
        <v>24459</v>
      </c>
      <c r="F2" s="3">
        <v>22678</v>
      </c>
      <c r="G2" s="3">
        <v>19795</v>
      </c>
      <c r="H2" s="3">
        <v>17126</v>
      </c>
      <c r="I2" s="3">
        <v>13748</v>
      </c>
      <c r="J2" s="3">
        <v>7861</v>
      </c>
      <c r="K2" s="3">
        <v>4986</v>
      </c>
      <c r="L2" s="3">
        <v>3792</v>
      </c>
      <c r="M2" s="3">
        <v>2438</v>
      </c>
      <c r="N2" s="4" t="s">
        <v>10</v>
      </c>
      <c r="O2" s="2" t="s">
        <v>0</v>
      </c>
      <c r="P2" s="3">
        <v>27037</v>
      </c>
      <c r="Q2" s="3">
        <v>18621</v>
      </c>
      <c r="R2" s="3">
        <v>20212</v>
      </c>
      <c r="S2" s="3">
        <v>17097</v>
      </c>
      <c r="T2" s="3">
        <v>16581</v>
      </c>
      <c r="U2" s="3">
        <v>14877</v>
      </c>
      <c r="V2" s="3">
        <v>12508</v>
      </c>
      <c r="W2" s="3">
        <v>8681</v>
      </c>
      <c r="X2" s="3">
        <v>5056</v>
      </c>
      <c r="Y2" s="3">
        <v>3716</v>
      </c>
      <c r="Z2" s="3">
        <v>2403</v>
      </c>
      <c r="AA2" s="3">
        <v>1595</v>
      </c>
      <c r="AB2" s="4" t="s">
        <v>10</v>
      </c>
    </row>
    <row r="3" spans="1:28" x14ac:dyDescent="0.3">
      <c r="A3" s="2" t="s">
        <v>2</v>
      </c>
      <c r="B3" s="3">
        <v>43132</v>
      </c>
      <c r="C3" s="3">
        <v>31318</v>
      </c>
      <c r="D3" s="3">
        <v>26754</v>
      </c>
      <c r="E3" s="3">
        <v>25590</v>
      </c>
      <c r="F3" s="3">
        <v>25185</v>
      </c>
      <c r="G3" s="3">
        <v>20918</v>
      </c>
      <c r="H3" s="3">
        <v>19602</v>
      </c>
      <c r="I3" s="3">
        <v>13099</v>
      </c>
      <c r="J3" s="3">
        <v>13289</v>
      </c>
      <c r="K3" s="3">
        <v>5209</v>
      </c>
      <c r="L3" s="3">
        <v>3673</v>
      </c>
      <c r="M3" s="3">
        <v>2803</v>
      </c>
      <c r="N3" s="4" t="s">
        <v>10</v>
      </c>
      <c r="O3" s="2" t="s">
        <v>2</v>
      </c>
      <c r="P3" s="3">
        <v>25850</v>
      </c>
      <c r="Q3" s="3">
        <v>19419</v>
      </c>
      <c r="R3" s="3">
        <v>19297</v>
      </c>
      <c r="S3" s="3">
        <v>18646</v>
      </c>
      <c r="T3" s="3">
        <v>15220</v>
      </c>
      <c r="U3" s="3">
        <v>14896</v>
      </c>
      <c r="V3" s="3">
        <v>13657</v>
      </c>
      <c r="W3" s="3">
        <v>8940</v>
      </c>
      <c r="X3" s="3">
        <v>5190</v>
      </c>
      <c r="Y3" s="3">
        <v>3502</v>
      </c>
      <c r="Z3" s="3">
        <v>2729</v>
      </c>
      <c r="AA3" s="3">
        <v>1906</v>
      </c>
      <c r="AB3" s="4" t="s">
        <v>10</v>
      </c>
    </row>
    <row r="4" spans="1:28" x14ac:dyDescent="0.3">
      <c r="A4" s="2" t="s">
        <v>3</v>
      </c>
      <c r="B4" s="3">
        <v>3970</v>
      </c>
      <c r="C4" s="3">
        <v>3681</v>
      </c>
      <c r="D4" s="3">
        <v>3992</v>
      </c>
      <c r="E4" s="3">
        <v>4097</v>
      </c>
      <c r="F4" s="3">
        <v>1695</v>
      </c>
      <c r="G4" s="3">
        <v>1936</v>
      </c>
      <c r="H4" s="3">
        <v>1403</v>
      </c>
      <c r="I4" s="3">
        <v>2517</v>
      </c>
      <c r="J4" s="3">
        <v>1466</v>
      </c>
      <c r="K4" s="3">
        <v>2579</v>
      </c>
      <c r="L4" s="3">
        <v>3767</v>
      </c>
      <c r="M4" s="3">
        <v>2863</v>
      </c>
      <c r="N4" s="4" t="s">
        <v>10</v>
      </c>
      <c r="O4" s="2" t="s">
        <v>3</v>
      </c>
      <c r="P4" s="3">
        <v>16719</v>
      </c>
      <c r="Q4" s="3">
        <v>23548</v>
      </c>
      <c r="R4" s="3">
        <v>25002</v>
      </c>
      <c r="S4" s="3">
        <v>20060</v>
      </c>
      <c r="T4" s="3">
        <v>2980</v>
      </c>
      <c r="U4" s="3">
        <v>4054</v>
      </c>
      <c r="V4" s="3">
        <v>2922</v>
      </c>
      <c r="W4" s="3">
        <v>5040</v>
      </c>
      <c r="X4" s="3">
        <v>2431</v>
      </c>
      <c r="Y4" s="3">
        <v>3500</v>
      </c>
      <c r="Z4" s="3">
        <v>6097</v>
      </c>
      <c r="AA4" s="3">
        <v>7375</v>
      </c>
      <c r="AB4" s="4" t="s">
        <v>10</v>
      </c>
    </row>
    <row r="5" spans="1:28" x14ac:dyDescent="0.3">
      <c r="A5" s="2" t="s">
        <v>4</v>
      </c>
      <c r="B5" s="3">
        <v>8966</v>
      </c>
      <c r="C5" s="3">
        <v>5354</v>
      </c>
      <c r="D5" s="3">
        <v>5717</v>
      </c>
      <c r="E5" s="3">
        <v>7018</v>
      </c>
      <c r="F5" s="3">
        <v>4622</v>
      </c>
      <c r="G5" s="3">
        <v>4671</v>
      </c>
      <c r="H5" s="3">
        <v>3950</v>
      </c>
      <c r="I5" s="3">
        <v>4643</v>
      </c>
      <c r="J5" s="3">
        <v>5388</v>
      </c>
      <c r="K5" s="3">
        <v>4183</v>
      </c>
      <c r="L5" s="3">
        <v>3108</v>
      </c>
      <c r="M5" s="3">
        <v>3796</v>
      </c>
      <c r="N5" s="4" t="s">
        <v>10</v>
      </c>
      <c r="O5" s="2" t="s">
        <v>4</v>
      </c>
      <c r="P5" s="3">
        <v>31825</v>
      </c>
      <c r="Q5" s="3">
        <v>20858</v>
      </c>
      <c r="R5" s="3">
        <v>29154</v>
      </c>
      <c r="S5" s="3">
        <v>26478</v>
      </c>
      <c r="T5" s="3">
        <v>16169</v>
      </c>
      <c r="U5" s="3">
        <v>18729</v>
      </c>
      <c r="V5" s="3">
        <v>13292</v>
      </c>
      <c r="W5" s="3">
        <v>15570</v>
      </c>
      <c r="X5" s="3">
        <v>10857</v>
      </c>
      <c r="Y5" s="3">
        <v>8617</v>
      </c>
      <c r="Z5" s="3">
        <v>10207</v>
      </c>
      <c r="AA5" s="3">
        <v>7195</v>
      </c>
      <c r="AB5" s="4" t="s">
        <v>10</v>
      </c>
    </row>
    <row r="6" spans="1:28" x14ac:dyDescent="0.3">
      <c r="A6" s="2" t="s">
        <v>5</v>
      </c>
      <c r="B6" s="3">
        <v>8615</v>
      </c>
      <c r="C6" s="3">
        <v>6454</v>
      </c>
      <c r="D6" s="3">
        <v>6798</v>
      </c>
      <c r="E6" s="3">
        <v>5808</v>
      </c>
      <c r="F6" s="3">
        <v>5063</v>
      </c>
      <c r="G6" s="3">
        <v>5438</v>
      </c>
      <c r="H6" s="3">
        <v>3825</v>
      </c>
      <c r="I6" s="3">
        <v>12024</v>
      </c>
      <c r="J6" s="3">
        <v>5105</v>
      </c>
      <c r="K6" s="3">
        <v>4419</v>
      </c>
      <c r="L6" s="3">
        <v>6370</v>
      </c>
      <c r="M6" s="3">
        <v>3757</v>
      </c>
      <c r="N6" s="4" t="s">
        <v>10</v>
      </c>
      <c r="O6" s="2" t="s">
        <v>5</v>
      </c>
      <c r="P6" s="3">
        <v>22179</v>
      </c>
      <c r="Q6" s="3">
        <v>23986</v>
      </c>
      <c r="R6" s="3">
        <v>29012</v>
      </c>
      <c r="S6" s="3">
        <v>23196</v>
      </c>
      <c r="T6" s="3">
        <v>13470</v>
      </c>
      <c r="U6" s="3">
        <v>9711</v>
      </c>
      <c r="V6" s="3">
        <v>6748</v>
      </c>
      <c r="W6" s="3">
        <v>19193</v>
      </c>
      <c r="X6" s="3">
        <v>19078</v>
      </c>
      <c r="Y6" s="3">
        <v>22864</v>
      </c>
      <c r="Z6" s="3">
        <v>20837</v>
      </c>
      <c r="AA6" s="3">
        <v>16140</v>
      </c>
      <c r="AB6" s="4" t="s">
        <v>10</v>
      </c>
    </row>
    <row r="7" spans="1:28" x14ac:dyDescent="0.3">
      <c r="A7" s="2" t="s">
        <v>6</v>
      </c>
      <c r="B7" s="3">
        <v>18921</v>
      </c>
      <c r="C7" s="3">
        <v>18348</v>
      </c>
      <c r="D7" s="3">
        <v>18627</v>
      </c>
      <c r="E7" s="3">
        <v>16189</v>
      </c>
      <c r="F7" s="3">
        <v>12166</v>
      </c>
      <c r="G7" s="3">
        <v>13174</v>
      </c>
      <c r="H7" s="3">
        <v>14172</v>
      </c>
      <c r="I7" s="3">
        <v>13691</v>
      </c>
      <c r="J7" s="3">
        <v>15234</v>
      </c>
      <c r="K7" s="3">
        <v>12041</v>
      </c>
      <c r="L7" s="3">
        <v>11485</v>
      </c>
      <c r="M7" s="3">
        <v>11743</v>
      </c>
      <c r="N7" s="4" t="s">
        <v>10</v>
      </c>
      <c r="O7" s="2" t="s">
        <v>6</v>
      </c>
      <c r="P7" s="3">
        <v>24529</v>
      </c>
      <c r="Q7" s="3">
        <v>27835</v>
      </c>
      <c r="R7" s="3">
        <v>23769</v>
      </c>
      <c r="S7" s="3">
        <v>22529</v>
      </c>
      <c r="T7" s="3">
        <v>24353</v>
      </c>
      <c r="U7" s="3">
        <v>23217</v>
      </c>
      <c r="V7" s="3">
        <v>25940</v>
      </c>
      <c r="W7" s="3">
        <v>28388</v>
      </c>
      <c r="X7" s="3">
        <v>23141</v>
      </c>
      <c r="Y7" s="3">
        <v>22671</v>
      </c>
      <c r="Z7" s="3">
        <v>18482</v>
      </c>
      <c r="AA7" s="3">
        <v>25944</v>
      </c>
      <c r="AB7" s="4" t="s">
        <v>10</v>
      </c>
    </row>
    <row r="8" spans="1:28" x14ac:dyDescent="0.3">
      <c r="A8" s="2" t="s">
        <v>7</v>
      </c>
      <c r="B8" s="3">
        <v>19841</v>
      </c>
      <c r="C8" s="3">
        <v>18682</v>
      </c>
      <c r="D8" s="3">
        <v>17732</v>
      </c>
      <c r="E8" s="3">
        <v>10051</v>
      </c>
      <c r="F8" s="3">
        <v>9853</v>
      </c>
      <c r="G8" s="3">
        <v>7454</v>
      </c>
      <c r="H8" s="3">
        <v>12040</v>
      </c>
      <c r="I8" s="3">
        <v>5374</v>
      </c>
      <c r="J8" s="3">
        <v>8621</v>
      </c>
      <c r="K8" s="3">
        <v>9726</v>
      </c>
      <c r="L8" s="3">
        <v>5734</v>
      </c>
      <c r="M8" s="3">
        <v>8267</v>
      </c>
      <c r="N8" s="4" t="s">
        <v>10</v>
      </c>
      <c r="O8" s="2" t="s">
        <v>7</v>
      </c>
      <c r="P8" s="3">
        <v>41947</v>
      </c>
      <c r="Q8" s="3">
        <v>38820</v>
      </c>
      <c r="R8" s="3">
        <v>37103</v>
      </c>
      <c r="S8" s="3">
        <v>37461</v>
      </c>
      <c r="T8" s="3">
        <v>37687</v>
      </c>
      <c r="U8" s="3">
        <v>39099</v>
      </c>
      <c r="V8" s="3">
        <v>38884</v>
      </c>
      <c r="W8" s="3">
        <v>30385</v>
      </c>
      <c r="X8" s="3">
        <v>37513</v>
      </c>
      <c r="Y8" s="3">
        <v>36775</v>
      </c>
      <c r="Z8" s="3">
        <v>32038</v>
      </c>
      <c r="AA8" s="3">
        <v>37037</v>
      </c>
      <c r="AB8" s="4" t="s">
        <v>10</v>
      </c>
    </row>
    <row r="9" spans="1:28" x14ac:dyDescent="0.3">
      <c r="A9" s="2" t="s">
        <v>8</v>
      </c>
      <c r="B9" s="3">
        <v>5763</v>
      </c>
      <c r="C9" s="3">
        <v>3938</v>
      </c>
      <c r="D9" s="3">
        <v>5681</v>
      </c>
      <c r="E9" s="3">
        <v>6032</v>
      </c>
      <c r="F9" s="3">
        <v>5890</v>
      </c>
      <c r="G9" s="3">
        <v>5977</v>
      </c>
      <c r="H9" s="3">
        <v>5678</v>
      </c>
      <c r="I9" s="3">
        <v>5827</v>
      </c>
      <c r="J9" s="3">
        <v>16</v>
      </c>
      <c r="K9" s="3">
        <v>7</v>
      </c>
      <c r="L9" s="3">
        <v>3</v>
      </c>
      <c r="M9" s="3">
        <v>6</v>
      </c>
      <c r="N9" s="4" t="s">
        <v>10</v>
      </c>
      <c r="O9" s="2" t="s">
        <v>8</v>
      </c>
      <c r="P9" s="3">
        <v>4351</v>
      </c>
      <c r="Q9" s="3">
        <v>4723</v>
      </c>
      <c r="R9" s="3">
        <v>3983</v>
      </c>
      <c r="S9" s="3">
        <v>4958</v>
      </c>
      <c r="T9" s="3">
        <v>3887</v>
      </c>
      <c r="U9" s="3">
        <v>4502</v>
      </c>
      <c r="V9" s="3">
        <v>3839</v>
      </c>
      <c r="W9" s="3">
        <v>4048</v>
      </c>
      <c r="X9" s="3">
        <v>27</v>
      </c>
      <c r="Y9" s="3">
        <v>15</v>
      </c>
      <c r="Z9" s="3">
        <v>33</v>
      </c>
      <c r="AA9" s="3">
        <v>26</v>
      </c>
      <c r="AB9" s="4" t="s">
        <v>10</v>
      </c>
    </row>
    <row r="11" spans="1:28" x14ac:dyDescent="0.3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8" x14ac:dyDescent="0.3">
      <c r="A12" s="2" t="s">
        <v>0</v>
      </c>
      <c r="B12" s="3">
        <f>-(-573.44+SQRT((-7.51*B2)+348513.3886))/3.755</f>
        <v>102.85865813739272</v>
      </c>
      <c r="C12" s="3">
        <f t="shared" ref="C12:M12" si="0">-(-573.44+SQRT((-7.51*C2)+348513.3886))/3.755</f>
        <v>54.017618320300507</v>
      </c>
      <c r="D12" s="3">
        <f t="shared" si="0"/>
        <v>52.525938276176902</v>
      </c>
      <c r="E12" s="3">
        <f t="shared" si="0"/>
        <v>44.594393532022288</v>
      </c>
      <c r="F12" s="3">
        <f t="shared" si="0"/>
        <v>40.293122853916373</v>
      </c>
      <c r="G12" s="3">
        <f t="shared" si="0"/>
        <v>33.659348702935091</v>
      </c>
      <c r="H12" s="3">
        <f t="shared" si="0"/>
        <v>27.831717209280061</v>
      </c>
      <c r="I12" s="3">
        <f t="shared" si="0"/>
        <v>20.824691814616596</v>
      </c>
      <c r="J12" s="3">
        <f t="shared" si="0"/>
        <v>9.429846290816787</v>
      </c>
      <c r="K12" s="3">
        <f t="shared" si="0"/>
        <v>4.1823760746189382</v>
      </c>
      <c r="L12" s="3">
        <f t="shared" si="0"/>
        <v>2.0567845033146432</v>
      </c>
      <c r="M12" s="3">
        <f t="shared" si="0"/>
        <v>-0.31792381182797819</v>
      </c>
    </row>
    <row r="13" spans="1:28" x14ac:dyDescent="0.3">
      <c r="A13" s="2" t="s">
        <v>2</v>
      </c>
      <c r="B13" s="3">
        <f t="shared" ref="B13:M13" si="1">-(-573.44+SQRT((-7.51*B3)+348513.3886))/3.755</f>
        <v>110.95110918894032</v>
      </c>
      <c r="C13" s="3">
        <f t="shared" si="1"/>
        <v>63.067045460596923</v>
      </c>
      <c r="D13" s="3">
        <f t="shared" si="1"/>
        <v>50.403317179764635</v>
      </c>
      <c r="E13" s="3">
        <f t="shared" si="1"/>
        <v>47.417034754618967</v>
      </c>
      <c r="F13" s="3">
        <f t="shared" si="1"/>
        <v>46.397661395233037</v>
      </c>
      <c r="G13" s="3">
        <f t="shared" si="1"/>
        <v>36.198452842099641</v>
      </c>
      <c r="H13" s="3">
        <f t="shared" si="1"/>
        <v>33.228408765327977</v>
      </c>
      <c r="I13" s="3">
        <f t="shared" si="1"/>
        <v>19.520671362488461</v>
      </c>
      <c r="J13" s="3">
        <f t="shared" si="1"/>
        <v>19.901108402098227</v>
      </c>
      <c r="K13" s="3">
        <f t="shared" si="1"/>
        <v>4.5827470145963414</v>
      </c>
      <c r="L13" s="3">
        <f t="shared" si="1"/>
        <v>1.8465785395126104</v>
      </c>
      <c r="M13" s="3">
        <f t="shared" si="1"/>
        <v>0.31858705698231038</v>
      </c>
    </row>
    <row r="14" spans="1:28" x14ac:dyDescent="0.3">
      <c r="A14" s="2" t="s">
        <v>3</v>
      </c>
      <c r="B14" s="3">
        <f t="shared" ref="B14:M14" si="2">-(-573.44+SQRT((-7.51*B4)+348513.3886))/3.755</f>
        <v>2.3717588380182781</v>
      </c>
      <c r="C14" s="3">
        <f t="shared" si="2"/>
        <v>1.8607008490199888</v>
      </c>
      <c r="D14" s="3">
        <f t="shared" si="2"/>
        <v>2.410734081807643</v>
      </c>
      <c r="E14" s="3">
        <f t="shared" si="2"/>
        <v>2.5968916917660603</v>
      </c>
      <c r="F14" s="3">
        <f t="shared" si="2"/>
        <v>-1.6055044509837866</v>
      </c>
      <c r="G14" s="3">
        <f t="shared" si="2"/>
        <v>-1.1890442613099359</v>
      </c>
      <c r="H14" s="3">
        <f t="shared" si="2"/>
        <v>-2.1085943009967401</v>
      </c>
      <c r="I14" s="3">
        <f t="shared" si="2"/>
        <v>-0.18038314341124781</v>
      </c>
      <c r="J14" s="3">
        <f t="shared" si="2"/>
        <v>-2.0001893449224299</v>
      </c>
      <c r="K14" s="3">
        <f t="shared" si="2"/>
        <v>-7.2353116868752565E-2</v>
      </c>
      <c r="L14" s="3">
        <f t="shared" si="2"/>
        <v>2.0125992579237506</v>
      </c>
      <c r="M14" s="3">
        <f t="shared" si="2"/>
        <v>0.42347358370950489</v>
      </c>
    </row>
    <row r="15" spans="1:28" x14ac:dyDescent="0.3">
      <c r="A15" s="2" t="s">
        <v>4</v>
      </c>
      <c r="B15" s="3">
        <f t="shared" ref="B15:M15" si="3">-(-573.44+SQRT((-7.51*B5)+348513.3886))/3.755</f>
        <v>11.498565562699566</v>
      </c>
      <c r="C15" s="3">
        <f t="shared" si="3"/>
        <v>4.8436594891009266</v>
      </c>
      <c r="D15" s="3">
        <f t="shared" si="3"/>
        <v>5.4988682403362175</v>
      </c>
      <c r="E15" s="3">
        <f t="shared" si="3"/>
        <v>7.8714961420885388</v>
      </c>
      <c r="F15" s="3">
        <f t="shared" si="3"/>
        <v>3.5311641555363495</v>
      </c>
      <c r="G15" s="3">
        <f t="shared" si="3"/>
        <v>3.6186616240316538</v>
      </c>
      <c r="H15" s="3">
        <f t="shared" si="3"/>
        <v>2.3363355641616699</v>
      </c>
      <c r="I15" s="3">
        <f t="shared" si="3"/>
        <v>3.5686567851425561</v>
      </c>
      <c r="J15" s="3">
        <f t="shared" si="3"/>
        <v>4.9049056243325175</v>
      </c>
      <c r="K15" s="3">
        <f t="shared" si="3"/>
        <v>2.7495357850072026</v>
      </c>
      <c r="L15" s="3">
        <f t="shared" si="3"/>
        <v>0.85251207364161219</v>
      </c>
      <c r="M15" s="3">
        <f t="shared" si="3"/>
        <v>2.0638553452120405</v>
      </c>
    </row>
    <row r="16" spans="1:28" x14ac:dyDescent="0.3">
      <c r="A16" s="2" t="s">
        <v>5</v>
      </c>
      <c r="B16" s="3">
        <f t="shared" ref="B16:M16" si="4">-(-573.44+SQRT((-7.51*B6)+348513.3886))/3.755</f>
        <v>10.838173898320338</v>
      </c>
      <c r="C16" s="3">
        <f t="shared" si="4"/>
        <v>6.8381933009718239</v>
      </c>
      <c r="D16" s="3">
        <f t="shared" si="4"/>
        <v>7.4675602803338492</v>
      </c>
      <c r="E16" s="3">
        <f t="shared" si="4"/>
        <v>5.6635793383902735</v>
      </c>
      <c r="F16" s="3">
        <f t="shared" si="4"/>
        <v>4.3204986491236594</v>
      </c>
      <c r="G16" s="3">
        <f t="shared" si="4"/>
        <v>4.9950196002456151</v>
      </c>
      <c r="H16" s="3">
        <f t="shared" si="4"/>
        <v>2.1151288774604686</v>
      </c>
      <c r="I16" s="3">
        <f t="shared" si="4"/>
        <v>17.388341252072568</v>
      </c>
      <c r="J16" s="3">
        <f t="shared" si="4"/>
        <v>4.3958924503735179</v>
      </c>
      <c r="K16" s="3">
        <f t="shared" si="4"/>
        <v>3.1692200168808804</v>
      </c>
      <c r="L16" s="3">
        <f t="shared" si="4"/>
        <v>6.6849227117857879</v>
      </c>
      <c r="M16" s="3">
        <f t="shared" si="4"/>
        <v>1.9949287867475942</v>
      </c>
    </row>
    <row r="17" spans="1:13" x14ac:dyDescent="0.3">
      <c r="A17" s="2" t="s">
        <v>6</v>
      </c>
      <c r="B17" s="3">
        <f t="shared" ref="B17:M17" si="5">-(-573.44+SQRT((-7.51*B7)+348513.3886))/3.755</f>
        <v>31.720100358502432</v>
      </c>
      <c r="C17" s="3">
        <f t="shared" si="5"/>
        <v>30.465410881713503</v>
      </c>
      <c r="D17" s="3">
        <f t="shared" si="5"/>
        <v>31.074716337265333</v>
      </c>
      <c r="E17" s="3">
        <f t="shared" si="5"/>
        <v>25.849294134768201</v>
      </c>
      <c r="F17" s="3">
        <f t="shared" si="5"/>
        <v>17.668077195482205</v>
      </c>
      <c r="G17" s="3">
        <f t="shared" si="5"/>
        <v>19.6707139223223</v>
      </c>
      <c r="H17" s="3">
        <f t="shared" si="5"/>
        <v>21.68363367066199</v>
      </c>
      <c r="I17" s="3">
        <f t="shared" si="5"/>
        <v>20.709647042141121</v>
      </c>
      <c r="J17" s="3">
        <f t="shared" si="5"/>
        <v>23.86016864685044</v>
      </c>
      <c r="K17" s="3">
        <f t="shared" si="5"/>
        <v>17.421800289088569</v>
      </c>
      <c r="L17" s="3">
        <f t="shared" si="5"/>
        <v>16.331748933855831</v>
      </c>
      <c r="M17" s="3">
        <f t="shared" si="5"/>
        <v>16.83647669098772</v>
      </c>
    </row>
    <row r="18" spans="1:13" x14ac:dyDescent="0.3">
      <c r="A18" s="2" t="s">
        <v>7</v>
      </c>
      <c r="B18" s="3">
        <f t="shared" ref="B18:M18" si="6">-(-573.44+SQRT((-7.51*B8)+348513.3886))/3.755</f>
        <v>33.762290171936954</v>
      </c>
      <c r="C18" s="3">
        <f t="shared" si="6"/>
        <v>31.195190809722476</v>
      </c>
      <c r="D18" s="3">
        <f t="shared" si="6"/>
        <v>29.130772277943478</v>
      </c>
      <c r="E18" s="3">
        <f t="shared" si="6"/>
        <v>13.559763233227722</v>
      </c>
      <c r="F18" s="3">
        <f t="shared" si="6"/>
        <v>13.181347143085624</v>
      </c>
      <c r="G18" s="3">
        <f t="shared" si="6"/>
        <v>8.6753705842611026</v>
      </c>
      <c r="H18" s="3">
        <f t="shared" si="6"/>
        <v>17.419831881385004</v>
      </c>
      <c r="I18" s="3">
        <f t="shared" si="6"/>
        <v>4.8796835545389419</v>
      </c>
      <c r="J18" s="3">
        <f t="shared" si="6"/>
        <v>10.849436818772167</v>
      </c>
      <c r="K18" s="3">
        <f t="shared" si="6"/>
        <v>12.939165019642727</v>
      </c>
      <c r="L18" s="3">
        <f t="shared" si="6"/>
        <v>5.5296244446708744</v>
      </c>
      <c r="M18" s="3">
        <f t="shared" si="6"/>
        <v>10.186447343304987</v>
      </c>
    </row>
    <row r="19" spans="1:13" x14ac:dyDescent="0.3">
      <c r="A19" s="2" t="s">
        <v>8</v>
      </c>
      <c r="B19" s="3">
        <f t="shared" ref="B19:M19" si="7">-(-573.44+SQRT((-7.51*B9)+348513.3886))/3.755</f>
        <v>5.5821057493019817</v>
      </c>
      <c r="C19" s="3">
        <f t="shared" si="7"/>
        <v>2.3150856045915797</v>
      </c>
      <c r="D19" s="3">
        <f t="shared" si="7"/>
        <v>5.4337586564665941</v>
      </c>
      <c r="E19" s="3">
        <f t="shared" si="7"/>
        <v>6.0698102229669582</v>
      </c>
      <c r="F19" s="3">
        <f t="shared" si="7"/>
        <v>5.8121585131988596</v>
      </c>
      <c r="G19" s="3">
        <f t="shared" si="7"/>
        <v>5.9699618704471371</v>
      </c>
      <c r="H19" s="3">
        <f t="shared" si="7"/>
        <v>5.4283341570258887</v>
      </c>
      <c r="I19" s="3">
        <f t="shared" si="7"/>
        <v>5.6979928547546637</v>
      </c>
      <c r="J19" s="3">
        <f t="shared" si="7"/>
        <v>-4.4762840222832248</v>
      </c>
      <c r="K19" s="3">
        <f t="shared" si="7"/>
        <v>-4.4915310993142299</v>
      </c>
      <c r="L19" s="3">
        <f t="shared" si="7"/>
        <v>-4.4983071033421682</v>
      </c>
      <c r="M19" s="3">
        <f t="shared" si="7"/>
        <v>-4.4932251277020763</v>
      </c>
    </row>
    <row r="20" spans="1:13" ht="27.95" x14ac:dyDescent="0.3">
      <c r="A20" s="5" t="s">
        <v>23</v>
      </c>
      <c r="B20" s="6">
        <f xml:space="preserve"> 1000/(20/2.5)</f>
        <v>125</v>
      </c>
    </row>
    <row r="22" spans="1:13" x14ac:dyDescent="0.3">
      <c r="A22" s="1" t="s">
        <v>9</v>
      </c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</row>
    <row r="23" spans="1:13" x14ac:dyDescent="0.3">
      <c r="A23" s="2" t="s">
        <v>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" t="s">
        <v>3</v>
      </c>
      <c r="B25" s="3">
        <v>296.46985475228479</v>
      </c>
      <c r="C25" s="3">
        <v>232.58760612749859</v>
      </c>
      <c r="D25" s="3">
        <v>301.3417602259554</v>
      </c>
      <c r="E25" s="3">
        <v>324.61146147075755</v>
      </c>
      <c r="F25" s="3">
        <v>-200.68805637297334</v>
      </c>
      <c r="G25" s="3">
        <v>-148.63053266374197</v>
      </c>
      <c r="H25" s="3">
        <v>-263.5742876245925</v>
      </c>
      <c r="I25" s="3">
        <v>-22.547892926405975</v>
      </c>
      <c r="J25" s="3">
        <v>-250.02366811530374</v>
      </c>
      <c r="K25" s="3">
        <v>-9.0441396085940706</v>
      </c>
      <c r="L25" s="3">
        <v>251.57490724046883</v>
      </c>
      <c r="M25" s="3">
        <v>52.934197963688113</v>
      </c>
    </row>
    <row r="26" spans="1:13" x14ac:dyDescent="0.3">
      <c r="A26" s="2" t="s">
        <v>4</v>
      </c>
      <c r="B26" s="3">
        <v>1437.3206953374458</v>
      </c>
      <c r="C26" s="3">
        <v>605.45743613761579</v>
      </c>
      <c r="D26" s="3">
        <v>687.35853004202716</v>
      </c>
      <c r="E26" s="3">
        <v>983.9370177610673</v>
      </c>
      <c r="F26" s="3">
        <v>441.39551944204368</v>
      </c>
      <c r="G26" s="3">
        <v>452.33270300395674</v>
      </c>
      <c r="H26" s="3">
        <v>292.04194552020874</v>
      </c>
      <c r="I26" s="3">
        <v>446.08209814281952</v>
      </c>
      <c r="J26" s="3">
        <v>613.1132030415647</v>
      </c>
      <c r="K26" s="3">
        <v>343.69197312590035</v>
      </c>
      <c r="L26" s="3">
        <v>106.56400920520153</v>
      </c>
      <c r="M26" s="3">
        <v>257.98191815150506</v>
      </c>
    </row>
    <row r="27" spans="1:13" x14ac:dyDescent="0.3">
      <c r="A27" s="2" t="s">
        <v>5</v>
      </c>
      <c r="B27" s="3">
        <v>1354.7717372900422</v>
      </c>
      <c r="C27" s="3">
        <v>854.77416262147801</v>
      </c>
      <c r="D27" s="3">
        <v>933.4450350417311</v>
      </c>
      <c r="E27" s="3">
        <v>707.94741729878422</v>
      </c>
      <c r="F27" s="3">
        <v>540.06233114045745</v>
      </c>
      <c r="G27" s="3">
        <v>624.37745003070188</v>
      </c>
      <c r="H27" s="3">
        <v>264.39110968255858</v>
      </c>
      <c r="I27" s="3">
        <v>2173.5426565090711</v>
      </c>
      <c r="J27" s="3">
        <v>549.48655629668974</v>
      </c>
      <c r="K27" s="3">
        <v>396.15250211011005</v>
      </c>
      <c r="L27" s="3">
        <v>835.61533897322352</v>
      </c>
      <c r="M27" s="3">
        <v>249.36609834344927</v>
      </c>
    </row>
    <row r="28" spans="1:13" x14ac:dyDescent="0.3">
      <c r="A28" s="2" t="s">
        <v>6</v>
      </c>
      <c r="B28" s="3">
        <v>3965.0125448128038</v>
      </c>
      <c r="C28" s="3">
        <v>3808.1763602141878</v>
      </c>
      <c r="D28" s="3">
        <v>3884.3395421581668</v>
      </c>
      <c r="E28" s="3">
        <v>3231.1617668460249</v>
      </c>
      <c r="F28" s="3">
        <v>2208.5096494352756</v>
      </c>
      <c r="G28" s="3">
        <v>2458.8392402902873</v>
      </c>
      <c r="H28" s="3">
        <v>2710.4542088327489</v>
      </c>
      <c r="I28" s="3">
        <v>2588.7058802676402</v>
      </c>
      <c r="J28" s="3">
        <v>2982.5210808563052</v>
      </c>
      <c r="K28" s="3">
        <v>2177.7250361360711</v>
      </c>
      <c r="L28" s="3">
        <v>2041.468616731979</v>
      </c>
      <c r="M28" s="3">
        <v>2104.5595863734648</v>
      </c>
    </row>
    <row r="29" spans="1:13" x14ac:dyDescent="0.3">
      <c r="A29" s="2" t="s">
        <v>7</v>
      </c>
      <c r="B29" s="3">
        <v>4220.2862714921193</v>
      </c>
      <c r="C29" s="3">
        <v>3899.3988512153096</v>
      </c>
      <c r="D29" s="3">
        <v>3641.3465347429346</v>
      </c>
      <c r="E29" s="3">
        <v>1694.9704041534653</v>
      </c>
      <c r="F29" s="3">
        <v>1647.668392885703</v>
      </c>
      <c r="G29" s="3">
        <v>1084.4213230326379</v>
      </c>
      <c r="H29" s="3">
        <v>2177.4789851731257</v>
      </c>
      <c r="I29" s="3">
        <v>609.96044431736777</v>
      </c>
      <c r="J29" s="3">
        <v>1356.1796023465208</v>
      </c>
      <c r="K29" s="3">
        <v>1617.3956274553409</v>
      </c>
      <c r="L29" s="3">
        <v>691.20305558385928</v>
      </c>
      <c r="M29" s="3">
        <v>1273.3059179131235</v>
      </c>
    </row>
    <row r="30" spans="1:13" x14ac:dyDescent="0.3">
      <c r="A30" s="2" t="s">
        <v>8</v>
      </c>
      <c r="B30" s="3">
        <v>697.7632186627477</v>
      </c>
      <c r="C30" s="3">
        <v>289.38570057394747</v>
      </c>
      <c r="D30" s="3">
        <v>679.2198320583243</v>
      </c>
      <c r="E30" s="3">
        <v>758.72627787086981</v>
      </c>
      <c r="F30" s="3">
        <v>726.51981414985744</v>
      </c>
      <c r="G30" s="3">
        <v>746.2452338058921</v>
      </c>
      <c r="H30" s="3">
        <v>678.54176962823612</v>
      </c>
      <c r="I30" s="3">
        <v>712.24910684433291</v>
      </c>
      <c r="J30" s="3">
        <v>-559.53550278540308</v>
      </c>
      <c r="K30" s="3">
        <v>-561.44138741427878</v>
      </c>
      <c r="L30" s="3">
        <v>-562.28838791777105</v>
      </c>
      <c r="M30" s="3">
        <v>-561.65314096275949</v>
      </c>
    </row>
    <row r="33" spans="2:16" x14ac:dyDescent="0.3">
      <c r="B33" s="8" t="s">
        <v>24</v>
      </c>
      <c r="C33" s="8"/>
      <c r="D33" s="8"/>
      <c r="E33" s="8"/>
      <c r="F33" s="8"/>
      <c r="G33" s="8" t="s">
        <v>26</v>
      </c>
      <c r="H33" s="8"/>
      <c r="I33" s="8"/>
      <c r="J33" s="8"/>
      <c r="K33" s="8"/>
      <c r="L33" s="8" t="s">
        <v>27</v>
      </c>
      <c r="M33" s="8"/>
      <c r="N33" s="8"/>
      <c r="O33" s="8"/>
      <c r="P33" s="8"/>
    </row>
    <row r="34" spans="2:16" x14ac:dyDescent="0.3">
      <c r="B34" t="s">
        <v>25</v>
      </c>
      <c r="C34">
        <v>12</v>
      </c>
      <c r="D34">
        <v>18</v>
      </c>
      <c r="E34">
        <v>24</v>
      </c>
      <c r="F34">
        <v>48</v>
      </c>
      <c r="G34" t="s">
        <v>25</v>
      </c>
      <c r="H34">
        <v>12</v>
      </c>
      <c r="I34">
        <v>18</v>
      </c>
      <c r="J34">
        <v>24</v>
      </c>
      <c r="K34">
        <v>48</v>
      </c>
      <c r="L34" t="s">
        <v>25</v>
      </c>
      <c r="M34">
        <v>12</v>
      </c>
      <c r="N34">
        <v>18</v>
      </c>
      <c r="O34">
        <v>24</v>
      </c>
      <c r="P34">
        <v>48</v>
      </c>
    </row>
    <row r="35" spans="2:16" x14ac:dyDescent="0.3">
      <c r="B35" s="3">
        <v>296.46985475228479</v>
      </c>
      <c r="C35" s="3">
        <v>1437.3206953374499</v>
      </c>
      <c r="D35" s="3">
        <v>1354.7717372900422</v>
      </c>
      <c r="E35" s="3">
        <v>3965.0125448128038</v>
      </c>
      <c r="F35" s="3">
        <v>4220.2862714921193</v>
      </c>
      <c r="G35" s="3">
        <v>-200.68805637297334</v>
      </c>
      <c r="H35" s="3">
        <v>441.39551944204368</v>
      </c>
      <c r="I35" s="3">
        <v>540.06233114045745</v>
      </c>
      <c r="J35" s="3">
        <v>2208.5096494352756</v>
      </c>
      <c r="K35" s="3">
        <v>1647.668392885703</v>
      </c>
      <c r="L35" s="3">
        <v>-250.02366811530374</v>
      </c>
      <c r="M35" s="3">
        <v>613.1132030415647</v>
      </c>
      <c r="N35" s="3">
        <v>549.48655629668974</v>
      </c>
      <c r="O35" s="3"/>
      <c r="P35" s="3">
        <v>1356.1796023465208</v>
      </c>
    </row>
    <row r="36" spans="2:16" x14ac:dyDescent="0.3">
      <c r="B36" s="3">
        <v>232.58760612749859</v>
      </c>
      <c r="C36" s="3">
        <v>605.45743613761579</v>
      </c>
      <c r="D36" s="3">
        <v>854.77416262147801</v>
      </c>
      <c r="E36" s="3">
        <v>3808.1763602141878</v>
      </c>
      <c r="F36" s="3">
        <v>3899.3988512153096</v>
      </c>
      <c r="G36" s="3">
        <v>-148.63053266374197</v>
      </c>
      <c r="H36" s="3">
        <v>452.33270300395674</v>
      </c>
      <c r="I36" s="3">
        <v>624.37745003070188</v>
      </c>
      <c r="J36" s="3">
        <v>2458.8392402902873</v>
      </c>
      <c r="K36" s="3">
        <v>1084.4213230326379</v>
      </c>
      <c r="L36" s="3">
        <v>-9.0441396085940706</v>
      </c>
      <c r="M36" s="3">
        <v>343.69197312590035</v>
      </c>
      <c r="N36" s="3">
        <v>396.15250211011005</v>
      </c>
      <c r="O36" s="3">
        <v>2177.7250361360711</v>
      </c>
      <c r="P36" s="3">
        <v>1617.3956274553409</v>
      </c>
    </row>
    <row r="37" spans="2:16" x14ac:dyDescent="0.3">
      <c r="B37" s="3">
        <v>301.3417602259554</v>
      </c>
      <c r="C37" s="3">
        <v>687.35853004202716</v>
      </c>
      <c r="D37" s="3">
        <v>933.4450350417311</v>
      </c>
      <c r="E37" s="3">
        <v>3884.3395421581668</v>
      </c>
      <c r="F37" s="3">
        <v>3641.3465347429346</v>
      </c>
      <c r="G37" s="3">
        <v>-263.5742876245925</v>
      </c>
      <c r="H37" s="3">
        <v>292.04194552020874</v>
      </c>
      <c r="I37" s="3">
        <v>264.39110968255858</v>
      </c>
      <c r="J37" s="3">
        <v>2710.4542088327489</v>
      </c>
      <c r="K37" s="3"/>
      <c r="L37" s="3">
        <v>251.57490724046883</v>
      </c>
      <c r="M37" s="3">
        <v>106.56400920520153</v>
      </c>
      <c r="N37" s="3"/>
      <c r="O37" s="3">
        <v>2041.468616731979</v>
      </c>
      <c r="P37" s="3"/>
    </row>
    <row r="38" spans="2:16" x14ac:dyDescent="0.3">
      <c r="B38" s="3">
        <v>324.61146147075755</v>
      </c>
      <c r="C38" s="3">
        <v>983.9370177610673</v>
      </c>
      <c r="D38" s="3">
        <v>707.94741729878422</v>
      </c>
      <c r="E38" s="3">
        <v>3231.1617668460249</v>
      </c>
      <c r="F38" s="3"/>
      <c r="G38" s="3">
        <v>-22.547892926405975</v>
      </c>
      <c r="H38" s="3">
        <v>446.08209814281952</v>
      </c>
      <c r="I38" s="3"/>
      <c r="J38" s="3">
        <v>2588.7058802676402</v>
      </c>
      <c r="K38" s="3"/>
      <c r="L38" s="3">
        <v>52.934197963688113</v>
      </c>
      <c r="M38" s="3">
        <v>257.98191815150506</v>
      </c>
      <c r="N38" s="3">
        <v>249.36609834344927</v>
      </c>
      <c r="O38" s="3">
        <v>2104.5595863734648</v>
      </c>
      <c r="P38" s="3">
        <v>1273.3059179131235</v>
      </c>
    </row>
    <row r="40" spans="2:16" x14ac:dyDescent="0.3">
      <c r="B40">
        <f>AVERAGE(B35:B38)</f>
        <v>288.75267064412407</v>
      </c>
      <c r="C40">
        <f t="shared" ref="C40:P40" si="8">AVERAGE(C35:C38)</f>
        <v>928.51841981953999</v>
      </c>
      <c r="D40">
        <f t="shared" si="8"/>
        <v>962.73458806300891</v>
      </c>
      <c r="E40">
        <f t="shared" si="8"/>
        <v>3722.1725535077958</v>
      </c>
      <c r="F40">
        <f t="shared" si="8"/>
        <v>3920.3438858167879</v>
      </c>
      <c r="G40">
        <f t="shared" si="8"/>
        <v>-158.86019239692845</v>
      </c>
      <c r="H40">
        <f t="shared" si="8"/>
        <v>407.96306652725718</v>
      </c>
      <c r="I40">
        <f t="shared" si="8"/>
        <v>476.27696361790595</v>
      </c>
      <c r="J40">
        <f t="shared" si="8"/>
        <v>2491.627244706488</v>
      </c>
      <c r="K40">
        <f t="shared" si="8"/>
        <v>1366.0448579591705</v>
      </c>
      <c r="L40">
        <f t="shared" si="8"/>
        <v>11.360324370064779</v>
      </c>
      <c r="M40">
        <f t="shared" si="8"/>
        <v>330.33777588104294</v>
      </c>
      <c r="N40">
        <f t="shared" si="8"/>
        <v>398.33505225008304</v>
      </c>
      <c r="O40">
        <f t="shared" si="8"/>
        <v>2107.9177464138379</v>
      </c>
      <c r="P40">
        <f t="shared" si="8"/>
        <v>1415.6270492383283</v>
      </c>
    </row>
    <row r="41" spans="2:16" x14ac:dyDescent="0.3">
      <c r="B41">
        <f>STDEV(B35:B38)</f>
        <v>39.405614907707537</v>
      </c>
      <c r="C41">
        <f t="shared" ref="C41:P41" si="9">STDEV(C35:C38)</f>
        <v>376.15487421408551</v>
      </c>
      <c r="D41">
        <f t="shared" si="9"/>
        <v>277.56258161466928</v>
      </c>
      <c r="E41">
        <f t="shared" si="9"/>
        <v>333.5454196813119</v>
      </c>
      <c r="F41">
        <f t="shared" si="9"/>
        <v>290.03762782205803</v>
      </c>
      <c r="G41">
        <f t="shared" si="9"/>
        <v>102.30721849629344</v>
      </c>
      <c r="H41">
        <f t="shared" si="9"/>
        <v>77.410508364633245</v>
      </c>
      <c r="I41">
        <f t="shared" si="9"/>
        <v>188.27897158685181</v>
      </c>
      <c r="J41">
        <f t="shared" si="9"/>
        <v>214.89542239337541</v>
      </c>
      <c r="K41">
        <f t="shared" si="9"/>
        <v>398.27582257655524</v>
      </c>
      <c r="L41">
        <f t="shared" si="9"/>
        <v>206.69572360277829</v>
      </c>
      <c r="M41">
        <f t="shared" si="9"/>
        <v>212.48556467827882</v>
      </c>
      <c r="N41">
        <f t="shared" si="9"/>
        <v>150.07213253749276</v>
      </c>
      <c r="O41">
        <f t="shared" si="9"/>
        <v>68.190255068803921</v>
      </c>
      <c r="P41">
        <f t="shared" si="9"/>
        <v>179.58265857169565</v>
      </c>
    </row>
  </sheetData>
  <mergeCells count="3">
    <mergeCell ref="B33:F33"/>
    <mergeCell ref="G33:K33"/>
    <mergeCell ref="L33:P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B40C-BE6C-47CD-9E2B-642FB10DF5E7}">
  <dimension ref="A1:AE51"/>
  <sheetViews>
    <sheetView tabSelected="1" topLeftCell="A49" workbookViewId="0">
      <selection activeCell="A60" sqref="A60"/>
    </sheetView>
  </sheetViews>
  <sheetFormatPr defaultRowHeight="14" x14ac:dyDescent="0.3"/>
  <cols>
    <col min="2" max="2" width="11.5" bestFit="1" customWidth="1"/>
    <col min="16" max="16" width="11.5" bestFit="1" customWidth="1"/>
    <col min="18" max="18" width="11.5" bestFit="1" customWidth="1"/>
  </cols>
  <sheetData>
    <row r="1" spans="1:29" x14ac:dyDescent="0.3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Q1" s="1" t="s">
        <v>13</v>
      </c>
      <c r="R1" s="2">
        <v>1</v>
      </c>
      <c r="S1" s="2">
        <v>2</v>
      </c>
      <c r="T1" s="2">
        <v>3</v>
      </c>
      <c r="U1" s="2">
        <v>4</v>
      </c>
      <c r="V1" s="2">
        <v>5</v>
      </c>
      <c r="W1" s="2">
        <v>6</v>
      </c>
      <c r="X1" s="2">
        <v>7</v>
      </c>
      <c r="Y1" s="2">
        <v>8</v>
      </c>
      <c r="Z1" s="2">
        <v>9</v>
      </c>
      <c r="AA1" s="2">
        <v>10</v>
      </c>
      <c r="AB1" s="2">
        <v>11</v>
      </c>
      <c r="AC1" s="2">
        <v>12</v>
      </c>
    </row>
    <row r="2" spans="1:29" x14ac:dyDescent="0.3">
      <c r="A2" s="2" t="s">
        <v>0</v>
      </c>
      <c r="B2" s="3">
        <v>31612</v>
      </c>
      <c r="C2" s="3">
        <v>20196</v>
      </c>
      <c r="D2" s="3">
        <v>21974</v>
      </c>
      <c r="E2" s="3">
        <v>18931</v>
      </c>
      <c r="F2" s="3">
        <v>16964</v>
      </c>
      <c r="G2" s="3">
        <v>15815</v>
      </c>
      <c r="H2" s="3">
        <v>13164</v>
      </c>
      <c r="I2" s="3">
        <v>9267</v>
      </c>
      <c r="J2" s="3">
        <v>5811</v>
      </c>
      <c r="K2" s="3">
        <v>3950</v>
      </c>
      <c r="L2" s="3">
        <v>2496</v>
      </c>
      <c r="M2" s="3">
        <v>1842</v>
      </c>
      <c r="Q2" s="2" t="s">
        <v>0</v>
      </c>
      <c r="R2" s="3">
        <v>27037</v>
      </c>
      <c r="S2" s="3">
        <v>18621</v>
      </c>
      <c r="T2" s="3">
        <v>20212</v>
      </c>
      <c r="U2" s="3">
        <v>17097</v>
      </c>
      <c r="V2" s="3">
        <v>16581</v>
      </c>
      <c r="W2" s="3">
        <v>14877</v>
      </c>
      <c r="X2" s="3">
        <v>12508</v>
      </c>
      <c r="Y2" s="3">
        <v>8681</v>
      </c>
      <c r="Z2" s="3">
        <v>5056</v>
      </c>
      <c r="AA2" s="3">
        <v>3716</v>
      </c>
      <c r="AB2" s="3">
        <v>2403</v>
      </c>
      <c r="AC2" s="3">
        <v>1595</v>
      </c>
    </row>
    <row r="3" spans="1:29" x14ac:dyDescent="0.3">
      <c r="A3" s="2" t="s">
        <v>2</v>
      </c>
      <c r="B3" s="3">
        <v>33304</v>
      </c>
      <c r="C3" s="3">
        <v>22979</v>
      </c>
      <c r="D3" s="3">
        <v>21299</v>
      </c>
      <c r="E3" s="3">
        <v>20519</v>
      </c>
      <c r="F3" s="3">
        <v>19861</v>
      </c>
      <c r="G3" s="3">
        <v>15915</v>
      </c>
      <c r="H3" s="3">
        <v>13635</v>
      </c>
      <c r="I3" s="3">
        <v>10686</v>
      </c>
      <c r="J3" s="3">
        <v>11734</v>
      </c>
      <c r="K3" s="3">
        <v>4246</v>
      </c>
      <c r="L3" s="3">
        <v>3161</v>
      </c>
      <c r="M3" s="3">
        <v>2221</v>
      </c>
      <c r="Q3" s="2" t="s">
        <v>2</v>
      </c>
      <c r="R3" s="3">
        <v>25850</v>
      </c>
      <c r="S3" s="3">
        <v>19419</v>
      </c>
      <c r="T3" s="3">
        <v>19297</v>
      </c>
      <c r="U3" s="3">
        <v>18646</v>
      </c>
      <c r="V3" s="3">
        <v>15220</v>
      </c>
      <c r="W3" s="3">
        <v>14896</v>
      </c>
      <c r="X3" s="3">
        <v>13657</v>
      </c>
      <c r="Y3" s="3">
        <v>8940</v>
      </c>
      <c r="Z3" s="3">
        <v>5190</v>
      </c>
      <c r="AA3" s="3">
        <v>3502</v>
      </c>
      <c r="AB3" s="3">
        <v>2729</v>
      </c>
      <c r="AC3" s="3">
        <v>1906</v>
      </c>
    </row>
    <row r="4" spans="1:29" x14ac:dyDescent="0.3">
      <c r="A4" s="2" t="s">
        <v>3</v>
      </c>
      <c r="B4" s="3">
        <v>3212</v>
      </c>
      <c r="C4" s="3">
        <v>2434</v>
      </c>
      <c r="D4" s="3">
        <v>3878</v>
      </c>
      <c r="E4" s="3">
        <v>3094</v>
      </c>
      <c r="F4" s="3">
        <v>1179</v>
      </c>
      <c r="G4" s="3">
        <v>1338</v>
      </c>
      <c r="H4" s="3">
        <v>1466</v>
      </c>
      <c r="I4" s="3">
        <v>1794</v>
      </c>
      <c r="J4" s="3">
        <v>1361</v>
      </c>
      <c r="K4" s="3">
        <v>1670</v>
      </c>
      <c r="L4" s="3">
        <v>3203</v>
      </c>
      <c r="M4" s="3">
        <v>2602</v>
      </c>
      <c r="Q4" s="2" t="s">
        <v>3</v>
      </c>
      <c r="R4" s="3">
        <v>16719</v>
      </c>
      <c r="S4" s="3">
        <v>23548</v>
      </c>
      <c r="T4" s="3">
        <v>25002</v>
      </c>
      <c r="U4" s="3">
        <v>20060</v>
      </c>
      <c r="V4" s="3">
        <v>2980</v>
      </c>
      <c r="W4" s="3">
        <v>4054</v>
      </c>
      <c r="X4" s="3">
        <v>2922</v>
      </c>
      <c r="Y4" s="3">
        <v>5040</v>
      </c>
      <c r="Z4" s="3">
        <v>2431</v>
      </c>
      <c r="AA4" s="3">
        <v>3500</v>
      </c>
      <c r="AB4" s="3">
        <v>6097</v>
      </c>
      <c r="AC4" s="3">
        <v>7375</v>
      </c>
    </row>
    <row r="5" spans="1:29" x14ac:dyDescent="0.3">
      <c r="A5" s="2" t="s">
        <v>4</v>
      </c>
      <c r="B5" s="3">
        <v>7283</v>
      </c>
      <c r="C5" s="3">
        <v>4209</v>
      </c>
      <c r="D5" s="3">
        <v>4642</v>
      </c>
      <c r="E5" s="3">
        <v>5129</v>
      </c>
      <c r="F5" s="3">
        <v>3777</v>
      </c>
      <c r="G5" s="3">
        <v>3881</v>
      </c>
      <c r="H5" s="3">
        <v>3277</v>
      </c>
      <c r="I5" s="3">
        <v>3701</v>
      </c>
      <c r="J5" s="3">
        <v>4449</v>
      </c>
      <c r="K5" s="3">
        <v>3448</v>
      </c>
      <c r="L5" s="3">
        <v>2840</v>
      </c>
      <c r="M5" s="3">
        <v>3348</v>
      </c>
      <c r="Q5" s="2" t="s">
        <v>4</v>
      </c>
      <c r="R5" s="3">
        <v>31825</v>
      </c>
      <c r="S5" s="3">
        <v>20858</v>
      </c>
      <c r="T5" s="3">
        <v>29154</v>
      </c>
      <c r="U5" s="3">
        <v>26478</v>
      </c>
      <c r="V5" s="3">
        <v>16169</v>
      </c>
      <c r="W5" s="3">
        <v>18729</v>
      </c>
      <c r="X5" s="3">
        <v>13292</v>
      </c>
      <c r="Y5" s="3">
        <v>15570</v>
      </c>
      <c r="Z5" s="3">
        <v>10857</v>
      </c>
      <c r="AA5" s="3">
        <v>8617</v>
      </c>
      <c r="AB5" s="3">
        <v>10207</v>
      </c>
      <c r="AC5" s="3">
        <v>7195</v>
      </c>
    </row>
    <row r="6" spans="1:29" x14ac:dyDescent="0.3">
      <c r="A6" s="2" t="s">
        <v>5</v>
      </c>
      <c r="B6" s="3">
        <v>6546</v>
      </c>
      <c r="C6" s="3">
        <v>5262</v>
      </c>
      <c r="D6" s="3">
        <v>6247</v>
      </c>
      <c r="E6" s="3">
        <v>5044</v>
      </c>
      <c r="F6" s="3">
        <v>4870</v>
      </c>
      <c r="G6" s="3">
        <v>3998</v>
      </c>
      <c r="H6" s="3">
        <v>3248</v>
      </c>
      <c r="I6" s="3">
        <v>10312</v>
      </c>
      <c r="J6" s="3">
        <v>4608</v>
      </c>
      <c r="K6" s="3">
        <v>3443</v>
      </c>
      <c r="L6" s="3">
        <v>5316</v>
      </c>
      <c r="M6" s="3">
        <v>3042</v>
      </c>
      <c r="Q6" s="2" t="s">
        <v>5</v>
      </c>
      <c r="R6" s="3">
        <v>22179</v>
      </c>
      <c r="S6" s="3">
        <v>23986</v>
      </c>
      <c r="T6" s="3">
        <v>29012</v>
      </c>
      <c r="U6" s="3">
        <v>23196</v>
      </c>
      <c r="V6" s="3">
        <v>13470</v>
      </c>
      <c r="W6" s="3">
        <v>9711</v>
      </c>
      <c r="X6" s="3">
        <v>6748</v>
      </c>
      <c r="Y6" s="3">
        <v>19193</v>
      </c>
      <c r="Z6" s="3">
        <v>19078</v>
      </c>
      <c r="AA6" s="3">
        <v>22864</v>
      </c>
      <c r="AB6" s="3">
        <v>20837</v>
      </c>
      <c r="AC6" s="3">
        <v>16140</v>
      </c>
    </row>
    <row r="7" spans="1:29" x14ac:dyDescent="0.3">
      <c r="A7" s="2" t="s">
        <v>6</v>
      </c>
      <c r="B7" s="3">
        <v>15083</v>
      </c>
      <c r="C7" s="3">
        <v>14958</v>
      </c>
      <c r="D7" s="3">
        <v>14698</v>
      </c>
      <c r="E7" s="3">
        <v>13409</v>
      </c>
      <c r="F7" s="3">
        <v>9962</v>
      </c>
      <c r="G7" s="3">
        <v>10271</v>
      </c>
      <c r="H7" s="3">
        <v>11679</v>
      </c>
      <c r="I7" s="3">
        <v>10851</v>
      </c>
      <c r="J7" s="3">
        <v>11809</v>
      </c>
      <c r="K7" s="3">
        <v>9507</v>
      </c>
      <c r="L7" s="3">
        <v>10366</v>
      </c>
      <c r="M7" s="3">
        <v>9969</v>
      </c>
      <c r="Q7" s="2" t="s">
        <v>6</v>
      </c>
      <c r="R7" s="3">
        <v>24529</v>
      </c>
      <c r="S7" s="3">
        <v>27835</v>
      </c>
      <c r="T7" s="3">
        <v>23769</v>
      </c>
      <c r="U7" s="3">
        <v>22529</v>
      </c>
      <c r="V7" s="3">
        <v>24353</v>
      </c>
      <c r="W7" s="3">
        <v>23217</v>
      </c>
      <c r="X7" s="3">
        <v>25940</v>
      </c>
      <c r="Y7" s="3">
        <v>28388</v>
      </c>
      <c r="Z7" s="3">
        <v>23141</v>
      </c>
      <c r="AA7" s="3">
        <v>22671</v>
      </c>
      <c r="AB7" s="3">
        <v>18482</v>
      </c>
      <c r="AC7" s="3">
        <v>25944</v>
      </c>
    </row>
    <row r="8" spans="1:29" x14ac:dyDescent="0.3">
      <c r="A8" s="2" t="s">
        <v>7</v>
      </c>
      <c r="B8" s="3">
        <v>16037</v>
      </c>
      <c r="C8" s="3">
        <v>16168</v>
      </c>
      <c r="D8" s="3">
        <v>14578</v>
      </c>
      <c r="E8" s="3">
        <v>8345</v>
      </c>
      <c r="F8" s="3">
        <v>8212</v>
      </c>
      <c r="G8" s="3">
        <v>6033</v>
      </c>
      <c r="H8" s="3">
        <v>9512</v>
      </c>
      <c r="I8" s="3">
        <v>4826</v>
      </c>
      <c r="J8" s="3">
        <v>6480</v>
      </c>
      <c r="K8" s="3">
        <v>8006</v>
      </c>
      <c r="L8" s="3">
        <v>4586</v>
      </c>
      <c r="M8" s="3">
        <v>5892</v>
      </c>
      <c r="Q8" s="2" t="s">
        <v>7</v>
      </c>
      <c r="R8" s="3">
        <v>41947</v>
      </c>
      <c r="S8" s="3">
        <v>38820</v>
      </c>
      <c r="T8" s="3">
        <v>37103</v>
      </c>
      <c r="U8" s="3">
        <v>37461</v>
      </c>
      <c r="V8" s="3">
        <v>37687</v>
      </c>
      <c r="W8" s="3">
        <v>39099</v>
      </c>
      <c r="X8" s="3">
        <v>38884</v>
      </c>
      <c r="Y8" s="3">
        <v>30385</v>
      </c>
      <c r="Z8" s="3">
        <v>37513</v>
      </c>
      <c r="AA8" s="3">
        <v>36775</v>
      </c>
      <c r="AB8" s="3">
        <v>32038</v>
      </c>
      <c r="AC8" s="3">
        <v>37037</v>
      </c>
    </row>
    <row r="9" spans="1:29" x14ac:dyDescent="0.3">
      <c r="A9" s="2" t="s">
        <v>8</v>
      </c>
      <c r="B9" s="3">
        <v>4738</v>
      </c>
      <c r="C9" s="3">
        <v>3202</v>
      </c>
      <c r="D9" s="3">
        <v>4855</v>
      </c>
      <c r="E9" s="3">
        <v>4961</v>
      </c>
      <c r="F9" s="3">
        <v>4469</v>
      </c>
      <c r="G9" s="3">
        <v>4581</v>
      </c>
      <c r="H9" s="3">
        <v>5029</v>
      </c>
      <c r="I9" s="3">
        <v>4739</v>
      </c>
      <c r="J9" s="3">
        <v>22</v>
      </c>
      <c r="K9" s="3">
        <v>29</v>
      </c>
      <c r="L9" s="3">
        <v>33</v>
      </c>
      <c r="M9" s="3">
        <v>17</v>
      </c>
      <c r="Q9" s="2" t="s">
        <v>8</v>
      </c>
      <c r="R9" s="3">
        <v>4351</v>
      </c>
      <c r="S9" s="3">
        <v>4723</v>
      </c>
      <c r="T9" s="3">
        <v>3983</v>
      </c>
      <c r="U9" s="3">
        <v>4958</v>
      </c>
      <c r="V9" s="3">
        <v>3887</v>
      </c>
      <c r="W9" s="3">
        <v>4502</v>
      </c>
      <c r="X9" s="3">
        <v>3839</v>
      </c>
      <c r="Y9" s="3">
        <v>4048</v>
      </c>
      <c r="Z9" s="3">
        <v>27</v>
      </c>
      <c r="AA9" s="3">
        <v>15</v>
      </c>
      <c r="AB9" s="3">
        <v>33</v>
      </c>
      <c r="AC9" s="3">
        <v>26</v>
      </c>
    </row>
    <row r="11" spans="1:29" x14ac:dyDescent="0.3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Q11" s="1" t="s">
        <v>13</v>
      </c>
      <c r="R11" s="2">
        <v>1</v>
      </c>
      <c r="S11" s="2">
        <v>2</v>
      </c>
      <c r="T11" s="2">
        <v>3</v>
      </c>
      <c r="U11" s="2">
        <v>4</v>
      </c>
      <c r="V11" s="2">
        <v>5</v>
      </c>
      <c r="W11" s="2">
        <v>6</v>
      </c>
      <c r="X11" s="2">
        <v>7</v>
      </c>
      <c r="Y11" s="2">
        <v>8</v>
      </c>
      <c r="Z11" s="2">
        <v>9</v>
      </c>
      <c r="AA11" s="2">
        <v>10</v>
      </c>
      <c r="AB11" s="2">
        <v>11</v>
      </c>
      <c r="AC11" s="2">
        <v>12</v>
      </c>
    </row>
    <row r="12" spans="1:29" x14ac:dyDescent="0.3">
      <c r="A12" s="2" t="s">
        <v>0</v>
      </c>
      <c r="B12" s="3">
        <f>0.000001*B2^1.8013</f>
        <v>127.52148440203686</v>
      </c>
      <c r="C12" s="3">
        <f t="shared" ref="C12:M12" si="0">0.000001*C2^1.8013</f>
        <v>56.895051728148275</v>
      </c>
      <c r="D12" s="3">
        <f t="shared" si="0"/>
        <v>66.233986953279569</v>
      </c>
      <c r="E12" s="3">
        <f t="shared" si="0"/>
        <v>50.63755471964464</v>
      </c>
      <c r="F12" s="3">
        <f t="shared" si="0"/>
        <v>41.557485456044866</v>
      </c>
      <c r="G12" s="3">
        <f t="shared" si="0"/>
        <v>36.625481526928702</v>
      </c>
      <c r="H12" s="3">
        <f t="shared" si="0"/>
        <v>26.31802994633949</v>
      </c>
      <c r="I12" s="3">
        <f t="shared" si="0"/>
        <v>13.984518388861996</v>
      </c>
      <c r="J12" s="3">
        <f t="shared" si="0"/>
        <v>6.0331635969674728</v>
      </c>
      <c r="K12" s="3">
        <f t="shared" si="0"/>
        <v>3.0098880890809907</v>
      </c>
      <c r="L12" s="3">
        <f t="shared" si="0"/>
        <v>1.316608527926513</v>
      </c>
      <c r="M12" s="3">
        <f t="shared" si="0"/>
        <v>0.76166886484515517</v>
      </c>
      <c r="Q12" s="2" t="s">
        <v>0</v>
      </c>
      <c r="R12" s="3">
        <f>0.000001*R2^1.795</f>
        <v>90.233023405702227</v>
      </c>
      <c r="S12" s="3">
        <f t="shared" ref="S12:AC12" si="1">0.000001*S2^1.795</f>
        <v>46.201426531097916</v>
      </c>
      <c r="T12" s="3">
        <f t="shared" si="1"/>
        <v>53.526478823535193</v>
      </c>
      <c r="U12" s="3">
        <f t="shared" si="1"/>
        <v>39.636129756670933</v>
      </c>
      <c r="V12" s="3">
        <f t="shared" si="1"/>
        <v>37.514679557167028</v>
      </c>
      <c r="W12" s="3">
        <f t="shared" si="1"/>
        <v>30.879131474738347</v>
      </c>
      <c r="X12" s="3">
        <f t="shared" si="1"/>
        <v>22.617897482645898</v>
      </c>
      <c r="Y12" s="3">
        <f t="shared" si="1"/>
        <v>11.741746838833544</v>
      </c>
      <c r="Z12" s="3">
        <f t="shared" si="1"/>
        <v>4.4497302298932837</v>
      </c>
      <c r="AA12" s="3">
        <f t="shared" si="1"/>
        <v>2.5602707290030304</v>
      </c>
      <c r="AB12" s="3">
        <f t="shared" si="1"/>
        <v>1.1707199485223934</v>
      </c>
      <c r="AC12" s="3">
        <f t="shared" si="1"/>
        <v>0.5609904057552314</v>
      </c>
    </row>
    <row r="13" spans="1:29" x14ac:dyDescent="0.3">
      <c r="A13" s="2" t="s">
        <v>2</v>
      </c>
      <c r="B13" s="3">
        <f t="shared" ref="B13:M13" si="2">0.000001*B3^1.8013</f>
        <v>140.0789125153193</v>
      </c>
      <c r="C13" s="3">
        <f t="shared" si="2"/>
        <v>71.790297938513973</v>
      </c>
      <c r="D13" s="3">
        <f t="shared" si="2"/>
        <v>62.614288702156024</v>
      </c>
      <c r="E13" s="3">
        <f t="shared" si="2"/>
        <v>58.544614104625595</v>
      </c>
      <c r="F13" s="3">
        <f t="shared" si="2"/>
        <v>55.206396718405301</v>
      </c>
      <c r="G13" s="3">
        <f t="shared" si="2"/>
        <v>37.043695527668405</v>
      </c>
      <c r="H13" s="3">
        <f t="shared" si="2"/>
        <v>28.038469765952581</v>
      </c>
      <c r="I13" s="3">
        <f t="shared" si="2"/>
        <v>18.076101256555944</v>
      </c>
      <c r="J13" s="3">
        <f t="shared" si="2"/>
        <v>21.394061056050713</v>
      </c>
      <c r="K13" s="3">
        <f t="shared" si="2"/>
        <v>3.4283121329545061</v>
      </c>
      <c r="L13" s="3">
        <f t="shared" si="2"/>
        <v>2.0148089174446651</v>
      </c>
      <c r="M13" s="3">
        <f t="shared" si="2"/>
        <v>1.0669348930032041</v>
      </c>
      <c r="Q13" s="2" t="s">
        <v>2</v>
      </c>
      <c r="R13" s="3">
        <f t="shared" ref="R13:AC13" si="3">0.000001*R3^1.795</f>
        <v>83.246634075851773</v>
      </c>
      <c r="S13" s="3">
        <f t="shared" si="3"/>
        <v>49.815812354143084</v>
      </c>
      <c r="T13" s="3">
        <f t="shared" si="3"/>
        <v>49.255437998564531</v>
      </c>
      <c r="U13" s="3">
        <f t="shared" si="3"/>
        <v>46.312827388715931</v>
      </c>
      <c r="V13" s="3">
        <f t="shared" si="3"/>
        <v>32.168758557143988</v>
      </c>
      <c r="W13" s="3">
        <f t="shared" si="3"/>
        <v>30.94995673310213</v>
      </c>
      <c r="X13" s="3">
        <f t="shared" si="3"/>
        <v>26.482731683693899</v>
      </c>
      <c r="Y13" s="3">
        <f t="shared" si="3"/>
        <v>12.378010485152323</v>
      </c>
      <c r="Z13" s="3">
        <f t="shared" si="3"/>
        <v>4.6636441746016732</v>
      </c>
      <c r="AA13" s="3">
        <f t="shared" si="3"/>
        <v>2.301693410809512</v>
      </c>
      <c r="AB13" s="3">
        <f t="shared" si="3"/>
        <v>1.4710463152934079</v>
      </c>
      <c r="AC13" s="3">
        <f t="shared" si="3"/>
        <v>0.77236146718256615</v>
      </c>
    </row>
    <row r="14" spans="1:29" x14ac:dyDescent="0.3">
      <c r="A14" s="2" t="s">
        <v>3</v>
      </c>
      <c r="B14" s="3">
        <f t="shared" ref="B14:M14" si="4">0.000001*B4^1.8013</f>
        <v>2.0737422409353221</v>
      </c>
      <c r="C14" s="3">
        <f t="shared" si="4"/>
        <v>1.2582856673664069</v>
      </c>
      <c r="D14" s="3">
        <f t="shared" si="4"/>
        <v>2.9117845590854148</v>
      </c>
      <c r="E14" s="3">
        <f t="shared" si="4"/>
        <v>1.9385376188703753</v>
      </c>
      <c r="F14" s="3">
        <f t="shared" si="4"/>
        <v>0.34097129350013</v>
      </c>
      <c r="G14" s="3">
        <f t="shared" si="4"/>
        <v>0.42823819231042254</v>
      </c>
      <c r="H14" s="3">
        <f t="shared" si="4"/>
        <v>0.50484390887942399</v>
      </c>
      <c r="I14" s="3">
        <f t="shared" si="4"/>
        <v>0.72629049212331798</v>
      </c>
      <c r="J14" s="3">
        <f t="shared" si="4"/>
        <v>0.44158940099019434</v>
      </c>
      <c r="K14" s="3">
        <f t="shared" si="4"/>
        <v>0.63837986339325881</v>
      </c>
      <c r="L14" s="3">
        <f t="shared" si="4"/>
        <v>2.0632873409044419</v>
      </c>
      <c r="M14" s="3">
        <f t="shared" si="4"/>
        <v>1.4190347326424553</v>
      </c>
      <c r="Q14" s="2" t="s">
        <v>3</v>
      </c>
      <c r="R14" s="3">
        <f t="shared" ref="R14:AC14" si="5">0.000001*R4^1.795</f>
        <v>38.076979003402393</v>
      </c>
      <c r="S14" s="3">
        <f t="shared" si="5"/>
        <v>70.413750764599357</v>
      </c>
      <c r="T14" s="3">
        <f t="shared" si="5"/>
        <v>78.408776614426188</v>
      </c>
      <c r="U14" s="3">
        <f t="shared" si="5"/>
        <v>52.80609065937692</v>
      </c>
      <c r="V14" s="3">
        <f t="shared" si="5"/>
        <v>1.7227338768272911</v>
      </c>
      <c r="W14" s="3">
        <f t="shared" si="5"/>
        <v>2.9933074123049033</v>
      </c>
      <c r="X14" s="3">
        <f t="shared" si="5"/>
        <v>1.6630142852688443</v>
      </c>
      <c r="Y14" s="3">
        <f t="shared" si="5"/>
        <v>4.4244858744650655</v>
      </c>
      <c r="Z14" s="3">
        <f t="shared" si="5"/>
        <v>1.1953194907582017</v>
      </c>
      <c r="AA14" s="3">
        <f t="shared" si="5"/>
        <v>2.2993344149659865</v>
      </c>
      <c r="AB14" s="3">
        <f t="shared" si="5"/>
        <v>6.2270674521630038</v>
      </c>
      <c r="AC14" s="3">
        <f t="shared" si="5"/>
        <v>8.7625969132900945</v>
      </c>
    </row>
    <row r="15" spans="1:29" x14ac:dyDescent="0.3">
      <c r="A15" s="2" t="s">
        <v>4</v>
      </c>
      <c r="B15" s="3">
        <f t="shared" ref="B15:M15" si="6">0.000001*B5^1.8013</f>
        <v>9.061071581961043</v>
      </c>
      <c r="C15" s="3">
        <f t="shared" si="6"/>
        <v>3.3746870034391128</v>
      </c>
      <c r="D15" s="3">
        <f t="shared" si="6"/>
        <v>4.0256495192768629</v>
      </c>
      <c r="E15" s="3">
        <f t="shared" si="6"/>
        <v>4.8181675774221349</v>
      </c>
      <c r="F15" s="3">
        <f t="shared" si="6"/>
        <v>2.7766098742155352</v>
      </c>
      <c r="G15" s="3">
        <f t="shared" si="6"/>
        <v>2.9158433185602743</v>
      </c>
      <c r="H15" s="3">
        <f t="shared" si="6"/>
        <v>2.1499468016974248</v>
      </c>
      <c r="I15" s="3">
        <f t="shared" si="6"/>
        <v>2.6767830155236227</v>
      </c>
      <c r="J15" s="3">
        <f t="shared" si="6"/>
        <v>3.7291948129334451</v>
      </c>
      <c r="K15" s="3">
        <f t="shared" si="6"/>
        <v>2.3562420395484365</v>
      </c>
      <c r="L15" s="3">
        <f t="shared" si="6"/>
        <v>1.66135455273029</v>
      </c>
      <c r="M15" s="3">
        <f t="shared" si="6"/>
        <v>2.2345806300406004</v>
      </c>
      <c r="Q15" s="2" t="s">
        <v>4</v>
      </c>
      <c r="R15" s="3">
        <f t="shared" ref="R15:AC15" si="7">0.000001*R5^1.795</f>
        <v>120.91197083679401</v>
      </c>
      <c r="S15" s="3">
        <f t="shared" si="7"/>
        <v>56.636242199030015</v>
      </c>
      <c r="T15" s="3">
        <f t="shared" si="7"/>
        <v>103.3078155018766</v>
      </c>
      <c r="U15" s="3">
        <f t="shared" si="7"/>
        <v>86.911829951862188</v>
      </c>
      <c r="V15" s="3">
        <f t="shared" si="7"/>
        <v>35.85801743615243</v>
      </c>
      <c r="W15" s="3">
        <f t="shared" si="7"/>
        <v>46.683530042973452</v>
      </c>
      <c r="X15" s="3">
        <f t="shared" si="7"/>
        <v>25.225782509363871</v>
      </c>
      <c r="Y15" s="3">
        <f t="shared" si="7"/>
        <v>33.50873705377677</v>
      </c>
      <c r="Z15" s="3">
        <f t="shared" si="7"/>
        <v>17.542809967268607</v>
      </c>
      <c r="AA15" s="3">
        <f t="shared" si="7"/>
        <v>11.586818040063459</v>
      </c>
      <c r="AB15" s="3">
        <f t="shared" si="7"/>
        <v>15.702619820324339</v>
      </c>
      <c r="AC15" s="3">
        <f t="shared" si="7"/>
        <v>8.3824367069950796</v>
      </c>
    </row>
    <row r="16" spans="1:29" x14ac:dyDescent="0.3">
      <c r="A16" s="2" t="s">
        <v>5</v>
      </c>
      <c r="B16" s="3">
        <f t="shared" ref="B16:M16" si="8">0.000001*B6^1.8013</f>
        <v>7.4768311070915194</v>
      </c>
      <c r="C16" s="3">
        <f t="shared" si="8"/>
        <v>5.0455558156165869</v>
      </c>
      <c r="D16" s="3">
        <f t="shared" si="8"/>
        <v>6.8729484045855775</v>
      </c>
      <c r="E16" s="3">
        <f t="shared" si="8"/>
        <v>4.6752920804684699</v>
      </c>
      <c r="F16" s="3">
        <f t="shared" si="8"/>
        <v>4.3888012892249622</v>
      </c>
      <c r="G16" s="3">
        <f t="shared" si="8"/>
        <v>3.076092687030151</v>
      </c>
      <c r="H16" s="3">
        <f t="shared" si="8"/>
        <v>2.1157967118032386</v>
      </c>
      <c r="I16" s="3">
        <f t="shared" si="8"/>
        <v>16.952532029780546</v>
      </c>
      <c r="J16" s="3">
        <f t="shared" si="8"/>
        <v>3.972693071553957</v>
      </c>
      <c r="K16" s="3">
        <f t="shared" si="8"/>
        <v>2.3500908901022699</v>
      </c>
      <c r="L16" s="3">
        <f t="shared" si="8"/>
        <v>5.1392081803327407</v>
      </c>
      <c r="M16" s="3">
        <f t="shared" si="8"/>
        <v>1.8802460477198641</v>
      </c>
      <c r="Q16" s="2" t="s">
        <v>5</v>
      </c>
      <c r="R16" s="3">
        <f t="shared" ref="R16:AC16" si="9">0.000001*R6^1.795</f>
        <v>63.236208080679042</v>
      </c>
      <c r="S16" s="3">
        <f t="shared" si="9"/>
        <v>72.7820533163557</v>
      </c>
      <c r="T16" s="3">
        <f t="shared" si="9"/>
        <v>102.40635667912098</v>
      </c>
      <c r="U16" s="3">
        <f t="shared" si="9"/>
        <v>68.535646623976319</v>
      </c>
      <c r="V16" s="3">
        <f t="shared" si="9"/>
        <v>25.835378844052656</v>
      </c>
      <c r="W16" s="3">
        <f t="shared" si="9"/>
        <v>14.35948279618357</v>
      </c>
      <c r="X16" s="3">
        <f t="shared" si="9"/>
        <v>7.4708369428882557</v>
      </c>
      <c r="Y16" s="3">
        <f t="shared" si="9"/>
        <v>48.779959974928964</v>
      </c>
      <c r="Z16" s="3">
        <f t="shared" si="9"/>
        <v>48.256570675499994</v>
      </c>
      <c r="AA16" s="3">
        <f t="shared" si="9"/>
        <v>66.784890700504846</v>
      </c>
      <c r="AB16" s="3">
        <f t="shared" si="9"/>
        <v>56.533929000760061</v>
      </c>
      <c r="AC16" s="3">
        <f t="shared" si="9"/>
        <v>35.742657291955339</v>
      </c>
    </row>
    <row r="17" spans="1:29" x14ac:dyDescent="0.3">
      <c r="A17" s="2" t="s">
        <v>6</v>
      </c>
      <c r="B17" s="3">
        <f t="shared" ref="B17:M17" si="10">0.000001*B7^1.8013</f>
        <v>33.628690012428891</v>
      </c>
      <c r="C17" s="3">
        <f t="shared" si="10"/>
        <v>33.128340980438537</v>
      </c>
      <c r="D17" s="3">
        <f t="shared" si="10"/>
        <v>32.098317842981309</v>
      </c>
      <c r="E17" s="3">
        <f t="shared" si="10"/>
        <v>27.206903655517706</v>
      </c>
      <c r="F17" s="3">
        <f t="shared" si="10"/>
        <v>15.930214287457186</v>
      </c>
      <c r="G17" s="3">
        <f t="shared" si="10"/>
        <v>16.831313496453369</v>
      </c>
      <c r="H17" s="3">
        <f t="shared" si="10"/>
        <v>21.213767881522163</v>
      </c>
      <c r="I17" s="3">
        <f t="shared" si="10"/>
        <v>18.581967020877482</v>
      </c>
      <c r="J17" s="3">
        <f t="shared" si="10"/>
        <v>21.641008606359666</v>
      </c>
      <c r="K17" s="3">
        <f t="shared" si="10"/>
        <v>14.643663668771369</v>
      </c>
      <c r="L17" s="3">
        <f t="shared" si="10"/>
        <v>17.1127758834274</v>
      </c>
      <c r="M17" s="3">
        <f t="shared" si="10"/>
        <v>15.950383150236334</v>
      </c>
      <c r="Q17" s="2" t="s">
        <v>6</v>
      </c>
      <c r="R17" s="3">
        <f t="shared" ref="R17:AC17" si="11">0.000001*R7^1.795</f>
        <v>75.766167291638496</v>
      </c>
      <c r="S17" s="3">
        <f t="shared" si="11"/>
        <v>95.069508800570375</v>
      </c>
      <c r="T17" s="3">
        <f t="shared" si="11"/>
        <v>71.60437933032982</v>
      </c>
      <c r="U17" s="3">
        <f t="shared" si="11"/>
        <v>65.038682854420429</v>
      </c>
      <c r="V17" s="3">
        <f t="shared" si="11"/>
        <v>74.793125373678961</v>
      </c>
      <c r="W17" s="3">
        <f t="shared" si="11"/>
        <v>68.647061559465996</v>
      </c>
      <c r="X17" s="3">
        <f t="shared" si="11"/>
        <v>83.767605112547116</v>
      </c>
      <c r="Y17" s="3">
        <f t="shared" si="11"/>
        <v>98.486558052963758</v>
      </c>
      <c r="Z17" s="3">
        <f t="shared" si="11"/>
        <v>68.24422553956849</v>
      </c>
      <c r="AA17" s="3">
        <f t="shared" si="11"/>
        <v>65.776364350825745</v>
      </c>
      <c r="AB17" s="3">
        <f t="shared" si="11"/>
        <v>45.58420592455807</v>
      </c>
      <c r="AC17" s="3">
        <f t="shared" si="11"/>
        <v>83.790792786813199</v>
      </c>
    </row>
    <row r="18" spans="1:29" x14ac:dyDescent="0.3">
      <c r="A18" s="2" t="s">
        <v>7</v>
      </c>
      <c r="B18" s="3">
        <f t="shared" ref="B18:M18" si="12">0.000001*B8^1.8013</f>
        <v>37.556775026240658</v>
      </c>
      <c r="C18" s="3">
        <f t="shared" si="12"/>
        <v>38.111197417365617</v>
      </c>
      <c r="D18" s="3">
        <f t="shared" si="12"/>
        <v>31.627809182255788</v>
      </c>
      <c r="E18" s="3">
        <f t="shared" si="12"/>
        <v>11.57884574055498</v>
      </c>
      <c r="F18" s="3">
        <f t="shared" si="12"/>
        <v>11.248558644992459</v>
      </c>
      <c r="G18" s="3">
        <f t="shared" si="12"/>
        <v>6.4546794430576897</v>
      </c>
      <c r="H18" s="3">
        <f t="shared" si="12"/>
        <v>14.657539333695643</v>
      </c>
      <c r="I18" s="3">
        <f t="shared" si="12"/>
        <v>4.3176341008262744</v>
      </c>
      <c r="J18" s="3">
        <f t="shared" si="12"/>
        <v>7.3415888324260594</v>
      </c>
      <c r="K18" s="3">
        <f t="shared" si="12"/>
        <v>10.74539771889223</v>
      </c>
      <c r="L18" s="3">
        <f t="shared" si="12"/>
        <v>3.9385934559204716</v>
      </c>
      <c r="M18" s="3">
        <f t="shared" si="12"/>
        <v>6.1854922951874736</v>
      </c>
      <c r="Q18" s="2" t="s">
        <v>7</v>
      </c>
      <c r="R18" s="3">
        <f t="shared" ref="R18:AC18" si="13">0.000001*R8^1.795</f>
        <v>198.49433946945464</v>
      </c>
      <c r="S18" s="3">
        <f t="shared" si="13"/>
        <v>172.72479194917577</v>
      </c>
      <c r="T18" s="3">
        <f t="shared" si="13"/>
        <v>159.2535793738312</v>
      </c>
      <c r="U18" s="3">
        <f t="shared" si="13"/>
        <v>162.02236335264053</v>
      </c>
      <c r="V18" s="3">
        <f t="shared" si="13"/>
        <v>163.78113029087299</v>
      </c>
      <c r="W18" s="3">
        <f t="shared" si="13"/>
        <v>174.9594245879691</v>
      </c>
      <c r="X18" s="3">
        <f t="shared" si="13"/>
        <v>173.23627124200087</v>
      </c>
      <c r="Y18" s="3">
        <f t="shared" si="13"/>
        <v>111.26878275383768</v>
      </c>
      <c r="Z18" s="3">
        <f t="shared" si="13"/>
        <v>162.42629040136777</v>
      </c>
      <c r="AA18" s="3">
        <f t="shared" si="13"/>
        <v>156.73538791953337</v>
      </c>
      <c r="AB18" s="3">
        <f t="shared" si="13"/>
        <v>122.36842990781939</v>
      </c>
      <c r="AC18" s="3">
        <f t="shared" si="13"/>
        <v>158.74544177034966</v>
      </c>
    </row>
    <row r="19" spans="1:29" x14ac:dyDescent="0.3">
      <c r="A19" s="2" t="s">
        <v>8</v>
      </c>
      <c r="B19" s="3">
        <f t="shared" ref="B19:M19" si="14">0.000001*B9^1.8013</f>
        <v>4.1768547703840104</v>
      </c>
      <c r="C19" s="3">
        <f t="shared" si="14"/>
        <v>2.0621271365386837</v>
      </c>
      <c r="D19" s="3">
        <f t="shared" si="14"/>
        <v>4.364481607351248</v>
      </c>
      <c r="E19" s="3">
        <f t="shared" si="14"/>
        <v>4.5376275780646891</v>
      </c>
      <c r="F19" s="3">
        <f t="shared" si="14"/>
        <v>3.7594465260553585</v>
      </c>
      <c r="G19" s="3">
        <f t="shared" si="14"/>
        <v>3.9308617843981497</v>
      </c>
      <c r="H19" s="3">
        <f t="shared" si="14"/>
        <v>4.6502775059258035</v>
      </c>
      <c r="I19" s="3">
        <f t="shared" si="14"/>
        <v>4.178442867620471</v>
      </c>
      <c r="J19" s="3">
        <f t="shared" si="14"/>
        <v>2.6188219656999087E-4</v>
      </c>
      <c r="K19" s="3">
        <f t="shared" si="14"/>
        <v>4.3074229099937988E-4</v>
      </c>
      <c r="L19" s="3">
        <f t="shared" si="14"/>
        <v>5.4362467358142776E-4</v>
      </c>
      <c r="M19" s="3">
        <f t="shared" si="14"/>
        <v>1.6459159053837234E-4</v>
      </c>
      <c r="Q19" s="2" t="s">
        <v>8</v>
      </c>
      <c r="R19" s="3">
        <f t="shared" ref="R19:AC19" si="15">0.000001*R9^1.795</f>
        <v>3.3983445161148174</v>
      </c>
      <c r="S19" s="3">
        <f t="shared" si="15"/>
        <v>3.9375058524976518</v>
      </c>
      <c r="T19" s="3">
        <f t="shared" si="15"/>
        <v>2.8998631286076715</v>
      </c>
      <c r="U19" s="3">
        <f t="shared" si="15"/>
        <v>4.296108170076999</v>
      </c>
      <c r="V19" s="3">
        <f t="shared" si="15"/>
        <v>2.7756078074190884</v>
      </c>
      <c r="W19" s="3">
        <f t="shared" si="15"/>
        <v>3.6129575236643947</v>
      </c>
      <c r="X19" s="3">
        <f t="shared" si="15"/>
        <v>2.714385403554854</v>
      </c>
      <c r="Y19" s="3">
        <f t="shared" si="15"/>
        <v>2.9853599645767628</v>
      </c>
      <c r="Z19" s="3">
        <f t="shared" si="15"/>
        <v>3.7093512217724036E-4</v>
      </c>
      <c r="AA19" s="3">
        <f t="shared" si="15"/>
        <v>1.2914684767251122E-4</v>
      </c>
      <c r="AB19" s="3">
        <f t="shared" si="15"/>
        <v>5.3178063965406868E-4</v>
      </c>
      <c r="AC19" s="3">
        <f t="shared" si="15"/>
        <v>3.4663878964508545E-4</v>
      </c>
    </row>
    <row r="20" spans="1:29" x14ac:dyDescent="0.3">
      <c r="A20" s="5" t="s">
        <v>29</v>
      </c>
      <c r="B20">
        <v>125</v>
      </c>
      <c r="Q20" s="5" t="s">
        <v>30</v>
      </c>
      <c r="R20">
        <v>125</v>
      </c>
    </row>
    <row r="22" spans="1:29" x14ac:dyDescent="0.3">
      <c r="A22" s="1" t="s">
        <v>9</v>
      </c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  <c r="Q22" s="1" t="s">
        <v>13</v>
      </c>
      <c r="R22" s="2">
        <v>1</v>
      </c>
      <c r="S22" s="2">
        <v>2</v>
      </c>
      <c r="T22" s="2">
        <v>3</v>
      </c>
      <c r="U22" s="2">
        <v>4</v>
      </c>
      <c r="V22" s="2">
        <v>5</v>
      </c>
      <c r="W22" s="2">
        <v>6</v>
      </c>
      <c r="X22" s="2">
        <v>7</v>
      </c>
      <c r="Y22" s="2">
        <v>8</v>
      </c>
      <c r="Z22" s="2">
        <v>9</v>
      </c>
      <c r="AA22" s="2">
        <v>10</v>
      </c>
      <c r="AB22" s="2">
        <v>11</v>
      </c>
      <c r="AC22" s="2">
        <v>12</v>
      </c>
    </row>
    <row r="23" spans="1:29" x14ac:dyDescent="0.3">
      <c r="A23" s="2" t="s">
        <v>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Q23" s="2" t="s"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3">
      <c r="A24" s="2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Q24" s="2" t="s">
        <v>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3">
      <c r="A25" s="2" t="s">
        <v>3</v>
      </c>
      <c r="B25" s="3">
        <v>259.21778011691526</v>
      </c>
      <c r="C25" s="3">
        <v>157.28570842080086</v>
      </c>
      <c r="D25" s="3">
        <v>363.97306988567686</v>
      </c>
      <c r="E25" s="3">
        <v>242.31720235879692</v>
      </c>
      <c r="F25" s="3">
        <v>42.62141168751625</v>
      </c>
      <c r="G25" s="3">
        <v>53.52977403880282</v>
      </c>
      <c r="H25" s="3">
        <v>63.105488609927995</v>
      </c>
      <c r="I25" s="3">
        <v>90.786311515414752</v>
      </c>
      <c r="J25" s="3">
        <v>55.198675123774294</v>
      </c>
      <c r="K25" s="3">
        <v>79.79748292415735</v>
      </c>
      <c r="L25" s="3">
        <v>257.91091761305523</v>
      </c>
      <c r="M25" s="3">
        <v>177.37934158030691</v>
      </c>
      <c r="Q25" s="2" t="s">
        <v>3</v>
      </c>
      <c r="R25" s="3">
        <v>4759.6223754252987</v>
      </c>
      <c r="S25" s="3">
        <v>8801.7188455749201</v>
      </c>
      <c r="T25" s="3">
        <v>9801.097076803273</v>
      </c>
      <c r="U25" s="3">
        <v>6600.7613324221147</v>
      </c>
      <c r="V25" s="3">
        <v>215.3417346034114</v>
      </c>
      <c r="W25" s="3">
        <v>374.1634265381129</v>
      </c>
      <c r="X25" s="3">
        <v>207.87678565860554</v>
      </c>
      <c r="Y25" s="3">
        <v>553.06073430813319</v>
      </c>
      <c r="Z25" s="3">
        <v>149.41493634477521</v>
      </c>
      <c r="AA25" s="3">
        <v>287.41680187074832</v>
      </c>
      <c r="AB25" s="3">
        <v>778.38343152037544</v>
      </c>
      <c r="AC25" s="3">
        <v>1095.3246141612617</v>
      </c>
    </row>
    <row r="26" spans="1:29" x14ac:dyDescent="0.3">
      <c r="A26" s="2" t="s">
        <v>4</v>
      </c>
      <c r="B26" s="3">
        <v>1132.6339477451304</v>
      </c>
      <c r="C26" s="3">
        <v>421.83587542988909</v>
      </c>
      <c r="D26" s="3">
        <v>503.20618990960787</v>
      </c>
      <c r="E26" s="3">
        <v>602.27094717776686</v>
      </c>
      <c r="F26" s="3">
        <v>347.07623427694188</v>
      </c>
      <c r="G26" s="3">
        <v>364.4804148200343</v>
      </c>
      <c r="H26" s="3">
        <v>268.74335021217809</v>
      </c>
      <c r="I26" s="3">
        <v>334.59787694045286</v>
      </c>
      <c r="J26" s="3">
        <v>466.14935161668063</v>
      </c>
      <c r="K26" s="3">
        <v>294.53025494355455</v>
      </c>
      <c r="L26" s="3">
        <v>207.66931909128624</v>
      </c>
      <c r="M26" s="3">
        <v>279.32257875507503</v>
      </c>
      <c r="Q26" s="2" t="s">
        <v>4</v>
      </c>
      <c r="R26" s="3">
        <v>15113.996354599252</v>
      </c>
      <c r="S26" s="3">
        <v>7079.5302748787517</v>
      </c>
      <c r="T26" s="3">
        <v>12913.476937734575</v>
      </c>
      <c r="U26" s="3">
        <v>10863.978743982774</v>
      </c>
      <c r="V26" s="3">
        <v>4482.2521795190542</v>
      </c>
      <c r="W26" s="3">
        <v>5835.4412553716811</v>
      </c>
      <c r="X26" s="3">
        <v>3153.2228136704839</v>
      </c>
      <c r="Y26" s="3">
        <v>4188.5921317220964</v>
      </c>
      <c r="Z26" s="3">
        <v>2192.8512459085759</v>
      </c>
      <c r="AA26" s="3">
        <v>1448.3522550079324</v>
      </c>
      <c r="AB26" s="3">
        <v>1962.8274775405423</v>
      </c>
      <c r="AC26" s="3">
        <v>1047.804588374385</v>
      </c>
    </row>
    <row r="27" spans="1:29" x14ac:dyDescent="0.3">
      <c r="A27" s="2" t="s">
        <v>5</v>
      </c>
      <c r="B27" s="3">
        <v>934.60388838643996</v>
      </c>
      <c r="C27" s="3">
        <v>630.69447695207339</v>
      </c>
      <c r="D27" s="3">
        <v>859.11855057319724</v>
      </c>
      <c r="E27" s="3">
        <v>584.41151005855875</v>
      </c>
      <c r="F27" s="3">
        <v>548.60016115312033</v>
      </c>
      <c r="G27" s="3">
        <v>384.51158587876887</v>
      </c>
      <c r="H27" s="3">
        <v>264.4745889754048</v>
      </c>
      <c r="I27" s="3">
        <v>2119.0665037225681</v>
      </c>
      <c r="J27" s="3">
        <v>496.58663394424462</v>
      </c>
      <c r="K27" s="3">
        <v>293.76136126278374</v>
      </c>
      <c r="L27" s="3">
        <v>642.40102254159262</v>
      </c>
      <c r="M27" s="3">
        <v>235.03075596498303</v>
      </c>
      <c r="Q27" s="2" t="s">
        <v>5</v>
      </c>
      <c r="R27" s="3">
        <v>7904.52601008488</v>
      </c>
      <c r="S27" s="3">
        <v>9097.7566645444622</v>
      </c>
      <c r="T27" s="3">
        <v>12800.794584890122</v>
      </c>
      <c r="U27" s="3">
        <v>8566.9558279970406</v>
      </c>
      <c r="V27" s="3">
        <v>3229.4223555065819</v>
      </c>
      <c r="W27" s="3">
        <v>1794.9353495229464</v>
      </c>
      <c r="X27" s="3">
        <v>933.85461786103201</v>
      </c>
      <c r="Y27" s="3">
        <v>6097.4949968661203</v>
      </c>
      <c r="Z27" s="3">
        <v>6032.071334437499</v>
      </c>
      <c r="AA27" s="3">
        <v>8348.1113375631066</v>
      </c>
      <c r="AB27" s="3">
        <v>7066.7411250950072</v>
      </c>
      <c r="AC27" s="3">
        <v>4467.8321614944171</v>
      </c>
    </row>
    <row r="28" spans="1:29" x14ac:dyDescent="0.3">
      <c r="A28" s="2" t="s">
        <v>6</v>
      </c>
      <c r="B28" s="3">
        <v>4203.586251553611</v>
      </c>
      <c r="C28" s="3">
        <v>4141.0426225548172</v>
      </c>
      <c r="D28" s="3">
        <v>4012.2897303726636</v>
      </c>
      <c r="E28" s="3">
        <v>3400.8629569397135</v>
      </c>
      <c r="F28" s="3">
        <v>1991.2767859321482</v>
      </c>
      <c r="G28" s="3">
        <v>2103.9141870566709</v>
      </c>
      <c r="H28" s="3">
        <v>2651.7209851902703</v>
      </c>
      <c r="I28" s="3">
        <v>2322.7458776096851</v>
      </c>
      <c r="J28" s="3">
        <v>2705.1260757949581</v>
      </c>
      <c r="K28" s="3">
        <v>1830.4579585964211</v>
      </c>
      <c r="L28" s="3">
        <v>2139.0969854284249</v>
      </c>
      <c r="M28" s="3">
        <v>1993.7978937795417</v>
      </c>
      <c r="Q28" s="2" t="s">
        <v>6</v>
      </c>
      <c r="R28" s="3">
        <v>9470.7709114548124</v>
      </c>
      <c r="S28" s="3">
        <v>11883.688600071297</v>
      </c>
      <c r="T28" s="3">
        <v>8950.5474162912269</v>
      </c>
      <c r="U28" s="3">
        <v>8129.8353568025541</v>
      </c>
      <c r="V28" s="3">
        <v>9349.1406717098707</v>
      </c>
      <c r="W28" s="3">
        <v>8580.8826949332488</v>
      </c>
      <c r="X28" s="3">
        <v>10470.950639068389</v>
      </c>
      <c r="Y28" s="3">
        <v>12310.819756620469</v>
      </c>
      <c r="Z28" s="3">
        <v>8530.5281924460614</v>
      </c>
      <c r="AA28" s="3">
        <v>8222.0455438532172</v>
      </c>
      <c r="AB28" s="3">
        <v>5698.0257405697585</v>
      </c>
      <c r="AC28" s="3">
        <v>10473.849098351649</v>
      </c>
    </row>
    <row r="29" spans="1:29" x14ac:dyDescent="0.3">
      <c r="A29" s="2" t="s">
        <v>7</v>
      </c>
      <c r="B29" s="3">
        <v>4694.5968782800819</v>
      </c>
      <c r="C29" s="3">
        <v>4763.8996771707025</v>
      </c>
      <c r="D29" s="3">
        <v>3953.4761477819734</v>
      </c>
      <c r="E29" s="3">
        <v>1447.3557175693725</v>
      </c>
      <c r="F29" s="3">
        <v>1406.0698306240574</v>
      </c>
      <c r="G29" s="3">
        <v>806.83493038221127</v>
      </c>
      <c r="H29" s="3">
        <v>1832.1924167119555</v>
      </c>
      <c r="I29" s="3">
        <v>539.70426260328429</v>
      </c>
      <c r="J29" s="3">
        <v>917.69860405325744</v>
      </c>
      <c r="K29" s="3">
        <v>1343.1747148615286</v>
      </c>
      <c r="L29" s="3">
        <v>492.32418199005895</v>
      </c>
      <c r="M29" s="3">
        <v>773.18653689843416</v>
      </c>
      <c r="Q29" s="2" t="s">
        <v>7</v>
      </c>
      <c r="R29" s="3">
        <v>24811.792433681832</v>
      </c>
      <c r="S29" s="3">
        <v>21590.59899364697</v>
      </c>
      <c r="T29" s="3">
        <v>19906.697421728899</v>
      </c>
      <c r="U29" s="3">
        <v>20252.795419080066</v>
      </c>
      <c r="V29" s="3">
        <v>20472.641286359125</v>
      </c>
      <c r="W29" s="3">
        <v>21869.928073496136</v>
      </c>
      <c r="X29" s="3">
        <v>21654.533905250108</v>
      </c>
      <c r="Y29" s="3">
        <v>13908.597844229711</v>
      </c>
      <c r="Z29" s="3">
        <v>20303.28630017097</v>
      </c>
      <c r="AA29" s="3">
        <v>19591.92348994167</v>
      </c>
      <c r="AB29" s="3">
        <v>15296.053738477423</v>
      </c>
      <c r="AC29" s="3">
        <v>19843.180221293707</v>
      </c>
    </row>
    <row r="30" spans="1:29" x14ac:dyDescent="0.3">
      <c r="A30" s="2" t="s">
        <v>8</v>
      </c>
      <c r="B30" s="3">
        <v>522.1068462980013</v>
      </c>
      <c r="C30" s="3">
        <v>257.76589206733547</v>
      </c>
      <c r="D30" s="3">
        <v>545.56020091890605</v>
      </c>
      <c r="E30" s="3">
        <v>567.20344725808616</v>
      </c>
      <c r="F30" s="3">
        <v>469.9308157569198</v>
      </c>
      <c r="G30" s="3">
        <v>491.35772304976871</v>
      </c>
      <c r="H30" s="3">
        <v>581.28468824072547</v>
      </c>
      <c r="I30" s="3">
        <v>522.30535845255883</v>
      </c>
      <c r="J30" s="3">
        <v>3.2735274571248862E-2</v>
      </c>
      <c r="K30" s="3">
        <v>5.3842786374922486E-2</v>
      </c>
      <c r="L30" s="3">
        <v>6.7953084197678468E-2</v>
      </c>
      <c r="M30" s="3">
        <v>2.0573948817296541E-2</v>
      </c>
      <c r="Q30" s="2" t="s">
        <v>8</v>
      </c>
      <c r="R30" s="3">
        <v>424.79306451435218</v>
      </c>
      <c r="S30" s="3">
        <v>492.18823156220645</v>
      </c>
      <c r="T30" s="3">
        <v>362.48289107595895</v>
      </c>
      <c r="U30" s="3">
        <v>537.01352125962489</v>
      </c>
      <c r="V30" s="3">
        <v>346.95097592738603</v>
      </c>
      <c r="W30" s="3">
        <v>451.61969045804932</v>
      </c>
      <c r="X30" s="3">
        <v>339.29817544435673</v>
      </c>
      <c r="Y30" s="3">
        <v>373.16999557209533</v>
      </c>
      <c r="Z30" s="3">
        <v>4.6366890272155042E-2</v>
      </c>
      <c r="AA30" s="3">
        <v>1.6143355959063903E-2</v>
      </c>
      <c r="AB30" s="3">
        <v>6.6472579956758579E-2</v>
      </c>
      <c r="AC30" s="3">
        <v>4.3329848705635679E-2</v>
      </c>
    </row>
    <row r="32" spans="1:29" x14ac:dyDescent="0.3">
      <c r="Q32" s="1" t="s">
        <v>13</v>
      </c>
      <c r="R32" s="2">
        <v>1</v>
      </c>
      <c r="S32" s="2">
        <v>2</v>
      </c>
      <c r="T32" s="2">
        <v>3</v>
      </c>
      <c r="U32" s="2">
        <v>4</v>
      </c>
      <c r="V32" s="2">
        <v>5</v>
      </c>
      <c r="W32" s="2">
        <v>6</v>
      </c>
      <c r="X32" s="2">
        <v>7</v>
      </c>
      <c r="Y32" s="2">
        <v>8</v>
      </c>
      <c r="Z32" s="2">
        <v>9</v>
      </c>
      <c r="AA32" s="2">
        <v>10</v>
      </c>
      <c r="AB32" s="2">
        <v>11</v>
      </c>
      <c r="AC32" s="2">
        <v>12</v>
      </c>
    </row>
    <row r="33" spans="1:31" x14ac:dyDescent="0.3">
      <c r="A33" s="8" t="s">
        <v>24</v>
      </c>
      <c r="B33" s="8"/>
      <c r="C33" s="8"/>
      <c r="D33" s="8"/>
      <c r="E33" s="8"/>
      <c r="F33" s="8" t="s">
        <v>26</v>
      </c>
      <c r="G33" s="8"/>
      <c r="H33" s="8"/>
      <c r="I33" s="8"/>
      <c r="J33" s="8"/>
      <c r="K33" s="8" t="s">
        <v>27</v>
      </c>
      <c r="L33" s="8"/>
      <c r="M33" s="8"/>
      <c r="N33" s="8"/>
      <c r="O33" s="8"/>
      <c r="Q33" s="2" t="s"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31" x14ac:dyDescent="0.3">
      <c r="A34" t="s">
        <v>25</v>
      </c>
      <c r="B34">
        <v>12</v>
      </c>
      <c r="C34">
        <v>18</v>
      </c>
      <c r="D34">
        <v>24</v>
      </c>
      <c r="E34">
        <v>48</v>
      </c>
      <c r="F34" t="s">
        <v>25</v>
      </c>
      <c r="G34">
        <v>12</v>
      </c>
      <c r="H34">
        <v>18</v>
      </c>
      <c r="I34">
        <v>24</v>
      </c>
      <c r="J34">
        <v>48</v>
      </c>
      <c r="K34" t="s">
        <v>25</v>
      </c>
      <c r="L34">
        <v>12</v>
      </c>
      <c r="M34">
        <v>18</v>
      </c>
      <c r="N34">
        <v>24</v>
      </c>
      <c r="O34">
        <v>48</v>
      </c>
      <c r="Q34" s="2" t="s">
        <v>2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31" x14ac:dyDescent="0.3">
      <c r="A35" s="3">
        <v>259.21778011691526</v>
      </c>
      <c r="B35" s="3"/>
      <c r="C35" s="3">
        <v>934.60388838643996</v>
      </c>
      <c r="D35" s="3">
        <v>4203.586251553611</v>
      </c>
      <c r="E35" s="3">
        <v>4694.5968782800819</v>
      </c>
      <c r="F35" s="3">
        <v>42.62141168751625</v>
      </c>
      <c r="G35" s="3">
        <v>347.07623427694188</v>
      </c>
      <c r="H35" s="3">
        <v>548.60016115312033</v>
      </c>
      <c r="I35" s="3">
        <v>1991.2767859321482</v>
      </c>
      <c r="J35" s="3">
        <v>1406.0698306240574</v>
      </c>
      <c r="K35" s="3">
        <v>55.198675123774294</v>
      </c>
      <c r="L35" s="3">
        <v>466.14935161668063</v>
      </c>
      <c r="M35" s="3">
        <v>496.58663394424462</v>
      </c>
      <c r="N35" s="3"/>
      <c r="O35" s="3">
        <v>917.69860405325744</v>
      </c>
      <c r="Q35" s="2" t="s">
        <v>3</v>
      </c>
      <c r="R35" s="3">
        <v>4500.4045953083833</v>
      </c>
      <c r="S35" s="3">
        <v>8644.4331371541193</v>
      </c>
      <c r="T35" s="3">
        <v>9437.1240069175965</v>
      </c>
      <c r="U35" s="3">
        <v>6358.444130063318</v>
      </c>
      <c r="V35" s="3">
        <v>172.72032291589514</v>
      </c>
      <c r="W35" s="3">
        <v>320.63365249931007</v>
      </c>
      <c r="X35" s="3">
        <v>144.77129704867755</v>
      </c>
      <c r="Y35" s="3">
        <v>462.27442279271844</v>
      </c>
      <c r="Z35" s="3">
        <v>94.21626122100092</v>
      </c>
      <c r="AA35" s="3">
        <v>207.61931894659097</v>
      </c>
      <c r="AB35" s="3">
        <v>520.47251390732026</v>
      </c>
      <c r="AC35" s="3">
        <v>917.94527258095479</v>
      </c>
    </row>
    <row r="36" spans="1:31" x14ac:dyDescent="0.3">
      <c r="A36" s="3">
        <v>157.28570842080086</v>
      </c>
      <c r="B36" s="3">
        <v>421.83587542988909</v>
      </c>
      <c r="C36" s="3">
        <v>630.69447695207339</v>
      </c>
      <c r="D36" s="3">
        <v>4141.0426225548172</v>
      </c>
      <c r="E36" s="3">
        <v>4763.8996771707025</v>
      </c>
      <c r="F36" s="3">
        <v>53.52977403880282</v>
      </c>
      <c r="G36" s="3">
        <v>364.4804148200343</v>
      </c>
      <c r="H36" s="3">
        <v>384.51158587876887</v>
      </c>
      <c r="I36" s="3">
        <v>2103.9141870566709</v>
      </c>
      <c r="J36" s="3">
        <v>806.83493038221127</v>
      </c>
      <c r="K36" s="3">
        <v>79.79748292415735</v>
      </c>
      <c r="L36" s="3">
        <v>294.53025494355455</v>
      </c>
      <c r="M36" s="3">
        <v>293.76136126278374</v>
      </c>
      <c r="N36" s="3">
        <v>1830.4579585964211</v>
      </c>
      <c r="O36" s="3">
        <v>1343.1747148615286</v>
      </c>
      <c r="Q36" s="2" t="s">
        <v>4</v>
      </c>
      <c r="R36" s="3">
        <v>13981.362406854121</v>
      </c>
      <c r="S36" s="3">
        <v>6657.6943994488629</v>
      </c>
      <c r="T36" s="3">
        <v>12410.270747824967</v>
      </c>
      <c r="U36" s="3">
        <v>10261.707796805007</v>
      </c>
      <c r="V36" s="3">
        <v>4135.175945242112</v>
      </c>
      <c r="W36" s="3">
        <v>5470.9608405516465</v>
      </c>
      <c r="X36" s="3">
        <v>2884.4794634583059</v>
      </c>
      <c r="Y36" s="3">
        <v>3853.9942547816436</v>
      </c>
      <c r="Z36" s="3">
        <v>1726.7018942918953</v>
      </c>
      <c r="AA36" s="3">
        <v>1153.8220000643778</v>
      </c>
      <c r="AB36" s="3">
        <v>1755.158158449256</v>
      </c>
      <c r="AC36" s="3">
        <v>768.48200961931002</v>
      </c>
    </row>
    <row r="37" spans="1:31" x14ac:dyDescent="0.3">
      <c r="A37" s="3">
        <v>363.97306988567686</v>
      </c>
      <c r="B37" s="3">
        <v>503.20618990960787</v>
      </c>
      <c r="C37" s="3">
        <v>859.11855057319724</v>
      </c>
      <c r="D37" s="3">
        <v>4012.2897303726636</v>
      </c>
      <c r="E37" s="3">
        <v>3953.4761477819734</v>
      </c>
      <c r="F37" s="3">
        <v>63.105488609927995</v>
      </c>
      <c r="G37" s="3">
        <v>268.74335021217809</v>
      </c>
      <c r="H37" s="3">
        <v>264.4745889754048</v>
      </c>
      <c r="I37" s="3">
        <v>2651.7209851902703</v>
      </c>
      <c r="J37" s="3">
        <v>1832.1924167119555</v>
      </c>
      <c r="K37" s="3">
        <v>257.91091761305523</v>
      </c>
      <c r="L37" s="3">
        <v>207.66931909128624</v>
      </c>
      <c r="M37" s="3">
        <v>642.40102254159262</v>
      </c>
      <c r="N37" s="3">
        <v>2139.0969854284249</v>
      </c>
      <c r="O37" s="3"/>
      <c r="Q37" s="2" t="s">
        <v>5</v>
      </c>
      <c r="R37" s="3">
        <v>6969.9221216984397</v>
      </c>
      <c r="S37" s="3">
        <v>8467.062187592388</v>
      </c>
      <c r="T37" s="3">
        <v>11941.676034316924</v>
      </c>
      <c r="U37" s="3">
        <v>7982.544317938482</v>
      </c>
      <c r="V37" s="3">
        <v>2680.8221943534618</v>
      </c>
      <c r="W37" s="3">
        <v>1410.4237636441776</v>
      </c>
      <c r="X37" s="3">
        <v>669.38002888562721</v>
      </c>
      <c r="Y37" s="3">
        <v>3978.4284931435523</v>
      </c>
      <c r="Z37" s="3">
        <v>5535.4847004932544</v>
      </c>
      <c r="AA37" s="3">
        <v>8054.3499763003229</v>
      </c>
      <c r="AB37" s="3">
        <v>6424.3401025534149</v>
      </c>
      <c r="AC37" s="3">
        <v>4232.8014055294343</v>
      </c>
    </row>
    <row r="38" spans="1:31" x14ac:dyDescent="0.3">
      <c r="A38" s="3">
        <v>242.31720235879692</v>
      </c>
      <c r="B38" s="3">
        <v>602.27094717776686</v>
      </c>
      <c r="C38" s="3">
        <v>584.41151005855875</v>
      </c>
      <c r="D38" s="3">
        <v>3400.8629569397135</v>
      </c>
      <c r="E38" s="3"/>
      <c r="F38" s="3">
        <v>90.786311515414752</v>
      </c>
      <c r="G38" s="3">
        <v>334.59787694045286</v>
      </c>
      <c r="H38" s="3"/>
      <c r="I38" s="3">
        <v>2322.7458776096851</v>
      </c>
      <c r="J38" s="3"/>
      <c r="K38" s="3">
        <v>177.37934158030691</v>
      </c>
      <c r="L38" s="3">
        <v>279.32257875507503</v>
      </c>
      <c r="M38" s="3">
        <v>235.03075596498303</v>
      </c>
      <c r="N38" s="3">
        <v>1993.7978937795417</v>
      </c>
      <c r="O38" s="3">
        <v>773.18653689843416</v>
      </c>
      <c r="Q38" s="2" t="s">
        <v>6</v>
      </c>
      <c r="R38" s="3">
        <v>5267.1846599012015</v>
      </c>
      <c r="S38" s="3">
        <v>7742.6459775164794</v>
      </c>
      <c r="T38" s="3">
        <v>4938.2576859185629</v>
      </c>
      <c r="U38" s="3">
        <v>4728.9723998628406</v>
      </c>
      <c r="V38" s="3">
        <v>7357.8638857777223</v>
      </c>
      <c r="W38" s="3">
        <v>6476.9685078765779</v>
      </c>
      <c r="X38" s="3">
        <v>7819.2296538781193</v>
      </c>
      <c r="Y38" s="3">
        <v>9988.0738790107844</v>
      </c>
      <c r="Z38" s="3">
        <v>5825.4021166511029</v>
      </c>
      <c r="AA38" s="3">
        <v>6391.587585256796</v>
      </c>
      <c r="AB38" s="3">
        <v>3558.9287551413336</v>
      </c>
      <c r="AC38" s="3">
        <v>8480.051204572108</v>
      </c>
    </row>
    <row r="39" spans="1:31" x14ac:dyDescent="0.3">
      <c r="Q39" s="2" t="s">
        <v>7</v>
      </c>
      <c r="R39" s="3">
        <v>20117.195555401751</v>
      </c>
      <c r="S39" s="3">
        <v>16826.699316476268</v>
      </c>
      <c r="T39" s="3">
        <v>15953.221273946925</v>
      </c>
      <c r="U39" s="3">
        <v>18805.439701510695</v>
      </c>
      <c r="V39" s="3">
        <v>19066.571455735066</v>
      </c>
      <c r="W39" s="3">
        <v>21063.093143113925</v>
      </c>
      <c r="X39" s="3">
        <v>19822.341488538153</v>
      </c>
      <c r="Y39" s="3">
        <v>13368.893581626427</v>
      </c>
      <c r="Z39" s="3">
        <v>19385.587696117713</v>
      </c>
      <c r="AA39" s="3">
        <v>18248.748775080141</v>
      </c>
      <c r="AB39" s="3">
        <v>14803.729556487364</v>
      </c>
      <c r="AC39" s="3">
        <v>19069.993684395275</v>
      </c>
    </row>
    <row r="40" spans="1:31" x14ac:dyDescent="0.3">
      <c r="A40">
        <f>AVERAGE(A35:A38)</f>
        <v>255.69844019554751</v>
      </c>
      <c r="B40">
        <f t="shared" ref="B40:O40" si="16">AVERAGE(B35:B38)</f>
        <v>509.10433750575459</v>
      </c>
      <c r="C40">
        <f t="shared" si="16"/>
        <v>752.20710649256728</v>
      </c>
      <c r="D40">
        <f t="shared" si="16"/>
        <v>3939.4453903552012</v>
      </c>
      <c r="E40">
        <f t="shared" si="16"/>
        <v>4470.6575677442524</v>
      </c>
      <c r="F40">
        <f t="shared" si="16"/>
        <v>62.510746462915456</v>
      </c>
      <c r="G40">
        <f t="shared" si="16"/>
        <v>328.72446906240174</v>
      </c>
      <c r="H40">
        <f t="shared" si="16"/>
        <v>399.19544533576465</v>
      </c>
      <c r="I40">
        <f t="shared" si="16"/>
        <v>2267.4144589471935</v>
      </c>
      <c r="J40">
        <f t="shared" si="16"/>
        <v>1348.3657259060749</v>
      </c>
      <c r="K40">
        <f t="shared" si="16"/>
        <v>142.57160431032344</v>
      </c>
      <c r="L40">
        <f t="shared" si="16"/>
        <v>311.91787610164914</v>
      </c>
      <c r="M40">
        <f t="shared" si="16"/>
        <v>416.94494342840102</v>
      </c>
      <c r="N40">
        <f t="shared" si="16"/>
        <v>1987.7842792681292</v>
      </c>
      <c r="O40">
        <f t="shared" si="16"/>
        <v>1011.3532852710733</v>
      </c>
      <c r="Q40" s="2" t="s">
        <v>8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31" x14ac:dyDescent="0.3">
      <c r="A41">
        <f>STDEV(A35:A38)</f>
        <v>84.852626141698664</v>
      </c>
      <c r="B41">
        <f t="shared" ref="B41:O41" si="17">STDEV(B35:B38)</f>
        <v>90.362021269806178</v>
      </c>
      <c r="C41">
        <f t="shared" si="17"/>
        <v>170.89892162828991</v>
      </c>
      <c r="D41">
        <f t="shared" si="17"/>
        <v>367.7812638156505</v>
      </c>
      <c r="E41">
        <f t="shared" si="17"/>
        <v>449.2306594046849</v>
      </c>
      <c r="F41">
        <f t="shared" si="17"/>
        <v>20.624457978737485</v>
      </c>
      <c r="G41">
        <f t="shared" si="17"/>
        <v>41.823065733870884</v>
      </c>
      <c r="H41">
        <f t="shared" si="17"/>
        <v>142.63080658729777</v>
      </c>
      <c r="I41">
        <f t="shared" si="17"/>
        <v>290.82493323341856</v>
      </c>
      <c r="J41">
        <f t="shared" si="17"/>
        <v>515.10854823919442</v>
      </c>
      <c r="K41">
        <f t="shared" si="17"/>
        <v>93.254767237292441</v>
      </c>
      <c r="L41">
        <f t="shared" si="17"/>
        <v>109.57477273067242</v>
      </c>
      <c r="M41">
        <f t="shared" si="17"/>
        <v>187.47462849938219</v>
      </c>
      <c r="N41">
        <f t="shared" si="17"/>
        <v>154.40736669786997</v>
      </c>
      <c r="O41">
        <f t="shared" si="17"/>
        <v>296.31069882798721</v>
      </c>
    </row>
    <row r="43" spans="1:31" x14ac:dyDescent="0.3">
      <c r="Q43" s="8" t="s">
        <v>24</v>
      </c>
      <c r="R43" s="8"/>
      <c r="S43" s="8"/>
      <c r="T43" s="8"/>
      <c r="U43" s="8"/>
      <c r="V43" s="8" t="s">
        <v>26</v>
      </c>
      <c r="W43" s="8"/>
      <c r="X43" s="8"/>
      <c r="Y43" s="8"/>
      <c r="Z43" s="8"/>
      <c r="AA43" s="8" t="s">
        <v>27</v>
      </c>
      <c r="AB43" s="8"/>
      <c r="AC43" s="8"/>
      <c r="AD43" s="8"/>
      <c r="AE43" s="8"/>
    </row>
    <row r="44" spans="1:31" x14ac:dyDescent="0.3">
      <c r="Q44" t="s">
        <v>25</v>
      </c>
      <c r="R44">
        <v>12</v>
      </c>
      <c r="S44">
        <v>18</v>
      </c>
      <c r="T44">
        <v>24</v>
      </c>
      <c r="U44">
        <v>48</v>
      </c>
      <c r="V44" t="s">
        <v>25</v>
      </c>
      <c r="W44">
        <v>12</v>
      </c>
      <c r="X44">
        <v>18</v>
      </c>
      <c r="Y44">
        <v>24</v>
      </c>
      <c r="Z44">
        <v>48</v>
      </c>
      <c r="AA44" t="s">
        <v>25</v>
      </c>
      <c r="AB44">
        <v>12</v>
      </c>
      <c r="AC44">
        <v>18</v>
      </c>
      <c r="AD44">
        <v>24</v>
      </c>
      <c r="AE44">
        <v>48</v>
      </c>
    </row>
    <row r="45" spans="1:31" x14ac:dyDescent="0.3">
      <c r="Q45" s="3">
        <v>4500.4045953083833</v>
      </c>
      <c r="R45" s="3">
        <v>13981.362406854121</v>
      </c>
      <c r="S45" s="3">
        <v>6969.9221216984397</v>
      </c>
      <c r="T45" s="3">
        <v>5267.1846599012015</v>
      </c>
      <c r="U45" s="3">
        <v>20117.195555401751</v>
      </c>
      <c r="V45" s="3">
        <v>172.72032291589514</v>
      </c>
      <c r="W45" s="3">
        <v>4135.175945242112</v>
      </c>
      <c r="X45" s="3">
        <v>2680.8221943534618</v>
      </c>
      <c r="Y45" s="3">
        <v>7357.8638857777223</v>
      </c>
      <c r="Z45" s="3">
        <v>19066.571455735066</v>
      </c>
      <c r="AA45" s="3">
        <v>94.21626122100092</v>
      </c>
      <c r="AB45" s="3">
        <v>1726.7018942918953</v>
      </c>
      <c r="AC45" s="3">
        <v>5535.4847004932544</v>
      </c>
      <c r="AD45" s="3">
        <v>5825.4021166511029</v>
      </c>
      <c r="AE45" s="3">
        <v>19385.587696117713</v>
      </c>
    </row>
    <row r="46" spans="1:31" x14ac:dyDescent="0.3">
      <c r="Q46" s="3">
        <v>8644.4331371541193</v>
      </c>
      <c r="R46" s="3"/>
      <c r="S46" s="3">
        <v>8467.062187592388</v>
      </c>
      <c r="T46" s="3">
        <v>7742.6459775164794</v>
      </c>
      <c r="U46" s="3">
        <v>16826.699316476268</v>
      </c>
      <c r="V46" s="3">
        <v>320.63365249931007</v>
      </c>
      <c r="W46" s="3"/>
      <c r="X46" s="3">
        <v>1410.4237636441776</v>
      </c>
      <c r="Y46" s="3">
        <v>6476.9685078765779</v>
      </c>
      <c r="Z46" s="3">
        <v>21063.093143113925</v>
      </c>
      <c r="AA46" s="3">
        <v>207.61931894659097</v>
      </c>
      <c r="AB46" s="3">
        <v>1153.8220000643778</v>
      </c>
      <c r="AC46" s="3">
        <v>8054.3499763003229</v>
      </c>
      <c r="AD46" s="3">
        <v>6391.587585256796</v>
      </c>
      <c r="AE46" s="3">
        <v>18248.748775080141</v>
      </c>
    </row>
    <row r="47" spans="1:31" x14ac:dyDescent="0.3">
      <c r="Q47" s="3"/>
      <c r="R47" s="3">
        <v>12410.270747824967</v>
      </c>
      <c r="S47" s="3"/>
      <c r="T47" s="3">
        <v>4938.2576859185629</v>
      </c>
      <c r="U47" s="3">
        <v>15953.221273946925</v>
      </c>
      <c r="V47" s="3">
        <v>144.77129704867755</v>
      </c>
      <c r="W47" s="3">
        <v>2884.4794634583059</v>
      </c>
      <c r="X47" s="3">
        <v>669.38002888562721</v>
      </c>
      <c r="Y47" s="3">
        <v>7819.2296538781193</v>
      </c>
      <c r="Z47" s="3">
        <v>19822.341488538153</v>
      </c>
      <c r="AA47" s="3">
        <v>520.47251390732026</v>
      </c>
      <c r="AB47" s="3">
        <v>1755.158158449256</v>
      </c>
      <c r="AC47" s="3">
        <v>6424.3401025534149</v>
      </c>
      <c r="AD47" s="3">
        <v>3558.9287551413336</v>
      </c>
      <c r="AE47" s="3"/>
    </row>
    <row r="48" spans="1:31" x14ac:dyDescent="0.3">
      <c r="Q48" s="3">
        <v>6358.444130063318</v>
      </c>
      <c r="R48" s="3">
        <v>10261.707796805007</v>
      </c>
      <c r="S48" s="3">
        <v>7982.544317938482</v>
      </c>
      <c r="T48" s="3">
        <v>4728.9723998628406</v>
      </c>
      <c r="U48" s="3">
        <v>18805.439701510695</v>
      </c>
      <c r="V48" s="3">
        <v>462.27442279271844</v>
      </c>
      <c r="W48" s="3">
        <v>3853.9942547816436</v>
      </c>
      <c r="X48" s="3"/>
      <c r="Y48" s="3">
        <v>9988.0738790107844</v>
      </c>
      <c r="Z48" s="3"/>
      <c r="AA48" s="3">
        <v>917.94527258095479</v>
      </c>
      <c r="AB48" s="3">
        <v>768.48200961931002</v>
      </c>
      <c r="AC48" s="3">
        <v>4232.8014055294343</v>
      </c>
      <c r="AD48" s="3">
        <v>8480.051204572108</v>
      </c>
      <c r="AE48" s="3">
        <v>19069.993684395275</v>
      </c>
    </row>
    <row r="50" spans="17:31" x14ac:dyDescent="0.3">
      <c r="Q50">
        <f>AVERAGE(Q45:Q48)</f>
        <v>6501.0939541752741</v>
      </c>
      <c r="R50">
        <f t="shared" ref="R50:AE50" si="18">AVERAGE(R45:R48)</f>
        <v>12217.780317161365</v>
      </c>
      <c r="S50">
        <f t="shared" si="18"/>
        <v>7806.5095424097699</v>
      </c>
      <c r="T50">
        <f t="shared" si="18"/>
        <v>5669.2651807997709</v>
      </c>
      <c r="U50">
        <f t="shared" si="18"/>
        <v>17925.638961833909</v>
      </c>
      <c r="V50">
        <f t="shared" si="18"/>
        <v>275.09992381415032</v>
      </c>
      <c r="W50">
        <f t="shared" si="18"/>
        <v>3624.5498878273538</v>
      </c>
      <c r="X50">
        <f t="shared" si="18"/>
        <v>1586.8753289610888</v>
      </c>
      <c r="Y50">
        <f t="shared" si="18"/>
        <v>7910.533981635801</v>
      </c>
      <c r="Z50">
        <f t="shared" si="18"/>
        <v>19984.002029129046</v>
      </c>
      <c r="AA50">
        <f t="shared" si="18"/>
        <v>435.06334166396675</v>
      </c>
      <c r="AB50">
        <f t="shared" si="18"/>
        <v>1351.0410156062096</v>
      </c>
      <c r="AC50">
        <f t="shared" si="18"/>
        <v>6061.7440462191062</v>
      </c>
      <c r="AD50">
        <f t="shared" si="18"/>
        <v>6063.9924154053351</v>
      </c>
      <c r="AE50">
        <f t="shared" si="18"/>
        <v>18901.443385197708</v>
      </c>
    </row>
    <row r="51" spans="17:31" x14ac:dyDescent="0.3">
      <c r="Q51">
        <f>STDEV(Q45:Q48)</f>
        <v>2075.6938281325106</v>
      </c>
      <c r="R51">
        <f t="shared" ref="R51:AE51" si="19">STDEV(R45:R48)</f>
        <v>1867.2833285116824</v>
      </c>
      <c r="S51">
        <f t="shared" si="19"/>
        <v>763.93604174225015</v>
      </c>
      <c r="T51">
        <f t="shared" si="19"/>
        <v>1399.8927512413563</v>
      </c>
      <c r="U51">
        <f t="shared" si="19"/>
        <v>1886.3606516230063</v>
      </c>
      <c r="V51">
        <f t="shared" si="19"/>
        <v>146.71372027468058</v>
      </c>
      <c r="W51">
        <f t="shared" si="19"/>
        <v>656.15848735796044</v>
      </c>
      <c r="X51">
        <f t="shared" si="19"/>
        <v>1017.2641065291618</v>
      </c>
      <c r="Y51">
        <f t="shared" si="19"/>
        <v>1492.7673080403877</v>
      </c>
      <c r="Z51">
        <f t="shared" si="19"/>
        <v>1008.0304111640866</v>
      </c>
      <c r="AA51">
        <f t="shared" si="19"/>
        <v>368.95221082852515</v>
      </c>
      <c r="AB51">
        <f t="shared" si="19"/>
        <v>477.04021370050265</v>
      </c>
      <c r="AC51">
        <f t="shared" si="19"/>
        <v>1604.5699709019416</v>
      </c>
      <c r="AD51">
        <f t="shared" si="19"/>
        <v>2022.9457020769598</v>
      </c>
      <c r="AE51">
        <f t="shared" si="19"/>
        <v>586.86249293693925</v>
      </c>
    </row>
  </sheetData>
  <mergeCells count="6">
    <mergeCell ref="Q43:U43"/>
    <mergeCell ref="V43:Z43"/>
    <mergeCell ref="AA43:AE43"/>
    <mergeCell ref="A33:E33"/>
    <mergeCell ref="F33:J33"/>
    <mergeCell ref="K33:O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2022-01-21T21:08:40Z</dcterms:created>
  <dcterms:modified xsi:type="dcterms:W3CDTF">2023-05-08T19:15:36Z</dcterms:modified>
</cp:coreProperties>
</file>