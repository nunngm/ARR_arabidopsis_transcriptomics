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ARR-Expr/Intercellular SA/"/>
    </mc:Choice>
  </mc:AlternateContent>
  <xr:revisionPtr revIDLastSave="666" documentId="11_F25DC773A252ABDACC104811D99E70BC5BDE58EF" xr6:coauthVersionLast="47" xr6:coauthVersionMax="47" xr10:uidLastSave="{5EE0C06D-0C9A-4CC8-A5D7-9319B3420EF7}"/>
  <bookViews>
    <workbookView xWindow="-107" yWindow="-107" windowWidth="20847" windowHeight="11111" xr2:uid="{00000000-000D-0000-FFFF-FFFF00000000}"/>
  </bookViews>
  <sheets>
    <sheet name="Chll contamination" sheetId="1" r:id="rId1"/>
    <sheet name="SA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3" i="1"/>
  <c r="G2" i="1"/>
  <c r="B20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M32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M31" i="2"/>
  <c r="H29" i="1" l="1"/>
  <c r="H40" i="1"/>
  <c r="H41" i="1"/>
  <c r="H3" i="1" l="1"/>
  <c r="G4" i="1"/>
  <c r="H4" i="1" s="1"/>
  <c r="G5" i="1"/>
  <c r="H5" i="1" s="1"/>
  <c r="G6" i="1"/>
  <c r="H6" i="1" s="1"/>
  <c r="G7" i="1"/>
  <c r="H7" i="1" s="1"/>
  <c r="G8" i="1"/>
  <c r="H8" i="1" s="1"/>
  <c r="H9" i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H2" i="1"/>
</calcChain>
</file>

<file path=xl/sharedStrings.xml><?xml version="1.0" encoding="utf-8"?>
<sst xmlns="http://schemas.openxmlformats.org/spreadsheetml/2006/main" count="209" uniqueCount="59">
  <si>
    <t>Sample</t>
  </si>
  <si>
    <t>Col-0 1</t>
  </si>
  <si>
    <t>Col-0 2</t>
  </si>
  <si>
    <t>Col-0 3</t>
  </si>
  <si>
    <t>Col-0 4</t>
  </si>
  <si>
    <t>ald1-T2 1</t>
  </si>
  <si>
    <t>ald1-T2 2</t>
  </si>
  <si>
    <t>ald1-T2 3</t>
  </si>
  <si>
    <t>ald1-T2 4</t>
  </si>
  <si>
    <t>fmo1-1 1</t>
  </si>
  <si>
    <t>fmo1-1 2</t>
  </si>
  <si>
    <t>fmo1-1 3</t>
  </si>
  <si>
    <t>fmo1-1 4</t>
  </si>
  <si>
    <t>Tube weight (mg)</t>
  </si>
  <si>
    <t>Young untreated</t>
  </si>
  <si>
    <t>Y 12 hpi</t>
  </si>
  <si>
    <t>Y 24 hpi</t>
  </si>
  <si>
    <t>Y 48 hpi</t>
  </si>
  <si>
    <t>OD664</t>
  </si>
  <si>
    <t>OD700</t>
  </si>
  <si>
    <t>OD664-OD700/2</t>
  </si>
  <si>
    <t>Normalized to 1 ml</t>
  </si>
  <si>
    <t>M Unt</t>
  </si>
  <si>
    <t>M 12 hpi</t>
  </si>
  <si>
    <t>M 24 hpi</t>
  </si>
  <si>
    <t>M 48 hpi</t>
  </si>
  <si>
    <t>Plate 1 r1</t>
  </si>
  <si>
    <t>A</t>
  </si>
  <si>
    <t>high:Lum</t>
  </si>
  <si>
    <t>B</t>
  </si>
  <si>
    <t>C</t>
  </si>
  <si>
    <t>D</t>
  </si>
  <si>
    <t>E</t>
  </si>
  <si>
    <t>F</t>
  </si>
  <si>
    <t>G</t>
  </si>
  <si>
    <t>H</t>
  </si>
  <si>
    <t>Plate 2 Read 1</t>
  </si>
  <si>
    <t>Plate 1 std curve</t>
  </si>
  <si>
    <t>SA conc</t>
  </si>
  <si>
    <t>Plate 1 SA levels</t>
  </si>
  <si>
    <t>Y.Un</t>
  </si>
  <si>
    <t>Y.12</t>
  </si>
  <si>
    <t>Y.24</t>
  </si>
  <si>
    <t>Y.48</t>
  </si>
  <si>
    <t>M.Un</t>
  </si>
  <si>
    <t>M.12</t>
  </si>
  <si>
    <t>M.24</t>
  </si>
  <si>
    <t>M.48</t>
  </si>
  <si>
    <t>Col-0</t>
  </si>
  <si>
    <t>ald1-T2</t>
  </si>
  <si>
    <t>fmo1-1</t>
  </si>
  <si>
    <t>Rep</t>
  </si>
  <si>
    <t>Average</t>
  </si>
  <si>
    <t>Stdev</t>
  </si>
  <si>
    <t>ng SA per ml IWF with chll contaminated samples removed</t>
  </si>
  <si>
    <t>Plate 2 std curve</t>
  </si>
  <si>
    <t>Plate 2 SA Levels</t>
  </si>
  <si>
    <t>empty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</si>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</sst>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 analysis'!$A$24:$A$31</c:f>
              <c:numCache>
                <c:formatCode>General</c:formatCode>
                <c:ptCount val="8"/>
                <c:pt idx="0">
                  <c:v>16</c:v>
                </c:pt>
                <c:pt idx="1">
                  <c:v>8</c:v>
                </c:pt>
                <c:pt idx="2">
                  <c:v>3.2</c:v>
                </c:pt>
                <c:pt idx="3">
                  <c:v>1.6</c:v>
                </c:pt>
                <c:pt idx="4">
                  <c:v>16</c:v>
                </c:pt>
                <c:pt idx="5">
                  <c:v>8</c:v>
                </c:pt>
                <c:pt idx="6">
                  <c:v>3.2</c:v>
                </c:pt>
                <c:pt idx="7">
                  <c:v>1.6</c:v>
                </c:pt>
              </c:numCache>
            </c:numRef>
          </c:xVal>
          <c:yVal>
            <c:numRef>
              <c:f>'SA analysis'!$B$24:$B$31</c:f>
              <c:numCache>
                <c:formatCode>General</c:formatCode>
                <c:ptCount val="8"/>
                <c:pt idx="0">
                  <c:v>26645</c:v>
                </c:pt>
                <c:pt idx="1">
                  <c:v>15309</c:v>
                </c:pt>
                <c:pt idx="2">
                  <c:v>7106</c:v>
                </c:pt>
                <c:pt idx="3">
                  <c:v>5381</c:v>
                </c:pt>
                <c:pt idx="4">
                  <c:v>26519</c:v>
                </c:pt>
                <c:pt idx="5">
                  <c:v>14054</c:v>
                </c:pt>
                <c:pt idx="6">
                  <c:v>7048</c:v>
                </c:pt>
                <c:pt idx="7">
                  <c:v>5203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2-4F7F-B5A3-50A2DBA7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1424"/>
        <c:axId val="611802408"/>
      </c:scatterChart>
      <c:valAx>
        <c:axId val="6118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2408"/>
        <c:crosses val="autoZero"/>
        <c:crossBetween val="midCat"/>
      </c:valAx>
      <c:valAx>
        <c:axId val="61180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 analysis'!$A$41:$A$62</c:f>
              <c:numCache>
                <c:formatCode>General</c:formatCode>
                <c:ptCount val="22"/>
                <c:pt idx="0">
                  <c:v>24</c:v>
                </c:pt>
                <c:pt idx="1">
                  <c:v>16</c:v>
                </c:pt>
                <c:pt idx="2">
                  <c:v>8</c:v>
                </c:pt>
                <c:pt idx="3">
                  <c:v>3.2</c:v>
                </c:pt>
                <c:pt idx="4">
                  <c:v>1.6</c:v>
                </c:pt>
                <c:pt idx="5">
                  <c:v>16</c:v>
                </c:pt>
                <c:pt idx="6">
                  <c:v>8</c:v>
                </c:pt>
                <c:pt idx="7">
                  <c:v>3.2</c:v>
                </c:pt>
                <c:pt idx="8">
                  <c:v>1.6</c:v>
                </c:pt>
              </c:numCache>
            </c:numRef>
          </c:xVal>
          <c:yVal>
            <c:numRef>
              <c:f>'SA analysis'!$B$41:$B$62</c:f>
              <c:numCache>
                <c:formatCode>General</c:formatCode>
                <c:ptCount val="22"/>
                <c:pt idx="0">
                  <c:v>44547</c:v>
                </c:pt>
                <c:pt idx="1">
                  <c:v>30669</c:v>
                </c:pt>
                <c:pt idx="2">
                  <c:v>16920</c:v>
                </c:pt>
                <c:pt idx="3">
                  <c:v>9091</c:v>
                </c:pt>
                <c:pt idx="4">
                  <c:v>6249</c:v>
                </c:pt>
                <c:pt idx="5">
                  <c:v>30661</c:v>
                </c:pt>
                <c:pt idx="6">
                  <c:v>17265</c:v>
                </c:pt>
                <c:pt idx="7">
                  <c:v>9045</c:v>
                </c:pt>
                <c:pt idx="8">
                  <c:v>6046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F7-4ED6-BA46-1E60AEC06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01424"/>
        <c:axId val="611802408"/>
      </c:scatterChart>
      <c:valAx>
        <c:axId val="611801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2408"/>
        <c:crosses val="autoZero"/>
        <c:crossBetween val="midCat"/>
      </c:valAx>
      <c:valAx>
        <c:axId val="611802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01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77223024205307667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('SA analysis'!$M$32,'SA analysis'!$P$32,'SA analysis'!$S$32,'SA analysis'!$V$32,'SA analysis'!$Y$32,'SA analysis'!$AB$32,'SA analysis'!$AE$32,'SA analysis'!$AH$32)</c15:sqref>
                    </c15:fullRef>
                  </c:ext>
                </c:extLst>
                <c:f>('SA analysis'!$M$32,'SA analysis'!$P$32,'SA analysis'!$S$32,'SA analysis'!$Y$32,'SA analysis'!$AB$32,'SA analysis'!$AE$32)</c:f>
                <c:numCache>
                  <c:formatCode>General</c:formatCode>
                  <c:ptCount val="6"/>
                  <c:pt idx="0">
                    <c:v>35.868081244015997</c:v>
                  </c:pt>
                  <c:pt idx="1">
                    <c:v>86.542459776939282</c:v>
                  </c:pt>
                  <c:pt idx="2">
                    <c:v>102.40856720156897</c:v>
                  </c:pt>
                  <c:pt idx="3">
                    <c:v>22.52179956110038</c:v>
                  </c:pt>
                  <c:pt idx="4">
                    <c:v>34.763278374837796</c:v>
                  </c:pt>
                  <c:pt idx="5">
                    <c:v>456.37056300090768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('SA analysis'!$M$32,'SA analysis'!$P$32,'SA analysis'!$S$32,'SA analysis'!$V$32,'SA analysis'!$Y$32,'SA analysis'!$AB$32,'SA analysis'!$AE$32,'SA analysis'!$AH$32)</c15:sqref>
                    </c15:fullRef>
                  </c:ext>
                </c:extLst>
                <c:f>('SA analysis'!$M$32,'SA analysis'!$P$32,'SA analysis'!$S$32,'SA analysis'!$Y$32,'SA analysis'!$AB$32,'SA analysis'!$AE$32)</c:f>
                <c:numCache>
                  <c:formatCode>General</c:formatCode>
                  <c:ptCount val="6"/>
                  <c:pt idx="0">
                    <c:v>35.868081244015997</c:v>
                  </c:pt>
                  <c:pt idx="1">
                    <c:v>86.542459776939282</c:v>
                  </c:pt>
                  <c:pt idx="2">
                    <c:v>102.40856720156897</c:v>
                  </c:pt>
                  <c:pt idx="3">
                    <c:v>22.52179956110038</c:v>
                  </c:pt>
                  <c:pt idx="4">
                    <c:v>34.763278374837796</c:v>
                  </c:pt>
                  <c:pt idx="5">
                    <c:v>456.37056300090768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('SA analysis'!$M$31,'SA analysis'!$P$31,'SA analysis'!$S$31,'SA analysis'!$V$31,'SA analysis'!$Y$31,'SA analysis'!$AB$31,'SA analysis'!$AE$31,'SA analysis'!$AH$31)</c15:sqref>
                  </c15:fullRef>
                </c:ext>
              </c:extLst>
              <c:f>('SA analysis'!$M$31,'SA analysis'!$P$31,'SA analysis'!$S$31,'SA analysis'!$Y$31,'SA analysis'!$AB$31,'SA analysis'!$AE$31)</c:f>
              <c:numCache>
                <c:formatCode>General</c:formatCode>
                <c:ptCount val="6"/>
                <c:pt idx="0">
                  <c:v>47.365519545606432</c:v>
                </c:pt>
                <c:pt idx="1">
                  <c:v>132.68960908787173</c:v>
                </c:pt>
                <c:pt idx="2">
                  <c:v>686.18108920815223</c:v>
                </c:pt>
                <c:pt idx="3">
                  <c:v>41.53670262664167</c:v>
                </c:pt>
                <c:pt idx="4">
                  <c:v>75.065959193245817</c:v>
                </c:pt>
                <c:pt idx="5">
                  <c:v>1500.4367964352721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7-40F2-8679-310348B4C1CA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('SA analysis'!$N$32,'SA analysis'!$Q$32,'SA analysis'!$T$32,'SA analysis'!$W$32,'SA analysis'!$Z$32,'SA analysis'!$AC$32,'SA analysis'!$AF$32,'SA analysis'!$AI$32)</c15:sqref>
                    </c15:fullRef>
                  </c:ext>
                </c:extLst>
                <c:f>('SA analysis'!$N$32,'SA analysis'!$Q$32,'SA analysis'!$T$32,'SA analysis'!$Z$32,'SA analysis'!$AC$32,'SA analysis'!$AF$32)</c:f>
                <c:numCache>
                  <c:formatCode>General</c:formatCode>
                  <c:ptCount val="6"/>
                  <c:pt idx="0">
                    <c:v>18.289959474867342</c:v>
                  </c:pt>
                  <c:pt idx="1">
                    <c:v>31.366358350852373</c:v>
                  </c:pt>
                  <c:pt idx="2">
                    <c:v>120.30520965533137</c:v>
                  </c:pt>
                  <c:pt idx="3">
                    <c:v>10.230079735928333</c:v>
                  </c:pt>
                  <c:pt idx="4">
                    <c:v>25.185704125869343</c:v>
                  </c:pt>
                  <c:pt idx="5">
                    <c:v>118.05928294006253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('SA analysis'!$N$32,'SA analysis'!$Q$32,'SA analysis'!$T$32,'SA analysis'!$W$32,'SA analysis'!$Z$32,'SA analysis'!$AC$32,'SA analysis'!$AF$32,'SA analysis'!$AI$32)</c15:sqref>
                    </c15:fullRef>
                  </c:ext>
                </c:extLst>
                <c:f>('SA analysis'!$N$32,'SA analysis'!$Q$32,'SA analysis'!$T$32,'SA analysis'!$Z$32,'SA analysis'!$AC$32,'SA analysis'!$AF$32)</c:f>
                <c:numCache>
                  <c:formatCode>General</c:formatCode>
                  <c:ptCount val="6"/>
                  <c:pt idx="0">
                    <c:v>18.289959474867342</c:v>
                  </c:pt>
                  <c:pt idx="1">
                    <c:v>31.366358350852373</c:v>
                  </c:pt>
                  <c:pt idx="2">
                    <c:v>120.30520965533137</c:v>
                  </c:pt>
                  <c:pt idx="3">
                    <c:v>10.230079735928333</c:v>
                  </c:pt>
                  <c:pt idx="4">
                    <c:v>25.185704125869343</c:v>
                  </c:pt>
                  <c:pt idx="5">
                    <c:v>118.05928294006253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('SA analysis'!$N$31,'SA analysis'!$Q$31,'SA analysis'!$T$31,'SA analysis'!$W$31,'SA analysis'!$Z$31,'SA analysis'!$AC$31,'SA analysis'!$AF$31,'SA analysis'!$AI$31)</c15:sqref>
                  </c15:fullRef>
                </c:ext>
              </c:extLst>
              <c:f>('SA analysis'!$N$31,'SA analysis'!$Q$31,'SA analysis'!$T$31,'SA analysis'!$Z$31,'SA analysis'!$AC$31,'SA analysis'!$AF$31)</c:f>
              <c:numCache>
                <c:formatCode>General</c:formatCode>
                <c:ptCount val="6"/>
                <c:pt idx="0">
                  <c:v>72.799866354827955</c:v>
                </c:pt>
                <c:pt idx="1">
                  <c:v>94.926495155362531</c:v>
                </c:pt>
                <c:pt idx="2">
                  <c:v>865.59973270965577</c:v>
                </c:pt>
                <c:pt idx="3">
                  <c:v>40.217518761726097</c:v>
                </c:pt>
                <c:pt idx="4">
                  <c:v>39.206144465290826</c:v>
                </c:pt>
                <c:pt idx="5">
                  <c:v>720.21282833020632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87-40F2-8679-310348B4C1CA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('SA analysis'!$O$32,'SA analysis'!$R$32,'SA analysis'!$U$32,'SA analysis'!$X$32,'SA analysis'!$AA$32,'SA analysis'!$AD$32,'SA analysis'!$AG$32,'SA analysis'!$AJ$32)</c15:sqref>
                    </c15:fullRef>
                  </c:ext>
                </c:extLst>
                <c:f>('SA analysis'!$O$32,'SA analysis'!$R$32,'SA analysis'!$U$32,'SA analysis'!$AA$32,'SA analysis'!$AD$32,'SA analysis'!$AG$32)</c:f>
                <c:numCache>
                  <c:formatCode>General</c:formatCode>
                  <c:ptCount val="6"/>
                  <c:pt idx="0">
                    <c:v>50.96045077136769</c:v>
                  </c:pt>
                  <c:pt idx="1">
                    <c:v>12.426710501037034</c:v>
                  </c:pt>
                  <c:pt idx="2">
                    <c:v>244.12814687257904</c:v>
                  </c:pt>
                  <c:pt idx="3">
                    <c:v>18.428466455955732</c:v>
                  </c:pt>
                  <c:pt idx="4">
                    <c:v>37.917530183286878</c:v>
                  </c:pt>
                  <c:pt idx="5">
                    <c:v>46.764566673219107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('SA analysis'!$O$32,'SA analysis'!$R$32,'SA analysis'!$U$32,'SA analysis'!$X$32,'SA analysis'!$AA$32,'SA analysis'!$AD$32,'SA analysis'!$AG$32,'SA analysis'!$AJ$32)</c15:sqref>
                    </c15:fullRef>
                  </c:ext>
                </c:extLst>
                <c:f>('SA analysis'!$O$32,'SA analysis'!$R$32,'SA analysis'!$U$32,'SA analysis'!$AA$32,'SA analysis'!$AD$32,'SA analysis'!$AG$32)</c:f>
                <c:numCache>
                  <c:formatCode>General</c:formatCode>
                  <c:ptCount val="6"/>
                  <c:pt idx="0">
                    <c:v>50.96045077136769</c:v>
                  </c:pt>
                  <c:pt idx="1">
                    <c:v>12.426710501037034</c:v>
                  </c:pt>
                  <c:pt idx="2">
                    <c:v>244.12814687257904</c:v>
                  </c:pt>
                  <c:pt idx="3">
                    <c:v>18.428466455955732</c:v>
                  </c:pt>
                  <c:pt idx="4">
                    <c:v>37.917530183286878</c:v>
                  </c:pt>
                  <c:pt idx="5">
                    <c:v>46.764566673219107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('SA analysis'!$O$31,'SA analysis'!$R$31,'SA analysis'!$U$31,'SA analysis'!$X$31,'SA analysis'!$AA$31,'SA analysis'!$AD$31,'SA analysis'!$AG$31,'SA analysis'!$AJ$31)</c15:sqref>
                  </c15:fullRef>
                </c:ext>
              </c:extLst>
              <c:f>('SA analysis'!$O$31,'SA analysis'!$R$31,'SA analysis'!$U$31,'SA analysis'!$AA$31,'SA analysis'!$AD$31,'SA analysis'!$AG$31)</c:f>
              <c:numCache>
                <c:formatCode>General</c:formatCode>
                <c:ptCount val="6"/>
                <c:pt idx="0">
                  <c:v>72.925158703641841</c:v>
                </c:pt>
                <c:pt idx="1">
                  <c:v>133.52489141329769</c:v>
                </c:pt>
                <c:pt idx="2">
                  <c:v>867.10324089542257</c:v>
                </c:pt>
                <c:pt idx="3">
                  <c:v>54.376758911819906</c:v>
                </c:pt>
                <c:pt idx="4">
                  <c:v>104.92348733583491</c:v>
                </c:pt>
                <c:pt idx="5">
                  <c:v>508.79162757973739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87-40F2-8679-310348B4C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analysis'!$Y$32,'SA analysis'!$AB$32,'SA analysis'!$AE$32,'SA analysis'!$AH$32)</c:f>
                <c:numCache>
                  <c:formatCode>General</c:formatCode>
                  <c:ptCount val="4"/>
                  <c:pt idx="0">
                    <c:v>22.52179956110038</c:v>
                  </c:pt>
                  <c:pt idx="1">
                    <c:v>34.763278374837796</c:v>
                  </c:pt>
                  <c:pt idx="2">
                    <c:v>456.37056300090768</c:v>
                  </c:pt>
                  <c:pt idx="3">
                    <c:v>30.222674341717418</c:v>
                  </c:pt>
                </c:numCache>
              </c:numRef>
            </c:plus>
            <c:minus>
              <c:numRef>
                <c:f>('SA analysis'!$Y$32,'SA analysis'!$AB$32,'SA analysis'!$AE$32,'SA analysis'!$AH$32)</c:f>
                <c:numCache>
                  <c:formatCode>General</c:formatCode>
                  <c:ptCount val="4"/>
                  <c:pt idx="0">
                    <c:v>22.52179956110038</c:v>
                  </c:pt>
                  <c:pt idx="1">
                    <c:v>34.763278374837796</c:v>
                  </c:pt>
                  <c:pt idx="2">
                    <c:v>456.37056300090768</c:v>
                  </c:pt>
                  <c:pt idx="3">
                    <c:v>30.222674341717418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analysis'!$Y$31,'SA analysis'!$AB$31,'SA analysis'!$AE$31,'SA analysis'!$AH$31)</c:f>
              <c:numCache>
                <c:formatCode>General</c:formatCode>
                <c:ptCount val="4"/>
                <c:pt idx="0">
                  <c:v>41.53670262664167</c:v>
                </c:pt>
                <c:pt idx="1">
                  <c:v>75.065959193245817</c:v>
                </c:pt>
                <c:pt idx="2">
                  <c:v>1500.4367964352721</c:v>
                </c:pt>
                <c:pt idx="3">
                  <c:v>231.14739681050659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B-43CC-BF39-73F8C58454D4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analysis'!$Z$32,'SA analysis'!$AC$32,'SA analysis'!$AF$32,'SA analysis'!$AI$32)</c:f>
                <c:numCache>
                  <c:formatCode>General</c:formatCode>
                  <c:ptCount val="4"/>
                  <c:pt idx="0">
                    <c:v>10.230079735928333</c:v>
                  </c:pt>
                  <c:pt idx="1">
                    <c:v>25.185704125869343</c:v>
                  </c:pt>
                  <c:pt idx="2">
                    <c:v>118.05928294006253</c:v>
                  </c:pt>
                  <c:pt idx="3">
                    <c:v>175.48662690781171</c:v>
                  </c:pt>
                </c:numCache>
              </c:numRef>
            </c:plus>
            <c:minus>
              <c:numRef>
                <c:f>('SA analysis'!$Z$32,'SA analysis'!$AC$32,'SA analysis'!$AF$32,'SA analysis'!$AI$32)</c:f>
                <c:numCache>
                  <c:formatCode>General</c:formatCode>
                  <c:ptCount val="4"/>
                  <c:pt idx="0">
                    <c:v>10.230079735928333</c:v>
                  </c:pt>
                  <c:pt idx="1">
                    <c:v>25.185704125869343</c:v>
                  </c:pt>
                  <c:pt idx="2">
                    <c:v>118.05928294006253</c:v>
                  </c:pt>
                  <c:pt idx="3">
                    <c:v>175.48662690781171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analysis'!$Z$31,'SA analysis'!$AC$31,'SA analysis'!$AF$31,'SA analysis'!$AI$31)</c:f>
              <c:numCache>
                <c:formatCode>General</c:formatCode>
                <c:ptCount val="4"/>
                <c:pt idx="0">
                  <c:v>40.217518761726097</c:v>
                </c:pt>
                <c:pt idx="1">
                  <c:v>39.206144465290826</c:v>
                </c:pt>
                <c:pt idx="2">
                  <c:v>720.21282833020632</c:v>
                </c:pt>
                <c:pt idx="3">
                  <c:v>615.49161585365857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7B-43CC-BF39-73F8C58454D4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analysis'!$AA$32,'SA analysis'!$AD$32,'SA analysis'!$AG$32,'SA analysis'!$AJ$32)</c:f>
                <c:numCache>
                  <c:formatCode>General</c:formatCode>
                  <c:ptCount val="4"/>
                  <c:pt idx="0">
                    <c:v>18.428466455955732</c:v>
                  </c:pt>
                  <c:pt idx="1">
                    <c:v>37.917530183286878</c:v>
                  </c:pt>
                  <c:pt idx="2">
                    <c:v>46.764566673219107</c:v>
                  </c:pt>
                  <c:pt idx="3">
                    <c:v>293.60143047883935</c:v>
                  </c:pt>
                </c:numCache>
              </c:numRef>
            </c:plus>
            <c:minus>
              <c:numRef>
                <c:f>('SA analysis'!$AA$32,'SA analysis'!$AD$32,'SA analysis'!$AG$32,'SA analysis'!$AJ$32)</c:f>
                <c:numCache>
                  <c:formatCode>General</c:formatCode>
                  <c:ptCount val="4"/>
                  <c:pt idx="0">
                    <c:v>18.428466455955732</c:v>
                  </c:pt>
                  <c:pt idx="1">
                    <c:v>37.917530183286878</c:v>
                  </c:pt>
                  <c:pt idx="2">
                    <c:v>46.764566673219107</c:v>
                  </c:pt>
                  <c:pt idx="3">
                    <c:v>293.60143047883935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analysis'!$AA$31,'SA analysis'!$AD$31,'SA analysis'!$AG$31,'SA analysis'!$AJ$31)</c:f>
              <c:numCache>
                <c:formatCode>General</c:formatCode>
                <c:ptCount val="4"/>
                <c:pt idx="0">
                  <c:v>54.376758911819906</c:v>
                </c:pt>
                <c:pt idx="1">
                  <c:v>104.92348733583491</c:v>
                </c:pt>
                <c:pt idx="2">
                  <c:v>508.79162757973739</c:v>
                </c:pt>
                <c:pt idx="3">
                  <c:v>644.43304409005634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7B-43CC-BF39-73F8C5845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80038523697426189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analysis'!$Y$32,'SA analysis'!$AB$32,'SA analysis'!$AE$32,'SA analysis'!$AH$32)</c:f>
                <c:numCache>
                  <c:formatCode>General</c:formatCode>
                  <c:ptCount val="4"/>
                  <c:pt idx="0">
                    <c:v>22.52179956110038</c:v>
                  </c:pt>
                  <c:pt idx="1">
                    <c:v>34.763278374837796</c:v>
                  </c:pt>
                  <c:pt idx="2">
                    <c:v>456.37056300090768</c:v>
                  </c:pt>
                  <c:pt idx="3">
                    <c:v>30.222674341717418</c:v>
                  </c:pt>
                </c:numCache>
              </c:numRef>
            </c:plus>
            <c:minus>
              <c:numRef>
                <c:f>('SA analysis'!$Y$32,'SA analysis'!$AB$32,'SA analysis'!$AE$32,'SA analysis'!$AH$32)</c:f>
                <c:numCache>
                  <c:formatCode>General</c:formatCode>
                  <c:ptCount val="4"/>
                  <c:pt idx="0">
                    <c:v>22.52179956110038</c:v>
                  </c:pt>
                  <c:pt idx="1">
                    <c:v>34.763278374837796</c:v>
                  </c:pt>
                  <c:pt idx="2">
                    <c:v>456.37056300090768</c:v>
                  </c:pt>
                  <c:pt idx="3">
                    <c:v>30.222674341717418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analysis'!$Y$31,'SA analysis'!$AB$31,'SA analysis'!$AE$31)</c:f>
              <c:numCache>
                <c:formatCode>General</c:formatCode>
                <c:ptCount val="3"/>
                <c:pt idx="0">
                  <c:v>41.53670262664167</c:v>
                </c:pt>
                <c:pt idx="1">
                  <c:v>75.065959193245817</c:v>
                </c:pt>
                <c:pt idx="2">
                  <c:v>1500.4367964352721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D-436F-8916-8A80346AD4AC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analysis'!$Z$32,'SA analysis'!$AC$32,'SA analysis'!$AF$32,'SA analysis'!$AI$32)</c:f>
                <c:numCache>
                  <c:formatCode>General</c:formatCode>
                  <c:ptCount val="4"/>
                  <c:pt idx="0">
                    <c:v>10.230079735928333</c:v>
                  </c:pt>
                  <c:pt idx="1">
                    <c:v>25.185704125869343</c:v>
                  </c:pt>
                  <c:pt idx="2">
                    <c:v>118.05928294006253</c:v>
                  </c:pt>
                  <c:pt idx="3">
                    <c:v>175.48662690781171</c:v>
                  </c:pt>
                </c:numCache>
              </c:numRef>
            </c:plus>
            <c:minus>
              <c:numRef>
                <c:f>('SA analysis'!$Z$32,'SA analysis'!$AC$32,'SA analysis'!$AF$32,'SA analysis'!$AI$32)</c:f>
                <c:numCache>
                  <c:formatCode>General</c:formatCode>
                  <c:ptCount val="4"/>
                  <c:pt idx="0">
                    <c:v>10.230079735928333</c:v>
                  </c:pt>
                  <c:pt idx="1">
                    <c:v>25.185704125869343</c:v>
                  </c:pt>
                  <c:pt idx="2">
                    <c:v>118.05928294006253</c:v>
                  </c:pt>
                  <c:pt idx="3">
                    <c:v>175.48662690781171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analysis'!$Z$31,'SA analysis'!$AC$31,'SA analysis'!$AF$31)</c:f>
              <c:numCache>
                <c:formatCode>General</c:formatCode>
                <c:ptCount val="3"/>
                <c:pt idx="0">
                  <c:v>40.217518761726097</c:v>
                </c:pt>
                <c:pt idx="1">
                  <c:v>39.206144465290826</c:v>
                </c:pt>
                <c:pt idx="2">
                  <c:v>720.21282833020632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D-436F-8916-8A80346AD4AC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('SA analysis'!$AA$32,'SA analysis'!$AD$32,'SA analysis'!$AG$32,'SA analysis'!$AJ$32)</c:f>
                <c:numCache>
                  <c:formatCode>General</c:formatCode>
                  <c:ptCount val="4"/>
                  <c:pt idx="0">
                    <c:v>18.428466455955732</c:v>
                  </c:pt>
                  <c:pt idx="1">
                    <c:v>37.917530183286878</c:v>
                  </c:pt>
                  <c:pt idx="2">
                    <c:v>46.764566673219107</c:v>
                  </c:pt>
                  <c:pt idx="3">
                    <c:v>293.60143047883935</c:v>
                  </c:pt>
                </c:numCache>
              </c:numRef>
            </c:plus>
            <c:minus>
              <c:numRef>
                <c:f>('SA analysis'!$AA$32,'SA analysis'!$AD$32,'SA analysis'!$AG$32,'SA analysis'!$AJ$32)</c:f>
                <c:numCache>
                  <c:formatCode>General</c:formatCode>
                  <c:ptCount val="4"/>
                  <c:pt idx="0">
                    <c:v>18.428466455955732</c:v>
                  </c:pt>
                  <c:pt idx="1">
                    <c:v>37.917530183286878</c:v>
                  </c:pt>
                  <c:pt idx="2">
                    <c:v>46.764566673219107</c:v>
                  </c:pt>
                  <c:pt idx="3">
                    <c:v>293.60143047883935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('SA analysis'!$AA$31,'SA analysis'!$AD$31,'SA analysis'!$AG$31)</c:f>
              <c:numCache>
                <c:formatCode>General</c:formatCode>
                <c:ptCount val="3"/>
                <c:pt idx="0">
                  <c:v>54.376758911819906</c:v>
                </c:pt>
                <c:pt idx="1">
                  <c:v>104.92348733583491</c:v>
                </c:pt>
                <c:pt idx="2">
                  <c:v>508.79162757973739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FD-436F-8916-8A80346AD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41189633755451"/>
          <c:y val="5.0925925925925923E-2"/>
          <c:w val="0.81374500801545313"/>
          <c:h val="0.77223024205307667"/>
        </c:manualLayout>
      </c:layout>
      <c:barChart>
        <c:barDir val="col"/>
        <c:grouping val="clustered"/>
        <c:varyColors val="0"/>
        <c:ser>
          <c:idx val="0"/>
          <c:order val="0"/>
          <c:tx>
            <c:v>Young+'SA analysis'!$M$31:$O$31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'SA analysis'!$M$32:$O$32</c:f>
                <c:numCache>
                  <c:formatCode>General</c:formatCode>
                  <c:ptCount val="3"/>
                  <c:pt idx="0">
                    <c:v>35.868081244015997</c:v>
                  </c:pt>
                  <c:pt idx="1">
                    <c:v>18.289959474867342</c:v>
                  </c:pt>
                  <c:pt idx="2">
                    <c:v>50.96045077136769</c:v>
                  </c:pt>
                </c:numCache>
              </c:numRef>
            </c:plus>
            <c:minus>
              <c:numRef>
                <c:f>'SA analysis'!$M$32:$O$32</c:f>
                <c:numCache>
                  <c:formatCode>General</c:formatCode>
                  <c:ptCount val="3"/>
                  <c:pt idx="0">
                    <c:v>35.868081244015997</c:v>
                  </c:pt>
                  <c:pt idx="1">
                    <c:v>18.289959474867342</c:v>
                  </c:pt>
                  <c:pt idx="2">
                    <c:v>50.96045077136769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'SA analysis'!$M$31:$O$31</c:f>
              <c:numCache>
                <c:formatCode>General</c:formatCode>
                <c:ptCount val="3"/>
                <c:pt idx="0">
                  <c:v>47.365519545606432</c:v>
                </c:pt>
                <c:pt idx="1">
                  <c:v>72.799866354827955</c:v>
                </c:pt>
                <c:pt idx="2">
                  <c:v>72.925158703641841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5-464C-BC8B-13A79AC55A5D}"/>
            </c:ext>
          </c:extLst>
        </c:ser>
        <c:ser>
          <c:idx val="1"/>
          <c:order val="1"/>
          <c:tx>
            <c:v>Mature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'SA analysis'!$Y$32:$AA$32</c:f>
                <c:numCache>
                  <c:formatCode>General</c:formatCode>
                  <c:ptCount val="3"/>
                  <c:pt idx="0">
                    <c:v>22.52179956110038</c:v>
                  </c:pt>
                  <c:pt idx="1">
                    <c:v>10.230079735928333</c:v>
                  </c:pt>
                  <c:pt idx="2">
                    <c:v>18.428466455955732</c:v>
                  </c:pt>
                </c:numCache>
              </c:numRef>
            </c:plus>
            <c:minus>
              <c:numRef>
                <c:f>'SA analysis'!$Y$32:$AA$32</c:f>
                <c:numCache>
                  <c:formatCode>General</c:formatCode>
                  <c:ptCount val="3"/>
                  <c:pt idx="0">
                    <c:v>22.52179956110038</c:v>
                  </c:pt>
                  <c:pt idx="1">
                    <c:v>10.230079735928333</c:v>
                  </c:pt>
                  <c:pt idx="2">
                    <c:v>18.428466455955732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'SA analysis'!$Z$31:$AB$31</c:f>
              <c:numCache>
                <c:formatCode>General</c:formatCode>
                <c:ptCount val="3"/>
                <c:pt idx="0">
                  <c:v>40.217518761726097</c:v>
                </c:pt>
                <c:pt idx="1">
                  <c:v>54.376758911819906</c:v>
                </c:pt>
                <c:pt idx="2">
                  <c:v>75.065959193245817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65-464C-BC8B-13A79AC5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  <c:max val="5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8362349418174"/>
          <c:y val="5.0925925925925923E-2"/>
          <c:w val="0.8581733771890071"/>
          <c:h val="0.77223024205307667"/>
        </c:manualLayout>
      </c:layout>
      <c:barChart>
        <c:barDir val="col"/>
        <c:grouping val="clustered"/>
        <c:varyColors val="0"/>
        <c:ser>
          <c:idx val="0"/>
          <c:order val="0"/>
          <c:tx>
            <c:v>Col-0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('SA analysis'!$M$32,'SA analysis'!$P$32,'SA analysis'!$S$32,'SA analysis'!$V$32,'SA analysis'!$Y$32,'SA analysis'!$AB$32,'SA analysis'!$AE$32,'SA analysis'!$AH$32)</c15:sqref>
                    </c15:fullRef>
                  </c:ext>
                </c:extLst>
                <c:f>('SA analysis'!$M$32,'SA analysis'!$P$32,'SA analysis'!$S$32)</c:f>
                <c:numCache>
                  <c:formatCode>General</c:formatCode>
                  <c:ptCount val="3"/>
                  <c:pt idx="0">
                    <c:v>35.868081244015997</c:v>
                  </c:pt>
                  <c:pt idx="1">
                    <c:v>86.542459776939282</c:v>
                  </c:pt>
                  <c:pt idx="2">
                    <c:v>102.40856720156897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('SA analysis'!$M$32,'SA analysis'!$P$32,'SA analysis'!$S$32,'SA analysis'!$V$32,'SA analysis'!$Y$32,'SA analysis'!$AB$32,'SA analysis'!$AE$32,'SA analysis'!$AH$32)</c15:sqref>
                    </c15:fullRef>
                  </c:ext>
                </c:extLst>
                <c:f>('SA analysis'!$M$32,'SA analysis'!$P$32,'SA analysis'!$S$32)</c:f>
                <c:numCache>
                  <c:formatCode>General</c:formatCode>
                  <c:ptCount val="3"/>
                  <c:pt idx="0">
                    <c:v>35.868081244015997</c:v>
                  </c:pt>
                  <c:pt idx="1">
                    <c:v>86.542459776939282</c:v>
                  </c:pt>
                  <c:pt idx="2">
                    <c:v>102.40856720156897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('SA analysis'!$M$31,'SA analysis'!$P$31,'SA analysis'!$S$31,'SA analysis'!$V$31,'SA analysis'!$Y$31,'SA analysis'!$AB$31,'SA analysis'!$AE$31,'SA analysis'!$AH$31)</c15:sqref>
                  </c15:fullRef>
                </c:ext>
              </c:extLst>
              <c:f>('SA analysis'!$M$31,'SA analysis'!$P$31,'SA analysis'!$S$31)</c:f>
              <c:numCache>
                <c:formatCode>General</c:formatCode>
                <c:ptCount val="3"/>
                <c:pt idx="0">
                  <c:v>47.365519545606432</c:v>
                </c:pt>
                <c:pt idx="1">
                  <c:v>132.68960908787173</c:v>
                </c:pt>
                <c:pt idx="2">
                  <c:v>686.18108920815223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0-4F74-9C82-1D64F69C3B31}"/>
            </c:ext>
          </c:extLst>
        </c:ser>
        <c:ser>
          <c:idx val="1"/>
          <c:order val="1"/>
          <c:tx>
            <c:v>ald1-T2</c:v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('SA analysis'!$N$32,'SA analysis'!$Q$32,'SA analysis'!$T$32,'SA analysis'!$W$32,'SA analysis'!$Z$32,'SA analysis'!$AC$32,'SA analysis'!$AF$32,'SA analysis'!$AI$32)</c15:sqref>
                    </c15:fullRef>
                  </c:ext>
                </c:extLst>
                <c:f>('SA analysis'!$N$32,'SA analysis'!$Q$32,'SA analysis'!$T$32)</c:f>
                <c:numCache>
                  <c:formatCode>General</c:formatCode>
                  <c:ptCount val="3"/>
                  <c:pt idx="0">
                    <c:v>18.289959474867342</c:v>
                  </c:pt>
                  <c:pt idx="1">
                    <c:v>31.366358350852373</c:v>
                  </c:pt>
                  <c:pt idx="2">
                    <c:v>120.30520965533137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('SA analysis'!$N$32,'SA analysis'!$Q$32,'SA analysis'!$T$32,'SA analysis'!$W$32,'SA analysis'!$Z$32,'SA analysis'!$AC$32,'SA analysis'!$AF$32,'SA analysis'!$AI$32)</c15:sqref>
                    </c15:fullRef>
                  </c:ext>
                </c:extLst>
                <c:f>('SA analysis'!$N$32,'SA analysis'!$Q$32,'SA analysis'!$T$32)</c:f>
                <c:numCache>
                  <c:formatCode>General</c:formatCode>
                  <c:ptCount val="3"/>
                  <c:pt idx="0">
                    <c:v>18.289959474867342</c:v>
                  </c:pt>
                  <c:pt idx="1">
                    <c:v>31.366358350852373</c:v>
                  </c:pt>
                  <c:pt idx="2">
                    <c:v>120.30520965533137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('SA analysis'!$N$31,'SA analysis'!$Q$31,'SA analysis'!$T$31,'SA analysis'!$W$31,'SA analysis'!$Z$31,'SA analysis'!$AC$31,'SA analysis'!$AF$31,'SA analysis'!$AI$31)</c15:sqref>
                  </c15:fullRef>
                </c:ext>
              </c:extLst>
              <c:f>('SA analysis'!$N$31,'SA analysis'!$Q$31,'SA analysis'!$T$31)</c:f>
              <c:numCache>
                <c:formatCode>General</c:formatCode>
                <c:ptCount val="3"/>
                <c:pt idx="0">
                  <c:v>72.799866354827955</c:v>
                </c:pt>
                <c:pt idx="1">
                  <c:v>94.926495155362531</c:v>
                </c:pt>
                <c:pt idx="2">
                  <c:v>865.59973270965577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0-4F74-9C82-1D64F69C3B31}"/>
            </c:ext>
          </c:extLst>
        </c:ser>
        <c:ser>
          <c:idx val="2"/>
          <c:order val="2"/>
          <c:tx>
            <c:v>fmo1-1</c:v>
          </c:tx>
          <c:spPr>
            <a:pattFill prst="pct10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('SA analysis'!$O$32,'SA analysis'!$R$32,'SA analysis'!$U$32,'SA analysis'!$X$32,'SA analysis'!$AA$32,'SA analysis'!$AD$32,'SA analysis'!$AG$32,'SA analysis'!$AJ$32)</c15:sqref>
                    </c15:fullRef>
                  </c:ext>
                </c:extLst>
                <c:f>('SA analysis'!$O$32,'SA analysis'!$R$32,'SA analysis'!$U$32)</c:f>
                <c:numCache>
                  <c:formatCode>General</c:formatCode>
                  <c:ptCount val="3"/>
                  <c:pt idx="0">
                    <c:v>50.96045077136769</c:v>
                  </c:pt>
                  <c:pt idx="1">
                    <c:v>12.426710501037034</c:v>
                  </c:pt>
                  <c:pt idx="2">
                    <c:v>244.12814687257904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('SA analysis'!$O$32,'SA analysis'!$R$32,'SA analysis'!$U$32,'SA analysis'!$X$32,'SA analysis'!$AA$32,'SA analysis'!$AD$32,'SA analysis'!$AG$32,'SA analysis'!$AJ$32)</c15:sqref>
                    </c15:fullRef>
                  </c:ext>
                </c:extLst>
                <c:f>('SA analysis'!$O$32,'SA analysis'!$R$32,'SA analysis'!$U$32)</c:f>
                <c:numCache>
                  <c:formatCode>General</c:formatCode>
                  <c:ptCount val="3"/>
                  <c:pt idx="0">
                    <c:v>50.96045077136769</c:v>
                  </c:pt>
                  <c:pt idx="1">
                    <c:v>12.426710501037034</c:v>
                  </c:pt>
                  <c:pt idx="2">
                    <c:v>244.12814687257904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('SA analysis'!$O$31,'SA analysis'!$R$31,'SA analysis'!$U$31,'SA analysis'!$X$31,'SA analysis'!$AA$31,'SA analysis'!$AD$31,'SA analysis'!$AG$31,'SA analysis'!$AJ$31)</c15:sqref>
                  </c15:fullRef>
                </c:ext>
              </c:extLst>
              <c:f>('SA analysis'!$O$31,'SA analysis'!$R$31,'SA analysis'!$U$31)</c:f>
              <c:numCache>
                <c:formatCode>General</c:formatCode>
                <c:ptCount val="3"/>
                <c:pt idx="0">
                  <c:v>72.925158703641841</c:v>
                </c:pt>
                <c:pt idx="1">
                  <c:v>133.52489141329769</c:v>
                </c:pt>
                <c:pt idx="2">
                  <c:v>867.10324089542257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30-4F74-9C82-1D64F69C3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208912"/>
        <c:axId val="612221880"/>
      </c:barChart>
      <c:catAx>
        <c:axId val="6122089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21880"/>
        <c:crosses val="autoZero"/>
        <c:auto val="1"/>
        <c:lblAlgn val="ctr"/>
        <c:lblOffset val="100"/>
        <c:noMultiLvlLbl val="0"/>
      </c:catAx>
      <c:valAx>
        <c:axId val="6122218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20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23</xdr:row>
      <xdr:rowOff>176212</xdr:rowOff>
    </xdr:from>
    <xdr:to>
      <xdr:col>10</xdr:col>
      <xdr:colOff>400050</xdr:colOff>
      <xdr:row>38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2CB2D-074C-4AE3-B1B5-F6AFEDA2E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41</xdr:row>
      <xdr:rowOff>0</xdr:rowOff>
    </xdr:from>
    <xdr:to>
      <xdr:col>10</xdr:col>
      <xdr:colOff>304800</xdr:colOff>
      <xdr:row>55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3CE2A-13CD-4583-A68F-B072984D27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109536</xdr:colOff>
      <xdr:row>34</xdr:row>
      <xdr:rowOff>38100</xdr:rowOff>
    </xdr:from>
    <xdr:to>
      <xdr:col>28</xdr:col>
      <xdr:colOff>57150</xdr:colOff>
      <xdr:row>49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E89B72-CBBD-4BA8-AE2B-408DADD35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124239</xdr:colOff>
      <xdr:row>52</xdr:row>
      <xdr:rowOff>0</xdr:rowOff>
    </xdr:from>
    <xdr:to>
      <xdr:col>23</xdr:col>
      <xdr:colOff>527396</xdr:colOff>
      <xdr:row>68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0F8E2E-912E-4EB9-A4CD-583D20D33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72</xdr:row>
      <xdr:rowOff>0</xdr:rowOff>
    </xdr:from>
    <xdr:to>
      <xdr:col>23</xdr:col>
      <xdr:colOff>403157</xdr:colOff>
      <xdr:row>88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8F0A69-162C-4144-8725-9BFC26CD6E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289598</xdr:colOff>
      <xdr:row>34</xdr:row>
      <xdr:rowOff>167933</xdr:rowOff>
    </xdr:from>
    <xdr:to>
      <xdr:col>17</xdr:col>
      <xdr:colOff>124827</xdr:colOff>
      <xdr:row>49</xdr:row>
      <xdr:rowOff>106684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7AAA582-D9B9-FE8F-12B7-D9A42D9F8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65049</xdr:colOff>
      <xdr:row>51</xdr:row>
      <xdr:rowOff>167268</xdr:rowOff>
    </xdr:from>
    <xdr:to>
      <xdr:col>24</xdr:col>
      <xdr:colOff>427464</xdr:colOff>
      <xdr:row>67</xdr:row>
      <xdr:rowOff>183880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1BCCBE3-4608-4579-B0CC-7BFC4D677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1.829E-7</cdr:x>
      <cdr:y>0.11083</cdr:y>
    </cdr:from>
    <cdr:to>
      <cdr:x>0.04455</cdr:x>
      <cdr:y>0.82797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930428" y="1255673"/>
          <a:ext cx="2104448" cy="24358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Intercellular</a:t>
          </a:r>
          <a:r>
            <a:rPr lang="en-CA" sz="1100" b="1" baseline="0"/>
            <a:t> </a:t>
          </a:r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0.14392</cdr:x>
      <cdr:y>0.81398</cdr:y>
    </cdr:from>
    <cdr:to>
      <cdr:x>0.2228</cdr:x>
      <cdr:y>0.89693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6876BF9-729A-4EB5-A099-21C46A602030}"/>
            </a:ext>
          </a:extLst>
        </cdr:cNvPr>
        <cdr:cNvSpPr txBox="1"/>
      </cdr:nvSpPr>
      <cdr:spPr>
        <a:xfrm xmlns:a="http://schemas.openxmlformats.org/drawingml/2006/main">
          <a:off x="786852" y="2388635"/>
          <a:ext cx="431274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Unt</a:t>
          </a:r>
        </a:p>
      </cdr:txBody>
    </cdr:sp>
  </cdr:relSizeAnchor>
  <cdr:relSizeAnchor xmlns:cdr="http://schemas.openxmlformats.org/drawingml/2006/chartDrawing">
    <cdr:from>
      <cdr:x>0.57297</cdr:x>
      <cdr:y>0.81398</cdr:y>
    </cdr:from>
    <cdr:to>
      <cdr:x>0.65185</cdr:x>
      <cdr:y>0.89693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3132711" y="2388635"/>
          <a:ext cx="431273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</a:t>
          </a:r>
        </a:p>
      </cdr:txBody>
    </cdr:sp>
  </cdr:relSizeAnchor>
  <cdr:relSizeAnchor xmlns:cdr="http://schemas.openxmlformats.org/drawingml/2006/chartDrawing">
    <cdr:from>
      <cdr:x>0.71599</cdr:x>
      <cdr:y>0.81398</cdr:y>
    </cdr:from>
    <cdr:to>
      <cdr:x>0.79487</cdr:x>
      <cdr:y>0.89693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3914663" y="2388635"/>
          <a:ext cx="431274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0.28693</cdr:x>
      <cdr:y>0.81398</cdr:y>
    </cdr:from>
    <cdr:to>
      <cdr:x>0.36581</cdr:x>
      <cdr:y>0.89693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95605571-DB30-4062-A9EC-B48350BD6DF5}"/>
            </a:ext>
          </a:extLst>
        </cdr:cNvPr>
        <cdr:cNvSpPr txBox="1"/>
      </cdr:nvSpPr>
      <cdr:spPr>
        <a:xfrm xmlns:a="http://schemas.openxmlformats.org/drawingml/2006/main">
          <a:off x="1568805" y="2388635"/>
          <a:ext cx="431274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0.42995</cdr:x>
      <cdr:y>0.81398</cdr:y>
    </cdr:from>
    <cdr:to>
      <cdr:x>0.50883</cdr:x>
      <cdr:y>0.89693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B2EBCAF7-F7E5-4FC4-8FDA-024FEE290C86}"/>
            </a:ext>
          </a:extLst>
        </cdr:cNvPr>
        <cdr:cNvSpPr txBox="1"/>
      </cdr:nvSpPr>
      <cdr:spPr>
        <a:xfrm xmlns:a="http://schemas.openxmlformats.org/drawingml/2006/main">
          <a:off x="2350758" y="2388635"/>
          <a:ext cx="431274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  <cdr:relSizeAnchor xmlns:cdr="http://schemas.openxmlformats.org/drawingml/2006/chartDrawing">
    <cdr:from>
      <cdr:x>0.85901</cdr:x>
      <cdr:y>0.81398</cdr:y>
    </cdr:from>
    <cdr:to>
      <cdr:x>0.93789</cdr:x>
      <cdr:y>0.89693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4696615" y="2388635"/>
          <a:ext cx="431274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  <cdr:relSizeAnchor xmlns:cdr="http://schemas.openxmlformats.org/drawingml/2006/chartDrawing">
    <cdr:from>
      <cdr:x>0.13234</cdr:x>
      <cdr:y>0.91101</cdr:y>
    </cdr:from>
    <cdr:to>
      <cdr:x>0.51797</cdr:x>
      <cdr:y>0.91101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EED53EDA-F9A1-4048-9482-9E4E2C2D9CBF}"/>
            </a:ext>
          </a:extLst>
        </cdr:cNvPr>
        <cdr:cNvCxnSpPr/>
      </cdr:nvCxnSpPr>
      <cdr:spPr>
        <a:xfrm xmlns:a="http://schemas.openxmlformats.org/drawingml/2006/main">
          <a:off x="723085" y="2876550"/>
          <a:ext cx="2106998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0.56892</cdr:x>
      <cdr:y>0.91101</cdr:y>
    </cdr:from>
    <cdr:to>
      <cdr:x>0.95455</cdr:x>
      <cdr:y>0.91101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32479D69-A4B9-43DA-83E8-D344FB86B16F}"/>
            </a:ext>
          </a:extLst>
        </cdr:cNvPr>
        <cdr:cNvCxnSpPr/>
      </cdr:nvCxnSpPr>
      <cdr:spPr>
        <a:xfrm xmlns:a="http://schemas.openxmlformats.org/drawingml/2006/main">
          <a:off x="3108477" y="2876550"/>
          <a:ext cx="2106998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0.24069</cdr:x>
      <cdr:y>0.91652</cdr:y>
    </cdr:from>
    <cdr:to>
      <cdr:x>0.40804</cdr:x>
      <cdr:y>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1ADAC41-FB8A-4B82-BADE-B8A4CB726D9A}"/>
            </a:ext>
          </a:extLst>
        </cdr:cNvPr>
        <cdr:cNvSpPr txBox="1"/>
      </cdr:nvSpPr>
      <cdr:spPr>
        <a:xfrm xmlns:a="http://schemas.openxmlformats.org/drawingml/2006/main">
          <a:off x="1315073" y="2893943"/>
          <a:ext cx="914400" cy="2635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Young</a:t>
          </a:r>
        </a:p>
      </cdr:txBody>
    </cdr:sp>
  </cdr:relSizeAnchor>
  <cdr:relSizeAnchor xmlns:cdr="http://schemas.openxmlformats.org/drawingml/2006/chartDrawing">
    <cdr:from>
      <cdr:x>0.67174</cdr:x>
      <cdr:y>0.91057</cdr:y>
    </cdr:from>
    <cdr:to>
      <cdr:x>0.8391</cdr:x>
      <cdr:y>0.99405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DE8DAB4-660B-469E-BCCB-E776A603EBD5}"/>
            </a:ext>
          </a:extLst>
        </cdr:cNvPr>
        <cdr:cNvSpPr txBox="1"/>
      </cdr:nvSpPr>
      <cdr:spPr>
        <a:xfrm xmlns:a="http://schemas.openxmlformats.org/drawingml/2006/main">
          <a:off x="3670300" y="2875170"/>
          <a:ext cx="914400" cy="2635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Mature</a:t>
          </a:r>
        </a:p>
      </cdr:txBody>
    </cdr:sp>
  </cdr:relSizeAnchor>
  <cdr:relSizeAnchor xmlns:cdr="http://schemas.openxmlformats.org/drawingml/2006/chartDrawing">
    <cdr:from>
      <cdr:x>0.87698</cdr:x>
      <cdr:y>0.48353</cdr:y>
    </cdr:from>
    <cdr:to>
      <cdr:x>0.92322</cdr:x>
      <cdr:y>0.56969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7E9EEFC8-2098-505F-45A5-0377DE88D071}"/>
            </a:ext>
          </a:extLst>
        </cdr:cNvPr>
        <cdr:cNvSpPr txBox="1"/>
      </cdr:nvSpPr>
      <cdr:spPr>
        <a:xfrm xmlns:a="http://schemas.openxmlformats.org/drawingml/2006/main">
          <a:off x="4794851" y="1418934"/>
          <a:ext cx="252820" cy="252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CA" sz="1400"/>
            <a:t>*</a:t>
          </a:r>
        </a:p>
      </cdr:txBody>
    </cdr:sp>
  </cdr:relSizeAnchor>
  <cdr:relSizeAnchor xmlns:cdr="http://schemas.openxmlformats.org/drawingml/2006/chartDrawing">
    <cdr:from>
      <cdr:x>0.9067</cdr:x>
      <cdr:y>0.55881</cdr:y>
    </cdr:from>
    <cdr:to>
      <cdr:x>0.95294</cdr:x>
      <cdr:y>0.64497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44719B6-1944-7902-A732-EF97E4C026C5}"/>
            </a:ext>
          </a:extLst>
        </cdr:cNvPr>
        <cdr:cNvSpPr txBox="1"/>
      </cdr:nvSpPr>
      <cdr:spPr>
        <a:xfrm xmlns:a="http://schemas.openxmlformats.org/drawingml/2006/main">
          <a:off x="4957336" y="1639849"/>
          <a:ext cx="252820" cy="252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400"/>
            <a:t>*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0.39216</cdr:x>
      <cdr:y>0.85726</cdr:y>
    </cdr:from>
    <cdr:to>
      <cdr:x>0.47104</cdr:x>
      <cdr:y>0.94021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142686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0.6059</cdr:x>
      <cdr:y>0.85726</cdr:y>
    </cdr:from>
    <cdr:to>
      <cdr:x>0.68478</cdr:x>
      <cdr:y>0.94021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3310530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  <cdr:relSizeAnchor xmlns:cdr="http://schemas.openxmlformats.org/drawingml/2006/chartDrawing">
    <cdr:from>
      <cdr:x>0.81964</cdr:x>
      <cdr:y>0.85726</cdr:y>
    </cdr:from>
    <cdr:to>
      <cdr:x>0.89852</cdr:x>
      <cdr:y>0.94021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A7121F-C4C1-48E1-8FBC-FB20A220B838}"/>
            </a:ext>
          </a:extLst>
        </cdr:cNvPr>
        <cdr:cNvSpPr txBox="1"/>
      </cdr:nvSpPr>
      <cdr:spPr>
        <a:xfrm xmlns:a="http://schemas.openxmlformats.org/drawingml/2006/main">
          <a:off x="4478375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48 hpi</a:t>
          </a:r>
          <a:endParaRPr lang="en-CA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0.17842</cdr:x>
      <cdr:y>0.85726</cdr:y>
    </cdr:from>
    <cdr:to>
      <cdr:x>0.2573</cdr:x>
      <cdr:y>0.94021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EBEC85FB-5800-4B19-A12B-FC1C4F0C3312}"/>
            </a:ext>
          </a:extLst>
        </cdr:cNvPr>
        <cdr:cNvSpPr txBox="1"/>
      </cdr:nvSpPr>
      <cdr:spPr>
        <a:xfrm xmlns:a="http://schemas.openxmlformats.org/drawingml/2006/main">
          <a:off x="974842" y="2706833"/>
          <a:ext cx="430987" cy="2619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Untreated</a:t>
          </a:r>
        </a:p>
      </cdr:txBody>
    </cdr:sp>
  </cdr:relSizeAnchor>
  <cdr:relSizeAnchor xmlns:cdr="http://schemas.openxmlformats.org/drawingml/2006/chartDrawing">
    <cdr:from>
      <cdr:x>0.50922</cdr:x>
      <cdr:y>0.85977</cdr:y>
    </cdr:from>
    <cdr:to>
      <cdr:x>0.5881</cdr:x>
      <cdr:y>0.94272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796055" y="2650844"/>
          <a:ext cx="433122" cy="255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0.79911</cdr:x>
      <cdr:y>0.85977</cdr:y>
    </cdr:from>
    <cdr:to>
      <cdr:x>0.87799</cdr:x>
      <cdr:y>0.94272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4387851" y="2650844"/>
          <a:ext cx="433122" cy="2557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0.21095</cdr:x>
      <cdr:y>0.82248</cdr:y>
    </cdr:from>
    <cdr:to>
      <cdr:x>0.3783</cdr:x>
      <cdr:y>0.93381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31ADAC41-FB8A-4B82-BADE-B8A4CB726D9A}"/>
            </a:ext>
          </a:extLst>
        </cdr:cNvPr>
        <cdr:cNvSpPr txBox="1"/>
      </cdr:nvSpPr>
      <cdr:spPr>
        <a:xfrm xmlns:a="http://schemas.openxmlformats.org/drawingml/2006/main">
          <a:off x="723595" y="2256222"/>
          <a:ext cx="574052" cy="3053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200"/>
            <a:t>Col-0</a:t>
          </a:r>
        </a:p>
      </cdr:txBody>
    </cdr:sp>
  </cdr:relSizeAnchor>
  <cdr:relSizeAnchor xmlns:cdr="http://schemas.openxmlformats.org/drawingml/2006/chartDrawing">
    <cdr:from>
      <cdr:x>0.7518</cdr:x>
      <cdr:y>0.81653</cdr:y>
    </cdr:from>
    <cdr:to>
      <cdr:x>0.91916</cdr:x>
      <cdr:y>0.90001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DE8DAB4-660B-469E-BCCB-E776A603EBD5}"/>
            </a:ext>
          </a:extLst>
        </cdr:cNvPr>
        <cdr:cNvSpPr txBox="1"/>
      </cdr:nvSpPr>
      <cdr:spPr>
        <a:xfrm xmlns:a="http://schemas.openxmlformats.org/drawingml/2006/main">
          <a:off x="2578854" y="2239900"/>
          <a:ext cx="574087" cy="229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i="1"/>
            <a:t>fmo1-1</a:t>
          </a:r>
        </a:p>
      </cdr:txBody>
    </cdr:sp>
  </cdr:relSizeAnchor>
  <cdr:relSizeAnchor xmlns:cdr="http://schemas.openxmlformats.org/drawingml/2006/chartDrawing">
    <cdr:from>
      <cdr:x>0.4806</cdr:x>
      <cdr:y>0.83456</cdr:y>
    </cdr:from>
    <cdr:to>
      <cdr:x>0.64796</cdr:x>
      <cdr:y>0.91804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4DB4FA30-ED67-FD49-9F4E-C7689BE699DA}"/>
            </a:ext>
          </a:extLst>
        </cdr:cNvPr>
        <cdr:cNvSpPr txBox="1"/>
      </cdr:nvSpPr>
      <cdr:spPr>
        <a:xfrm xmlns:a="http://schemas.openxmlformats.org/drawingml/2006/main">
          <a:off x="1648586" y="2289365"/>
          <a:ext cx="574087" cy="2290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i="1"/>
            <a:t>ald1-T2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0.19271</cdr:y>
    </cdr:from>
    <cdr:to>
      <cdr:x>0.05259</cdr:x>
      <cdr:y>0.67882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ECE2739-15C2-4B49-9426-CB1F7CBD5DBA}"/>
            </a:ext>
          </a:extLst>
        </cdr:cNvPr>
        <cdr:cNvSpPr txBox="1"/>
      </cdr:nvSpPr>
      <cdr:spPr>
        <a:xfrm xmlns:a="http://schemas.openxmlformats.org/drawingml/2006/main" rot="16200000">
          <a:off x="-523875" y="1052513"/>
          <a:ext cx="133350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CA" sz="1100" b="1"/>
            <a:t>SA (ng</a:t>
          </a:r>
          <a:r>
            <a:rPr lang="en-CA" sz="1100" b="1" baseline="0"/>
            <a:t> ml IWF </a:t>
          </a:r>
          <a:r>
            <a:rPr lang="en-CA" sz="1100" b="1" baseline="30000"/>
            <a:t>-1</a:t>
          </a:r>
          <a:r>
            <a:rPr lang="en-CA" sz="1100" b="1" baseline="0"/>
            <a:t>)</a:t>
          </a:r>
          <a:endParaRPr lang="en-CA" sz="1100" b="1"/>
        </a:p>
      </cdr:txBody>
    </cdr:sp>
  </cdr:relSizeAnchor>
  <cdr:relSizeAnchor xmlns:cdr="http://schemas.openxmlformats.org/drawingml/2006/chartDrawing">
    <cdr:from>
      <cdr:x>0.09904</cdr:x>
      <cdr:y>0.84163</cdr:y>
    </cdr:from>
    <cdr:to>
      <cdr:x>0.26731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067E11BF-6498-492F-8DD5-58DCAFBF75BD}"/>
            </a:ext>
          </a:extLst>
        </cdr:cNvPr>
        <cdr:cNvSpPr txBox="1"/>
      </cdr:nvSpPr>
      <cdr:spPr>
        <a:xfrm xmlns:a="http://schemas.openxmlformats.org/drawingml/2006/main">
          <a:off x="538164" y="2657475"/>
          <a:ext cx="914400" cy="5000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0.12883</cdr:x>
      <cdr:y>0.86274</cdr:y>
    </cdr:from>
    <cdr:to>
      <cdr:x>0.29711</cdr:x>
      <cdr:y>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BDAFC5E-BECF-4E57-B7EB-C499F53DC177}"/>
            </a:ext>
          </a:extLst>
        </cdr:cNvPr>
        <cdr:cNvSpPr txBox="1"/>
      </cdr:nvSpPr>
      <cdr:spPr>
        <a:xfrm xmlns:a="http://schemas.openxmlformats.org/drawingml/2006/main">
          <a:off x="700089" y="2724149"/>
          <a:ext cx="914400" cy="4333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0.217</cdr:x>
      <cdr:y>0.81398</cdr:y>
    </cdr:from>
    <cdr:to>
      <cdr:x>0.29588</cdr:x>
      <cdr:y>0.89693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06876BF9-729A-4EB5-A099-21C46A602030}"/>
            </a:ext>
          </a:extLst>
        </cdr:cNvPr>
        <cdr:cNvSpPr txBox="1"/>
      </cdr:nvSpPr>
      <cdr:spPr>
        <a:xfrm xmlns:a="http://schemas.openxmlformats.org/drawingml/2006/main">
          <a:off x="1186437" y="2388635"/>
          <a:ext cx="431274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Unt</a:t>
          </a:r>
        </a:p>
      </cdr:txBody>
    </cdr:sp>
  </cdr:relSizeAnchor>
  <cdr:relSizeAnchor xmlns:cdr="http://schemas.openxmlformats.org/drawingml/2006/chartDrawing">
    <cdr:from>
      <cdr:x>0.50231</cdr:x>
      <cdr:y>0.81398</cdr:y>
    </cdr:from>
    <cdr:to>
      <cdr:x>0.58119</cdr:x>
      <cdr:y>0.89693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6122EA05-2E8E-4DD9-8220-020AEE163166}"/>
            </a:ext>
          </a:extLst>
        </cdr:cNvPr>
        <cdr:cNvSpPr txBox="1"/>
      </cdr:nvSpPr>
      <cdr:spPr>
        <a:xfrm xmlns:a="http://schemas.openxmlformats.org/drawingml/2006/main">
          <a:off x="2746379" y="2388635"/>
          <a:ext cx="431274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/>
            <a:t>12</a:t>
          </a:r>
          <a:r>
            <a:rPr lang="en-CA" sz="1100" baseline="0"/>
            <a:t> hpi</a:t>
          </a:r>
          <a:endParaRPr lang="en-CA" sz="1100"/>
        </a:p>
      </cdr:txBody>
    </cdr:sp>
  </cdr:relSizeAnchor>
  <cdr:relSizeAnchor xmlns:cdr="http://schemas.openxmlformats.org/drawingml/2006/chartDrawing">
    <cdr:from>
      <cdr:x>0.78763</cdr:x>
      <cdr:y>0.81398</cdr:y>
    </cdr:from>
    <cdr:to>
      <cdr:x>0.86651</cdr:x>
      <cdr:y>0.89693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71FCCF4-797E-43CC-A809-3B5FBE029769}"/>
            </a:ext>
          </a:extLst>
        </cdr:cNvPr>
        <cdr:cNvSpPr txBox="1"/>
      </cdr:nvSpPr>
      <cdr:spPr>
        <a:xfrm xmlns:a="http://schemas.openxmlformats.org/drawingml/2006/main">
          <a:off x="4306322" y="2388635"/>
          <a:ext cx="431274" cy="2434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100" baseline="0"/>
            <a:t>24 hpi</a:t>
          </a:r>
          <a:endParaRPr lang="en-CA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workbookViewId="0">
      <selection activeCell="G10" sqref="G10"/>
    </sheetView>
  </sheetViews>
  <sheetFormatPr defaultRowHeight="14" x14ac:dyDescent="0.3"/>
  <cols>
    <col min="1" max="1" width="9.19921875" style="1"/>
    <col min="3" max="3" width="16.69921875" bestFit="1" customWidth="1"/>
    <col min="6" max="6" width="13.296875" customWidth="1"/>
    <col min="7" max="7" width="23.69921875" customWidth="1"/>
  </cols>
  <sheetData>
    <row r="1" spans="1:8" x14ac:dyDescent="0.3">
      <c r="B1" t="s">
        <v>0</v>
      </c>
      <c r="C1" t="s">
        <v>13</v>
      </c>
      <c r="D1" t="s">
        <v>18</v>
      </c>
      <c r="E1" t="s">
        <v>19</v>
      </c>
      <c r="F1" t="s">
        <v>20</v>
      </c>
      <c r="G1" t="s">
        <v>21</v>
      </c>
    </row>
    <row r="2" spans="1:8" x14ac:dyDescent="0.3">
      <c r="A2" s="6" t="s">
        <v>14</v>
      </c>
      <c r="B2" t="s">
        <v>1</v>
      </c>
      <c r="C2">
        <v>48</v>
      </c>
      <c r="D2" s="2">
        <v>5.3999999999999999E-2</v>
      </c>
      <c r="E2" s="2">
        <v>4.1000000000000002E-2</v>
      </c>
      <c r="F2">
        <f>(D2-E2)</f>
        <v>1.2999999999999998E-2</v>
      </c>
      <c r="G2">
        <f>F2*(1000/C2)/2</f>
        <v>0.13541666666666663</v>
      </c>
      <c r="H2" t="str">
        <f>IF(G2&gt;0.15,"High","")</f>
        <v/>
      </c>
    </row>
    <row r="3" spans="1:8" x14ac:dyDescent="0.3">
      <c r="A3" s="6"/>
      <c r="B3" t="s">
        <v>2</v>
      </c>
      <c r="C3">
        <v>66</v>
      </c>
      <c r="D3" s="2">
        <v>5.8000000000000003E-2</v>
      </c>
      <c r="E3" s="2">
        <v>4.4999999999999998E-2</v>
      </c>
      <c r="F3">
        <f t="shared" ref="F3:F66" si="0">(D3-E3)</f>
        <v>1.3000000000000005E-2</v>
      </c>
      <c r="G3">
        <f>F3*(1000/C3)/2</f>
        <v>9.8484848484848522E-2</v>
      </c>
      <c r="H3" t="str">
        <f t="shared" ref="H3:H66" si="1">IF(G3&gt;0.15,"High","")</f>
        <v/>
      </c>
    </row>
    <row r="4" spans="1:8" x14ac:dyDescent="0.3">
      <c r="A4" s="6"/>
      <c r="B4" t="s">
        <v>3</v>
      </c>
      <c r="C4">
        <v>40</v>
      </c>
      <c r="D4" s="2">
        <v>4.3999999999999997E-2</v>
      </c>
      <c r="E4" s="2">
        <v>4.1000000000000002E-2</v>
      </c>
      <c r="F4">
        <f t="shared" si="0"/>
        <v>2.9999999999999957E-3</v>
      </c>
      <c r="G4">
        <f t="shared" ref="G3:G66" si="2">F4*(1000/C4)/2</f>
        <v>3.749999999999995E-2</v>
      </c>
      <c r="H4" t="str">
        <f t="shared" si="1"/>
        <v/>
      </c>
    </row>
    <row r="5" spans="1:8" x14ac:dyDescent="0.3">
      <c r="A5" s="6"/>
      <c r="B5" t="s">
        <v>4</v>
      </c>
      <c r="C5">
        <v>27</v>
      </c>
      <c r="D5" s="2">
        <v>4.7E-2</v>
      </c>
      <c r="E5" s="2">
        <v>4.3999999999999997E-2</v>
      </c>
      <c r="F5">
        <f t="shared" si="0"/>
        <v>3.0000000000000027E-3</v>
      </c>
      <c r="G5">
        <f t="shared" si="2"/>
        <v>5.5555555555555608E-2</v>
      </c>
      <c r="H5" t="str">
        <f t="shared" si="1"/>
        <v/>
      </c>
    </row>
    <row r="6" spans="1:8" x14ac:dyDescent="0.3">
      <c r="A6" s="6"/>
      <c r="B6" t="s">
        <v>5</v>
      </c>
      <c r="C6">
        <v>88</v>
      </c>
      <c r="D6" s="2">
        <v>6.0999999999999999E-2</v>
      </c>
      <c r="E6" s="2">
        <v>4.2000000000000003E-2</v>
      </c>
      <c r="F6">
        <f t="shared" si="0"/>
        <v>1.8999999999999996E-2</v>
      </c>
      <c r="G6">
        <f t="shared" si="2"/>
        <v>0.10795454545454543</v>
      </c>
      <c r="H6" t="str">
        <f t="shared" si="1"/>
        <v/>
      </c>
    </row>
    <row r="7" spans="1:8" x14ac:dyDescent="0.3">
      <c r="A7" s="6"/>
      <c r="B7" t="s">
        <v>6</v>
      </c>
      <c r="C7">
        <v>70</v>
      </c>
      <c r="D7" s="2">
        <v>5.7000000000000002E-2</v>
      </c>
      <c r="E7" s="2">
        <v>4.5999999999999999E-2</v>
      </c>
      <c r="F7">
        <f t="shared" si="0"/>
        <v>1.1000000000000003E-2</v>
      </c>
      <c r="G7">
        <f t="shared" si="2"/>
        <v>7.8571428571428598E-2</v>
      </c>
      <c r="H7" t="str">
        <f t="shared" si="1"/>
        <v/>
      </c>
    </row>
    <row r="8" spans="1:8" x14ac:dyDescent="0.3">
      <c r="A8" s="6"/>
      <c r="B8" t="s">
        <v>7</v>
      </c>
      <c r="C8">
        <v>73</v>
      </c>
      <c r="D8" s="2">
        <v>7.0000000000000007E-2</v>
      </c>
      <c r="E8" s="2">
        <v>6.4000000000000001E-2</v>
      </c>
      <c r="F8">
        <f t="shared" si="0"/>
        <v>6.0000000000000053E-3</v>
      </c>
      <c r="G8">
        <f t="shared" si="2"/>
        <v>4.1095890410958937E-2</v>
      </c>
      <c r="H8" t="str">
        <f t="shared" si="1"/>
        <v/>
      </c>
    </row>
    <row r="9" spans="1:8" x14ac:dyDescent="0.3">
      <c r="A9" s="6"/>
      <c r="B9" t="s">
        <v>8</v>
      </c>
      <c r="C9">
        <v>64</v>
      </c>
      <c r="D9" s="2">
        <v>6.3E-2</v>
      </c>
      <c r="E9" s="2">
        <v>4.2000000000000003E-2</v>
      </c>
      <c r="F9">
        <f t="shared" si="0"/>
        <v>2.0999999999999998E-2</v>
      </c>
      <c r="G9">
        <f>F9*(1000/C9)/2</f>
        <v>0.16406249999999997</v>
      </c>
      <c r="H9" t="str">
        <f t="shared" si="1"/>
        <v>High</v>
      </c>
    </row>
    <row r="10" spans="1:8" x14ac:dyDescent="0.3">
      <c r="A10" s="6"/>
      <c r="B10" t="s">
        <v>9</v>
      </c>
      <c r="C10">
        <v>50</v>
      </c>
      <c r="D10" s="2">
        <v>5.6000000000000001E-2</v>
      </c>
      <c r="E10" s="2">
        <v>4.3999999999999997E-2</v>
      </c>
      <c r="F10">
        <f t="shared" si="0"/>
        <v>1.2000000000000004E-2</v>
      </c>
      <c r="G10">
        <f t="shared" si="2"/>
        <v>0.12000000000000004</v>
      </c>
      <c r="H10" t="str">
        <f t="shared" si="1"/>
        <v/>
      </c>
    </row>
    <row r="11" spans="1:8" x14ac:dyDescent="0.3">
      <c r="A11" s="6"/>
      <c r="B11" t="s">
        <v>10</v>
      </c>
      <c r="C11">
        <v>101</v>
      </c>
      <c r="D11" s="2">
        <v>5.8999999999999997E-2</v>
      </c>
      <c r="E11" s="2">
        <v>4.2000000000000003E-2</v>
      </c>
      <c r="F11">
        <f t="shared" si="0"/>
        <v>1.6999999999999994E-2</v>
      </c>
      <c r="G11">
        <f t="shared" si="2"/>
        <v>8.4158415841584136E-2</v>
      </c>
      <c r="H11" t="str">
        <f t="shared" si="1"/>
        <v/>
      </c>
    </row>
    <row r="12" spans="1:8" x14ac:dyDescent="0.3">
      <c r="A12" s="6"/>
      <c r="B12" t="s">
        <v>11</v>
      </c>
      <c r="C12">
        <v>96</v>
      </c>
      <c r="D12" s="2">
        <v>7.9000000000000001E-2</v>
      </c>
      <c r="E12" s="2">
        <v>4.5999999999999999E-2</v>
      </c>
      <c r="F12">
        <f t="shared" si="0"/>
        <v>3.3000000000000002E-2</v>
      </c>
      <c r="G12">
        <f t="shared" si="2"/>
        <v>0.171875</v>
      </c>
      <c r="H12" t="str">
        <f t="shared" si="1"/>
        <v>High</v>
      </c>
    </row>
    <row r="13" spans="1:8" x14ac:dyDescent="0.3">
      <c r="A13" s="6"/>
      <c r="B13" t="s">
        <v>12</v>
      </c>
      <c r="C13">
        <v>64</v>
      </c>
      <c r="D13" s="2">
        <v>5.7000000000000002E-2</v>
      </c>
      <c r="E13" s="2">
        <v>3.7999999999999999E-2</v>
      </c>
      <c r="F13">
        <f t="shared" si="0"/>
        <v>1.9000000000000003E-2</v>
      </c>
      <c r="G13">
        <f t="shared" si="2"/>
        <v>0.14843750000000003</v>
      </c>
      <c r="H13" t="str">
        <f t="shared" si="1"/>
        <v/>
      </c>
    </row>
    <row r="14" spans="1:8" x14ac:dyDescent="0.3">
      <c r="A14" s="6" t="s">
        <v>15</v>
      </c>
      <c r="B14" t="s">
        <v>1</v>
      </c>
      <c r="C14">
        <v>40</v>
      </c>
      <c r="D14" s="2">
        <v>4.8000000000000001E-2</v>
      </c>
      <c r="E14" s="2">
        <v>0.04</v>
      </c>
      <c r="F14">
        <f t="shared" si="0"/>
        <v>8.0000000000000002E-3</v>
      </c>
      <c r="G14">
        <f t="shared" si="2"/>
        <v>0.1</v>
      </c>
      <c r="H14" t="str">
        <f t="shared" si="1"/>
        <v/>
      </c>
    </row>
    <row r="15" spans="1:8" x14ac:dyDescent="0.3">
      <c r="A15" s="6"/>
      <c r="B15" t="s">
        <v>2</v>
      </c>
      <c r="C15">
        <v>37</v>
      </c>
      <c r="D15" s="2">
        <v>0.05</v>
      </c>
      <c r="E15" s="2">
        <v>4.9000000000000002E-2</v>
      </c>
      <c r="F15">
        <f t="shared" si="0"/>
        <v>1.0000000000000009E-3</v>
      </c>
      <c r="G15">
        <f t="shared" si="2"/>
        <v>1.3513513513513526E-2</v>
      </c>
      <c r="H15" t="str">
        <f t="shared" si="1"/>
        <v/>
      </c>
    </row>
    <row r="16" spans="1:8" x14ac:dyDescent="0.3">
      <c r="A16" s="6"/>
      <c r="B16" t="s">
        <v>3</v>
      </c>
      <c r="C16">
        <v>78</v>
      </c>
      <c r="D16" s="2">
        <v>0.05</v>
      </c>
      <c r="E16" s="2">
        <v>0.05</v>
      </c>
      <c r="F16">
        <f t="shared" si="0"/>
        <v>0</v>
      </c>
      <c r="G16">
        <f t="shared" si="2"/>
        <v>0</v>
      </c>
      <c r="H16" t="str">
        <f t="shared" si="1"/>
        <v/>
      </c>
    </row>
    <row r="17" spans="1:8" x14ac:dyDescent="0.3">
      <c r="A17" s="6"/>
      <c r="B17" t="s">
        <v>4</v>
      </c>
      <c r="C17">
        <v>65</v>
      </c>
      <c r="D17" s="2">
        <v>5.5E-2</v>
      </c>
      <c r="E17" s="2">
        <v>4.5999999999999999E-2</v>
      </c>
      <c r="F17">
        <f t="shared" si="0"/>
        <v>9.0000000000000011E-3</v>
      </c>
      <c r="G17">
        <f t="shared" si="2"/>
        <v>6.9230769230769235E-2</v>
      </c>
      <c r="H17" t="str">
        <f t="shared" si="1"/>
        <v/>
      </c>
    </row>
    <row r="18" spans="1:8" x14ac:dyDescent="0.3">
      <c r="A18" s="6"/>
      <c r="B18" t="s">
        <v>5</v>
      </c>
      <c r="C18">
        <v>76</v>
      </c>
      <c r="D18" s="2">
        <v>5.6000000000000001E-2</v>
      </c>
      <c r="E18" s="2">
        <v>4.4999999999999998E-2</v>
      </c>
      <c r="F18">
        <f t="shared" si="0"/>
        <v>1.1000000000000003E-2</v>
      </c>
      <c r="G18">
        <f t="shared" si="2"/>
        <v>7.2368421052631596E-2</v>
      </c>
      <c r="H18" t="str">
        <f t="shared" si="1"/>
        <v/>
      </c>
    </row>
    <row r="19" spans="1:8" x14ac:dyDescent="0.3">
      <c r="A19" s="6"/>
      <c r="B19" t="s">
        <v>6</v>
      </c>
      <c r="C19">
        <v>55</v>
      </c>
      <c r="D19" s="2">
        <v>4.4999999999999998E-2</v>
      </c>
      <c r="E19" s="2">
        <v>4.2000000000000003E-2</v>
      </c>
      <c r="F19">
        <f t="shared" si="0"/>
        <v>2.9999999999999957E-3</v>
      </c>
      <c r="G19">
        <f t="shared" si="2"/>
        <v>2.7272727272727237E-2</v>
      </c>
      <c r="H19" t="str">
        <f t="shared" si="1"/>
        <v/>
      </c>
    </row>
    <row r="20" spans="1:8" x14ac:dyDescent="0.3">
      <c r="A20" s="6"/>
      <c r="B20" t="s">
        <v>7</v>
      </c>
      <c r="C20">
        <v>108</v>
      </c>
      <c r="D20" s="2">
        <v>5.2999999999999999E-2</v>
      </c>
      <c r="E20" s="2">
        <v>4.2999999999999997E-2</v>
      </c>
      <c r="F20">
        <f t="shared" si="0"/>
        <v>1.0000000000000002E-2</v>
      </c>
      <c r="G20">
        <f t="shared" si="2"/>
        <v>4.6296296296296308E-2</v>
      </c>
      <c r="H20" t="str">
        <f t="shared" si="1"/>
        <v/>
      </c>
    </row>
    <row r="21" spans="1:8" x14ac:dyDescent="0.3">
      <c r="A21" s="6"/>
      <c r="B21" t="s">
        <v>8</v>
      </c>
      <c r="C21">
        <v>103</v>
      </c>
      <c r="D21" s="2">
        <v>4.4999999999999998E-2</v>
      </c>
      <c r="E21" s="2">
        <v>4.2000000000000003E-2</v>
      </c>
      <c r="F21">
        <f t="shared" si="0"/>
        <v>2.9999999999999957E-3</v>
      </c>
      <c r="G21">
        <f t="shared" si="2"/>
        <v>1.4563106796116483E-2</v>
      </c>
      <c r="H21" t="str">
        <f t="shared" si="1"/>
        <v/>
      </c>
    </row>
    <row r="22" spans="1:8" x14ac:dyDescent="0.3">
      <c r="A22" s="6"/>
      <c r="B22" t="s">
        <v>9</v>
      </c>
      <c r="C22">
        <v>84</v>
      </c>
      <c r="D22" s="2">
        <v>4.7E-2</v>
      </c>
      <c r="E22" s="2">
        <v>4.2999999999999997E-2</v>
      </c>
      <c r="F22">
        <f t="shared" si="0"/>
        <v>4.0000000000000036E-3</v>
      </c>
      <c r="G22">
        <f t="shared" si="2"/>
        <v>2.3809523809523832E-2</v>
      </c>
      <c r="H22" t="str">
        <f t="shared" si="1"/>
        <v/>
      </c>
    </row>
    <row r="23" spans="1:8" x14ac:dyDescent="0.3">
      <c r="A23" s="6"/>
      <c r="B23" t="s">
        <v>10</v>
      </c>
      <c r="C23">
        <v>82</v>
      </c>
      <c r="D23" s="2">
        <v>4.5999999999999999E-2</v>
      </c>
      <c r="E23" s="2">
        <v>4.2000000000000003E-2</v>
      </c>
      <c r="F23">
        <f t="shared" si="0"/>
        <v>3.9999999999999966E-3</v>
      </c>
      <c r="G23">
        <f t="shared" si="2"/>
        <v>2.4390243902439004E-2</v>
      </c>
      <c r="H23" t="str">
        <f t="shared" si="1"/>
        <v/>
      </c>
    </row>
    <row r="24" spans="1:8" x14ac:dyDescent="0.3">
      <c r="A24" s="6"/>
      <c r="B24" t="s">
        <v>11</v>
      </c>
      <c r="C24">
        <v>63</v>
      </c>
      <c r="D24" s="2">
        <v>4.5999999999999999E-2</v>
      </c>
      <c r="E24" s="2">
        <v>4.2999999999999997E-2</v>
      </c>
      <c r="F24">
        <f t="shared" si="0"/>
        <v>3.0000000000000027E-3</v>
      </c>
      <c r="G24">
        <f t="shared" si="2"/>
        <v>2.3809523809523832E-2</v>
      </c>
      <c r="H24" t="str">
        <f t="shared" si="1"/>
        <v/>
      </c>
    </row>
    <row r="25" spans="1:8" x14ac:dyDescent="0.3">
      <c r="A25" s="6"/>
      <c r="B25" t="s">
        <v>12</v>
      </c>
      <c r="C25">
        <v>69</v>
      </c>
      <c r="D25" s="2">
        <v>6.2E-2</v>
      </c>
      <c r="E25" s="2">
        <v>5.0999999999999997E-2</v>
      </c>
      <c r="F25">
        <f t="shared" si="0"/>
        <v>1.1000000000000003E-2</v>
      </c>
      <c r="G25">
        <f t="shared" si="2"/>
        <v>7.9710144927536253E-2</v>
      </c>
      <c r="H25" t="str">
        <f t="shared" si="1"/>
        <v/>
      </c>
    </row>
    <row r="26" spans="1:8" x14ac:dyDescent="0.3">
      <c r="A26" s="6" t="s">
        <v>16</v>
      </c>
      <c r="B26" t="s">
        <v>1</v>
      </c>
      <c r="C26">
        <v>38</v>
      </c>
      <c r="D26" s="2">
        <v>4.2000000000000003E-2</v>
      </c>
      <c r="E26" s="2">
        <v>0.04</v>
      </c>
      <c r="F26">
        <f t="shared" si="0"/>
        <v>2.0000000000000018E-3</v>
      </c>
      <c r="G26">
        <f t="shared" si="2"/>
        <v>2.6315789473684233E-2</v>
      </c>
      <c r="H26" t="str">
        <f t="shared" si="1"/>
        <v/>
      </c>
    </row>
    <row r="27" spans="1:8" x14ac:dyDescent="0.3">
      <c r="A27" s="6"/>
      <c r="B27" t="s">
        <v>2</v>
      </c>
      <c r="C27">
        <v>41</v>
      </c>
      <c r="D27" s="2">
        <v>0.05</v>
      </c>
      <c r="E27" s="2">
        <v>4.4999999999999998E-2</v>
      </c>
      <c r="F27">
        <f t="shared" si="0"/>
        <v>5.0000000000000044E-3</v>
      </c>
      <c r="G27">
        <f t="shared" si="2"/>
        <v>6.0975609756097615E-2</v>
      </c>
      <c r="H27" t="str">
        <f t="shared" si="1"/>
        <v/>
      </c>
    </row>
    <row r="28" spans="1:8" x14ac:dyDescent="0.3">
      <c r="A28" s="6"/>
      <c r="B28" t="s">
        <v>3</v>
      </c>
      <c r="C28">
        <v>77</v>
      </c>
      <c r="D28" s="2">
        <v>5.5E-2</v>
      </c>
      <c r="E28" s="2">
        <v>4.4999999999999998E-2</v>
      </c>
      <c r="F28">
        <f t="shared" si="0"/>
        <v>1.0000000000000002E-2</v>
      </c>
      <c r="G28">
        <f t="shared" si="2"/>
        <v>6.4935064935064943E-2</v>
      </c>
      <c r="H28" t="str">
        <f t="shared" si="1"/>
        <v/>
      </c>
    </row>
    <row r="29" spans="1:8" x14ac:dyDescent="0.3">
      <c r="A29" s="6"/>
      <c r="D29" s="2"/>
      <c r="E29" s="2"/>
      <c r="F29">
        <f t="shared" si="0"/>
        <v>0</v>
      </c>
      <c r="H29" t="str">
        <f t="shared" si="1"/>
        <v/>
      </c>
    </row>
    <row r="30" spans="1:8" x14ac:dyDescent="0.3">
      <c r="A30" s="6"/>
      <c r="B30" t="s">
        <v>5</v>
      </c>
      <c r="C30">
        <v>46</v>
      </c>
      <c r="D30" s="2">
        <v>4.4999999999999998E-2</v>
      </c>
      <c r="E30" s="2">
        <v>0.04</v>
      </c>
      <c r="F30">
        <f t="shared" si="0"/>
        <v>4.9999999999999975E-3</v>
      </c>
      <c r="G30">
        <f t="shared" si="2"/>
        <v>5.4347826086956499E-2</v>
      </c>
      <c r="H30" t="str">
        <f t="shared" si="1"/>
        <v/>
      </c>
    </row>
    <row r="31" spans="1:8" x14ac:dyDescent="0.3">
      <c r="A31" s="6"/>
      <c r="B31" t="s">
        <v>6</v>
      </c>
      <c r="C31">
        <v>83</v>
      </c>
      <c r="D31" s="2">
        <v>5.1999999999999998E-2</v>
      </c>
      <c r="E31" s="2">
        <v>4.2000000000000003E-2</v>
      </c>
      <c r="F31">
        <f t="shared" si="0"/>
        <v>9.999999999999995E-3</v>
      </c>
      <c r="G31">
        <f t="shared" si="2"/>
        <v>6.0240963855421659E-2</v>
      </c>
      <c r="H31" t="str">
        <f t="shared" si="1"/>
        <v/>
      </c>
    </row>
    <row r="32" spans="1:8" x14ac:dyDescent="0.3">
      <c r="A32" s="6"/>
      <c r="B32" t="s">
        <v>7</v>
      </c>
      <c r="C32">
        <v>84</v>
      </c>
      <c r="D32" s="2">
        <v>5.3999999999999999E-2</v>
      </c>
      <c r="E32" s="2">
        <v>4.2000000000000003E-2</v>
      </c>
      <c r="F32">
        <f t="shared" si="0"/>
        <v>1.1999999999999997E-2</v>
      </c>
      <c r="G32">
        <f t="shared" si="2"/>
        <v>7.1428571428571411E-2</v>
      </c>
      <c r="H32" t="str">
        <f t="shared" si="1"/>
        <v/>
      </c>
    </row>
    <row r="33" spans="1:8" x14ac:dyDescent="0.3">
      <c r="A33" s="6"/>
      <c r="B33" t="s">
        <v>8</v>
      </c>
      <c r="C33">
        <v>89</v>
      </c>
      <c r="D33" s="2">
        <v>4.9000000000000002E-2</v>
      </c>
      <c r="E33" s="2">
        <v>4.2000000000000003E-2</v>
      </c>
      <c r="F33">
        <f t="shared" si="0"/>
        <v>6.9999999999999993E-3</v>
      </c>
      <c r="G33">
        <f t="shared" si="2"/>
        <v>3.9325842696629212E-2</v>
      </c>
      <c r="H33" t="str">
        <f t="shared" si="1"/>
        <v/>
      </c>
    </row>
    <row r="34" spans="1:8" x14ac:dyDescent="0.3">
      <c r="A34" s="6"/>
      <c r="B34" t="s">
        <v>9</v>
      </c>
      <c r="C34">
        <v>98</v>
      </c>
      <c r="D34" s="2">
        <v>4.8000000000000001E-2</v>
      </c>
      <c r="E34" s="2">
        <v>4.3999999999999997E-2</v>
      </c>
      <c r="F34">
        <f t="shared" si="0"/>
        <v>4.0000000000000036E-3</v>
      </c>
      <c r="G34">
        <f t="shared" si="2"/>
        <v>2.0408163265306142E-2</v>
      </c>
      <c r="H34" t="str">
        <f t="shared" si="1"/>
        <v/>
      </c>
    </row>
    <row r="35" spans="1:8" x14ac:dyDescent="0.3">
      <c r="A35" s="6"/>
      <c r="B35" t="s">
        <v>10</v>
      </c>
      <c r="C35">
        <v>97</v>
      </c>
      <c r="D35" s="2">
        <v>6.5000000000000002E-2</v>
      </c>
      <c r="E35" s="2">
        <v>4.7E-2</v>
      </c>
      <c r="F35">
        <f t="shared" si="0"/>
        <v>1.8000000000000002E-2</v>
      </c>
      <c r="G35">
        <f t="shared" si="2"/>
        <v>9.2783505154639193E-2</v>
      </c>
      <c r="H35" t="str">
        <f t="shared" si="1"/>
        <v/>
      </c>
    </row>
    <row r="36" spans="1:8" x14ac:dyDescent="0.3">
      <c r="A36" s="6"/>
      <c r="B36" t="s">
        <v>11</v>
      </c>
      <c r="C36">
        <v>52</v>
      </c>
      <c r="D36" s="2">
        <v>5.0999999999999997E-2</v>
      </c>
      <c r="E36" s="2">
        <v>4.5999999999999999E-2</v>
      </c>
      <c r="F36">
        <f t="shared" si="0"/>
        <v>4.9999999999999975E-3</v>
      </c>
      <c r="G36">
        <f t="shared" si="2"/>
        <v>4.8076923076923052E-2</v>
      </c>
      <c r="H36" t="str">
        <f t="shared" si="1"/>
        <v/>
      </c>
    </row>
    <row r="37" spans="1:8" x14ac:dyDescent="0.3">
      <c r="A37" s="6"/>
      <c r="B37" t="s">
        <v>12</v>
      </c>
      <c r="C37">
        <v>60</v>
      </c>
      <c r="D37" s="2">
        <v>0.05</v>
      </c>
      <c r="E37" s="2">
        <v>4.2999999999999997E-2</v>
      </c>
      <c r="F37">
        <f t="shared" si="0"/>
        <v>7.0000000000000062E-3</v>
      </c>
      <c r="G37">
        <f t="shared" si="2"/>
        <v>5.833333333333339E-2</v>
      </c>
      <c r="H37" t="str">
        <f t="shared" si="1"/>
        <v/>
      </c>
    </row>
    <row r="38" spans="1:8" x14ac:dyDescent="0.3">
      <c r="A38" s="6" t="s">
        <v>17</v>
      </c>
      <c r="B38" t="s">
        <v>1</v>
      </c>
      <c r="C38">
        <v>56</v>
      </c>
      <c r="D38" s="2">
        <v>6.4000000000000001E-2</v>
      </c>
      <c r="E38" s="2">
        <v>5.8999999999999997E-2</v>
      </c>
      <c r="F38">
        <f t="shared" si="0"/>
        <v>5.0000000000000044E-3</v>
      </c>
      <c r="G38">
        <f t="shared" si="2"/>
        <v>4.4642857142857185E-2</v>
      </c>
      <c r="H38" t="str">
        <f t="shared" si="1"/>
        <v/>
      </c>
    </row>
    <row r="39" spans="1:8" x14ac:dyDescent="0.3">
      <c r="A39" s="6"/>
      <c r="B39" t="s">
        <v>2</v>
      </c>
      <c r="C39">
        <v>51</v>
      </c>
      <c r="D39" s="2">
        <v>5.8999999999999997E-2</v>
      </c>
      <c r="E39" s="2">
        <v>5.3999999999999999E-2</v>
      </c>
      <c r="F39">
        <f t="shared" si="0"/>
        <v>4.9999999999999975E-3</v>
      </c>
      <c r="G39">
        <f t="shared" si="2"/>
        <v>4.9019607843137233E-2</v>
      </c>
      <c r="H39" t="str">
        <f t="shared" si="1"/>
        <v/>
      </c>
    </row>
    <row r="40" spans="1:8" x14ac:dyDescent="0.3">
      <c r="A40" s="6"/>
      <c r="D40" s="2"/>
      <c r="E40" s="2"/>
      <c r="F40">
        <f t="shared" si="0"/>
        <v>0</v>
      </c>
      <c r="H40" t="str">
        <f t="shared" si="1"/>
        <v/>
      </c>
    </row>
    <row r="41" spans="1:8" x14ac:dyDescent="0.3">
      <c r="A41" s="6"/>
      <c r="D41" s="2"/>
      <c r="E41" s="2"/>
      <c r="F41">
        <f t="shared" si="0"/>
        <v>0</v>
      </c>
      <c r="H41" t="str">
        <f t="shared" si="1"/>
        <v/>
      </c>
    </row>
    <row r="42" spans="1:8" x14ac:dyDescent="0.3">
      <c r="A42" s="6"/>
      <c r="B42" t="s">
        <v>5</v>
      </c>
      <c r="C42">
        <v>68</v>
      </c>
      <c r="D42" s="2">
        <v>8.6999999999999994E-2</v>
      </c>
      <c r="E42" s="2">
        <v>7.6999999999999999E-2</v>
      </c>
      <c r="F42">
        <f t="shared" si="0"/>
        <v>9.999999999999995E-3</v>
      </c>
      <c r="G42">
        <f t="shared" si="2"/>
        <v>7.3529411764705843E-2</v>
      </c>
      <c r="H42" t="str">
        <f t="shared" si="1"/>
        <v/>
      </c>
    </row>
    <row r="43" spans="1:8" x14ac:dyDescent="0.3">
      <c r="A43" s="6"/>
      <c r="B43" t="s">
        <v>6</v>
      </c>
      <c r="C43">
        <v>57</v>
      </c>
      <c r="D43" s="2">
        <v>8.2000000000000003E-2</v>
      </c>
      <c r="E43" s="2">
        <v>5.8000000000000003E-2</v>
      </c>
      <c r="F43">
        <f t="shared" si="0"/>
        <v>2.4E-2</v>
      </c>
      <c r="G43">
        <f t="shared" si="2"/>
        <v>0.2105263157894737</v>
      </c>
      <c r="H43" t="str">
        <f t="shared" si="1"/>
        <v>High</v>
      </c>
    </row>
    <row r="44" spans="1:8" x14ac:dyDescent="0.3">
      <c r="A44" s="6"/>
      <c r="B44" t="s">
        <v>7</v>
      </c>
      <c r="C44">
        <v>75</v>
      </c>
      <c r="D44" s="2">
        <v>5.8999999999999997E-2</v>
      </c>
      <c r="E44" s="2">
        <v>4.8000000000000001E-2</v>
      </c>
      <c r="F44">
        <f t="shared" si="0"/>
        <v>1.0999999999999996E-2</v>
      </c>
      <c r="G44">
        <f t="shared" si="2"/>
        <v>7.3333333333333306E-2</v>
      </c>
      <c r="H44" t="str">
        <f t="shared" si="1"/>
        <v/>
      </c>
    </row>
    <row r="45" spans="1:8" x14ac:dyDescent="0.3">
      <c r="A45" s="6"/>
      <c r="B45" t="s">
        <v>8</v>
      </c>
      <c r="C45">
        <v>79</v>
      </c>
      <c r="D45" s="2">
        <v>6.9000000000000006E-2</v>
      </c>
      <c r="E45" s="2">
        <v>0.06</v>
      </c>
      <c r="F45">
        <f t="shared" si="0"/>
        <v>9.000000000000008E-3</v>
      </c>
      <c r="G45">
        <f t="shared" si="2"/>
        <v>5.696202531645575E-2</v>
      </c>
      <c r="H45" t="str">
        <f t="shared" si="1"/>
        <v/>
      </c>
    </row>
    <row r="46" spans="1:8" x14ac:dyDescent="0.3">
      <c r="A46" s="6"/>
      <c r="B46" t="s">
        <v>9</v>
      </c>
      <c r="C46">
        <v>71</v>
      </c>
      <c r="D46" s="2">
        <v>6.8000000000000005E-2</v>
      </c>
      <c r="E46" s="2">
        <v>6.0999999999999999E-2</v>
      </c>
      <c r="F46">
        <f t="shared" si="0"/>
        <v>7.0000000000000062E-3</v>
      </c>
      <c r="G46">
        <f t="shared" si="2"/>
        <v>4.9295774647887369E-2</v>
      </c>
      <c r="H46" t="str">
        <f t="shared" si="1"/>
        <v/>
      </c>
    </row>
    <row r="47" spans="1:8" x14ac:dyDescent="0.3">
      <c r="A47" s="6"/>
      <c r="B47" t="s">
        <v>10</v>
      </c>
      <c r="C47">
        <v>45</v>
      </c>
      <c r="D47" s="2">
        <v>5.2999999999999999E-2</v>
      </c>
      <c r="E47" s="2">
        <v>4.3999999999999997E-2</v>
      </c>
      <c r="F47">
        <f t="shared" si="0"/>
        <v>9.0000000000000011E-3</v>
      </c>
      <c r="G47">
        <f t="shared" si="2"/>
        <v>0.1</v>
      </c>
      <c r="H47" t="str">
        <f t="shared" si="1"/>
        <v/>
      </c>
    </row>
    <row r="48" spans="1:8" x14ac:dyDescent="0.3">
      <c r="A48" s="6"/>
      <c r="B48" t="s">
        <v>11</v>
      </c>
      <c r="C48">
        <v>68</v>
      </c>
      <c r="D48" s="2">
        <v>6.5000000000000002E-2</v>
      </c>
      <c r="E48" s="2">
        <v>5.7000000000000002E-2</v>
      </c>
      <c r="F48">
        <f t="shared" si="0"/>
        <v>8.0000000000000002E-3</v>
      </c>
      <c r="G48">
        <f t="shared" si="2"/>
        <v>5.8823529411764705E-2</v>
      </c>
      <c r="H48" t="str">
        <f t="shared" si="1"/>
        <v/>
      </c>
    </row>
    <row r="49" spans="1:8" x14ac:dyDescent="0.3">
      <c r="A49" s="6"/>
      <c r="B49" t="s">
        <v>12</v>
      </c>
      <c r="C49">
        <v>29</v>
      </c>
      <c r="D49" s="2">
        <v>7.0000000000000007E-2</v>
      </c>
      <c r="E49" s="2">
        <v>6.0999999999999999E-2</v>
      </c>
      <c r="F49">
        <f t="shared" si="0"/>
        <v>9.000000000000008E-3</v>
      </c>
      <c r="G49">
        <f t="shared" si="2"/>
        <v>0.15517241379310359</v>
      </c>
      <c r="H49" t="str">
        <f t="shared" si="1"/>
        <v>High</v>
      </c>
    </row>
    <row r="50" spans="1:8" x14ac:dyDescent="0.3">
      <c r="A50" s="6" t="s">
        <v>22</v>
      </c>
      <c r="B50" t="s">
        <v>1</v>
      </c>
      <c r="C50">
        <v>69</v>
      </c>
      <c r="D50" s="2">
        <v>4.9000000000000002E-2</v>
      </c>
      <c r="E50" s="2">
        <v>0.04</v>
      </c>
      <c r="F50">
        <f t="shared" si="0"/>
        <v>9.0000000000000011E-3</v>
      </c>
      <c r="G50">
        <f t="shared" si="2"/>
        <v>6.5217391304347838E-2</v>
      </c>
      <c r="H50" t="str">
        <f t="shared" si="1"/>
        <v/>
      </c>
    </row>
    <row r="51" spans="1:8" x14ac:dyDescent="0.3">
      <c r="A51" s="6"/>
      <c r="B51" t="s">
        <v>2</v>
      </c>
      <c r="C51">
        <v>111</v>
      </c>
      <c r="D51" s="2">
        <v>5.1999999999999998E-2</v>
      </c>
      <c r="E51" s="2">
        <v>4.3999999999999997E-2</v>
      </c>
      <c r="F51">
        <f t="shared" si="0"/>
        <v>8.0000000000000002E-3</v>
      </c>
      <c r="G51">
        <f t="shared" si="2"/>
        <v>3.6036036036036036E-2</v>
      </c>
      <c r="H51" t="str">
        <f t="shared" si="1"/>
        <v/>
      </c>
    </row>
    <row r="52" spans="1:8" x14ac:dyDescent="0.3">
      <c r="A52" s="6"/>
      <c r="B52" t="s">
        <v>3</v>
      </c>
      <c r="C52">
        <v>71</v>
      </c>
      <c r="D52" s="2">
        <v>0.05</v>
      </c>
      <c r="E52" s="2">
        <v>4.1000000000000002E-2</v>
      </c>
      <c r="F52">
        <f t="shared" si="0"/>
        <v>9.0000000000000011E-3</v>
      </c>
      <c r="G52">
        <f t="shared" si="2"/>
        <v>6.3380281690140858E-2</v>
      </c>
      <c r="H52" t="str">
        <f t="shared" si="1"/>
        <v/>
      </c>
    </row>
    <row r="53" spans="1:8" x14ac:dyDescent="0.3">
      <c r="A53" s="6"/>
      <c r="B53" t="s">
        <v>4</v>
      </c>
      <c r="C53">
        <v>114</v>
      </c>
      <c r="D53" s="2">
        <v>6.3E-2</v>
      </c>
      <c r="E53" s="2">
        <v>4.2999999999999997E-2</v>
      </c>
      <c r="F53">
        <f t="shared" si="0"/>
        <v>2.0000000000000004E-2</v>
      </c>
      <c r="G53">
        <f t="shared" si="2"/>
        <v>8.7719298245614058E-2</v>
      </c>
      <c r="H53" t="str">
        <f t="shared" si="1"/>
        <v/>
      </c>
    </row>
    <row r="54" spans="1:8" x14ac:dyDescent="0.3">
      <c r="A54" s="6"/>
      <c r="B54" t="s">
        <v>5</v>
      </c>
      <c r="C54">
        <v>69</v>
      </c>
      <c r="D54" s="2">
        <v>0.1</v>
      </c>
      <c r="E54" s="2">
        <v>4.8000000000000001E-2</v>
      </c>
      <c r="F54">
        <f t="shared" si="0"/>
        <v>5.2000000000000005E-2</v>
      </c>
      <c r="G54">
        <f t="shared" si="2"/>
        <v>0.37681159420289861</v>
      </c>
      <c r="H54" t="str">
        <f t="shared" si="1"/>
        <v>High</v>
      </c>
    </row>
    <row r="55" spans="1:8" x14ac:dyDescent="0.3">
      <c r="A55" s="6"/>
      <c r="B55" t="s">
        <v>6</v>
      </c>
      <c r="C55">
        <v>70</v>
      </c>
      <c r="D55" s="2">
        <v>0.06</v>
      </c>
      <c r="E55" s="2">
        <v>4.3999999999999997E-2</v>
      </c>
      <c r="F55">
        <f t="shared" si="0"/>
        <v>1.6E-2</v>
      </c>
      <c r="G55">
        <f t="shared" si="2"/>
        <v>0.1142857142857143</v>
      </c>
      <c r="H55" t="str">
        <f t="shared" si="1"/>
        <v/>
      </c>
    </row>
    <row r="56" spans="1:8" x14ac:dyDescent="0.3">
      <c r="A56" s="6"/>
      <c r="B56" t="s">
        <v>7</v>
      </c>
      <c r="C56">
        <v>73</v>
      </c>
      <c r="D56" s="2">
        <v>0.104</v>
      </c>
      <c r="E56" s="2">
        <v>0.05</v>
      </c>
      <c r="F56">
        <f t="shared" si="0"/>
        <v>5.3999999999999992E-2</v>
      </c>
      <c r="G56">
        <f t="shared" si="2"/>
        <v>0.36986301369863006</v>
      </c>
      <c r="H56" t="str">
        <f t="shared" si="1"/>
        <v>High</v>
      </c>
    </row>
    <row r="57" spans="1:8" x14ac:dyDescent="0.3">
      <c r="A57" s="6"/>
      <c r="B57" t="s">
        <v>8</v>
      </c>
      <c r="C57">
        <v>72</v>
      </c>
      <c r="D57" s="2">
        <v>5.6000000000000001E-2</v>
      </c>
      <c r="E57" s="2">
        <v>4.1000000000000002E-2</v>
      </c>
      <c r="F57">
        <f t="shared" si="0"/>
        <v>1.4999999999999999E-2</v>
      </c>
      <c r="G57">
        <f t="shared" si="2"/>
        <v>0.10416666666666667</v>
      </c>
      <c r="H57" t="str">
        <f t="shared" si="1"/>
        <v/>
      </c>
    </row>
    <row r="58" spans="1:8" x14ac:dyDescent="0.3">
      <c r="A58" s="6"/>
      <c r="B58" t="s">
        <v>9</v>
      </c>
      <c r="C58">
        <v>52</v>
      </c>
      <c r="D58" s="2">
        <v>5.8999999999999997E-2</v>
      </c>
      <c r="E58" s="2">
        <v>4.3999999999999997E-2</v>
      </c>
      <c r="F58">
        <f t="shared" si="0"/>
        <v>1.4999999999999999E-2</v>
      </c>
      <c r="G58">
        <f t="shared" si="2"/>
        <v>0.14423076923076922</v>
      </c>
      <c r="H58" t="str">
        <f t="shared" si="1"/>
        <v/>
      </c>
    </row>
    <row r="59" spans="1:8" x14ac:dyDescent="0.3">
      <c r="A59" s="6"/>
      <c r="B59" t="s">
        <v>10</v>
      </c>
      <c r="C59">
        <v>77</v>
      </c>
      <c r="D59" s="2">
        <v>0.06</v>
      </c>
      <c r="E59" s="2">
        <v>3.9E-2</v>
      </c>
      <c r="F59">
        <f t="shared" si="0"/>
        <v>2.0999999999999998E-2</v>
      </c>
      <c r="G59">
        <f t="shared" si="2"/>
        <v>0.13636363636363635</v>
      </c>
      <c r="H59" t="str">
        <f t="shared" si="1"/>
        <v/>
      </c>
    </row>
    <row r="60" spans="1:8" x14ac:dyDescent="0.3">
      <c r="A60" s="6"/>
      <c r="B60" t="s">
        <v>11</v>
      </c>
      <c r="C60">
        <v>70</v>
      </c>
      <c r="D60" s="2">
        <v>5.5E-2</v>
      </c>
      <c r="E60" s="2">
        <v>4.2999999999999997E-2</v>
      </c>
      <c r="F60">
        <f t="shared" si="0"/>
        <v>1.2000000000000004E-2</v>
      </c>
      <c r="G60">
        <f t="shared" si="2"/>
        <v>8.5714285714285743E-2</v>
      </c>
      <c r="H60" t="str">
        <f t="shared" si="1"/>
        <v/>
      </c>
    </row>
    <row r="61" spans="1:8" x14ac:dyDescent="0.3">
      <c r="A61" s="6"/>
      <c r="B61" t="s">
        <v>12</v>
      </c>
      <c r="C61">
        <v>54</v>
      </c>
      <c r="D61" s="2">
        <v>4.9000000000000002E-2</v>
      </c>
      <c r="E61" s="2">
        <v>0.04</v>
      </c>
      <c r="F61">
        <f t="shared" si="0"/>
        <v>9.0000000000000011E-3</v>
      </c>
      <c r="G61">
        <f t="shared" si="2"/>
        <v>8.3333333333333343E-2</v>
      </c>
      <c r="H61" t="str">
        <f t="shared" si="1"/>
        <v/>
      </c>
    </row>
    <row r="62" spans="1:8" x14ac:dyDescent="0.3">
      <c r="A62" s="6" t="s">
        <v>23</v>
      </c>
      <c r="B62" t="s">
        <v>1</v>
      </c>
      <c r="C62">
        <v>90</v>
      </c>
      <c r="D62" s="2">
        <v>5.2999999999999999E-2</v>
      </c>
      <c r="E62" s="2">
        <v>3.9E-2</v>
      </c>
      <c r="F62">
        <f t="shared" si="0"/>
        <v>1.3999999999999999E-2</v>
      </c>
      <c r="G62">
        <f t="shared" si="2"/>
        <v>7.7777777777777765E-2</v>
      </c>
      <c r="H62" t="str">
        <f t="shared" si="1"/>
        <v/>
      </c>
    </row>
    <row r="63" spans="1:8" x14ac:dyDescent="0.3">
      <c r="A63" s="6"/>
      <c r="B63" t="s">
        <v>2</v>
      </c>
      <c r="C63">
        <v>90</v>
      </c>
      <c r="D63" s="2">
        <v>5.7000000000000002E-2</v>
      </c>
      <c r="E63" s="2">
        <v>0.04</v>
      </c>
      <c r="F63">
        <f t="shared" si="0"/>
        <v>1.7000000000000001E-2</v>
      </c>
      <c r="G63">
        <f t="shared" si="2"/>
        <v>9.4444444444444442E-2</v>
      </c>
      <c r="H63" t="str">
        <f t="shared" si="1"/>
        <v/>
      </c>
    </row>
    <row r="64" spans="1:8" x14ac:dyDescent="0.3">
      <c r="A64" s="6"/>
      <c r="B64" t="s">
        <v>3</v>
      </c>
      <c r="C64">
        <v>90</v>
      </c>
      <c r="D64" s="2">
        <v>5.7000000000000002E-2</v>
      </c>
      <c r="E64" s="2">
        <v>0.04</v>
      </c>
      <c r="F64">
        <f t="shared" si="0"/>
        <v>1.7000000000000001E-2</v>
      </c>
      <c r="G64">
        <f t="shared" si="2"/>
        <v>9.4444444444444442E-2</v>
      </c>
      <c r="H64" t="str">
        <f t="shared" si="1"/>
        <v/>
      </c>
    </row>
    <row r="65" spans="1:8" x14ac:dyDescent="0.3">
      <c r="A65" s="6"/>
      <c r="B65" t="s">
        <v>4</v>
      </c>
      <c r="C65">
        <v>90</v>
      </c>
      <c r="D65" s="2">
        <v>4.8000000000000001E-2</v>
      </c>
      <c r="E65" s="2">
        <v>4.1000000000000002E-2</v>
      </c>
      <c r="F65">
        <f t="shared" si="0"/>
        <v>6.9999999999999993E-3</v>
      </c>
      <c r="G65">
        <f t="shared" si="2"/>
        <v>3.8888888888888883E-2</v>
      </c>
      <c r="H65" t="str">
        <f t="shared" si="1"/>
        <v/>
      </c>
    </row>
    <row r="66" spans="1:8" x14ac:dyDescent="0.3">
      <c r="A66" s="6"/>
      <c r="B66" t="s">
        <v>5</v>
      </c>
      <c r="C66">
        <v>90</v>
      </c>
      <c r="D66" s="2">
        <v>6.6000000000000003E-2</v>
      </c>
      <c r="E66" s="2">
        <v>4.9000000000000002E-2</v>
      </c>
      <c r="F66">
        <f t="shared" si="0"/>
        <v>1.7000000000000001E-2</v>
      </c>
      <c r="G66">
        <f t="shared" si="2"/>
        <v>9.4444444444444442E-2</v>
      </c>
      <c r="H66" t="str">
        <f t="shared" si="1"/>
        <v/>
      </c>
    </row>
    <row r="67" spans="1:8" x14ac:dyDescent="0.3">
      <c r="A67" s="6"/>
      <c r="B67" t="s">
        <v>6</v>
      </c>
      <c r="C67">
        <v>90</v>
      </c>
      <c r="D67" s="2">
        <v>8.7999999999999995E-2</v>
      </c>
      <c r="E67" s="2">
        <v>4.2999999999999997E-2</v>
      </c>
      <c r="F67">
        <f t="shared" ref="F67:F97" si="3">(D67-E67)</f>
        <v>4.4999999999999998E-2</v>
      </c>
      <c r="G67">
        <f t="shared" ref="G67:G97" si="4">F67*(1000/C67)/2</f>
        <v>0.24999999999999997</v>
      </c>
      <c r="H67" t="str">
        <f t="shared" ref="H67:H97" si="5">IF(G67&gt;0.15,"High","")</f>
        <v>High</v>
      </c>
    </row>
    <row r="68" spans="1:8" x14ac:dyDescent="0.3">
      <c r="A68" s="6"/>
      <c r="B68" t="s">
        <v>7</v>
      </c>
      <c r="C68">
        <v>90</v>
      </c>
      <c r="D68" s="2">
        <v>5.7000000000000002E-2</v>
      </c>
      <c r="E68" s="2">
        <v>4.2999999999999997E-2</v>
      </c>
      <c r="F68">
        <f t="shared" si="3"/>
        <v>1.4000000000000005E-2</v>
      </c>
      <c r="G68">
        <f t="shared" si="4"/>
        <v>7.7777777777777807E-2</v>
      </c>
      <c r="H68" t="str">
        <f t="shared" si="5"/>
        <v/>
      </c>
    </row>
    <row r="69" spans="1:8" x14ac:dyDescent="0.3">
      <c r="A69" s="6"/>
      <c r="B69" t="s">
        <v>8</v>
      </c>
      <c r="C69">
        <v>90</v>
      </c>
      <c r="D69" s="2">
        <v>5.5E-2</v>
      </c>
      <c r="E69" s="2">
        <v>4.1000000000000002E-2</v>
      </c>
      <c r="F69">
        <f t="shared" si="3"/>
        <v>1.3999999999999999E-2</v>
      </c>
      <c r="G69">
        <f t="shared" si="4"/>
        <v>7.7777777777777765E-2</v>
      </c>
      <c r="H69" t="str">
        <f t="shared" si="5"/>
        <v/>
      </c>
    </row>
    <row r="70" spans="1:8" x14ac:dyDescent="0.3">
      <c r="A70" s="6"/>
      <c r="B70" t="s">
        <v>9</v>
      </c>
      <c r="C70">
        <v>90</v>
      </c>
      <c r="D70" s="2">
        <v>4.4999999999999998E-2</v>
      </c>
      <c r="E70" s="2">
        <v>4.2000000000000003E-2</v>
      </c>
      <c r="F70">
        <f t="shared" si="3"/>
        <v>2.9999999999999957E-3</v>
      </c>
      <c r="G70">
        <f t="shared" si="4"/>
        <v>1.6666666666666642E-2</v>
      </c>
      <c r="H70" t="str">
        <f t="shared" si="5"/>
        <v/>
      </c>
    </row>
    <row r="71" spans="1:8" x14ac:dyDescent="0.3">
      <c r="A71" s="6"/>
      <c r="B71" t="s">
        <v>10</v>
      </c>
      <c r="C71">
        <v>90</v>
      </c>
      <c r="D71" s="2">
        <v>5.1999999999999998E-2</v>
      </c>
      <c r="E71" s="2">
        <v>0.04</v>
      </c>
      <c r="F71">
        <f t="shared" si="3"/>
        <v>1.1999999999999997E-2</v>
      </c>
      <c r="G71">
        <f t="shared" si="4"/>
        <v>6.6666666666666652E-2</v>
      </c>
      <c r="H71" t="str">
        <f t="shared" si="5"/>
        <v/>
      </c>
    </row>
    <row r="72" spans="1:8" x14ac:dyDescent="0.3">
      <c r="A72" s="6"/>
      <c r="B72" t="s">
        <v>11</v>
      </c>
      <c r="C72">
        <v>90</v>
      </c>
      <c r="D72" s="2">
        <v>5.2999999999999999E-2</v>
      </c>
      <c r="E72" s="2">
        <v>0.04</v>
      </c>
      <c r="F72">
        <f t="shared" si="3"/>
        <v>1.2999999999999998E-2</v>
      </c>
      <c r="G72">
        <f t="shared" si="4"/>
        <v>7.2222222222222202E-2</v>
      </c>
      <c r="H72" t="str">
        <f t="shared" si="5"/>
        <v/>
      </c>
    </row>
    <row r="73" spans="1:8" x14ac:dyDescent="0.3">
      <c r="A73" s="6"/>
      <c r="B73" t="s">
        <v>12</v>
      </c>
      <c r="C73">
        <v>90</v>
      </c>
      <c r="D73" s="2">
        <v>5.3999999999999999E-2</v>
      </c>
      <c r="E73" s="2">
        <v>3.9E-2</v>
      </c>
      <c r="F73">
        <f t="shared" si="3"/>
        <v>1.4999999999999999E-2</v>
      </c>
      <c r="G73">
        <f t="shared" si="4"/>
        <v>8.3333333333333329E-2</v>
      </c>
      <c r="H73" t="str">
        <f t="shared" si="5"/>
        <v/>
      </c>
    </row>
    <row r="74" spans="1:8" x14ac:dyDescent="0.3">
      <c r="A74" s="6" t="s">
        <v>24</v>
      </c>
      <c r="B74" t="s">
        <v>1</v>
      </c>
      <c r="C74">
        <v>90</v>
      </c>
      <c r="D74" s="2">
        <v>5.0999999999999997E-2</v>
      </c>
      <c r="E74" s="2">
        <v>3.9E-2</v>
      </c>
      <c r="F74">
        <f t="shared" si="3"/>
        <v>1.1999999999999997E-2</v>
      </c>
      <c r="G74">
        <f t="shared" si="4"/>
        <v>6.6666666666666652E-2</v>
      </c>
      <c r="H74" t="str">
        <f t="shared" si="5"/>
        <v/>
      </c>
    </row>
    <row r="75" spans="1:8" x14ac:dyDescent="0.3">
      <c r="A75" s="6"/>
      <c r="B75" t="s">
        <v>2</v>
      </c>
      <c r="C75">
        <v>90</v>
      </c>
      <c r="D75" s="2">
        <v>7.6999999999999999E-2</v>
      </c>
      <c r="E75" s="2">
        <v>0.04</v>
      </c>
      <c r="F75">
        <f t="shared" si="3"/>
        <v>3.6999999999999998E-2</v>
      </c>
      <c r="G75">
        <f t="shared" si="4"/>
        <v>0.20555555555555555</v>
      </c>
      <c r="H75" t="str">
        <f t="shared" si="5"/>
        <v>High</v>
      </c>
    </row>
    <row r="76" spans="1:8" x14ac:dyDescent="0.3">
      <c r="A76" s="6"/>
      <c r="B76" t="s">
        <v>3</v>
      </c>
      <c r="C76">
        <v>90</v>
      </c>
      <c r="D76" s="2">
        <v>0.05</v>
      </c>
      <c r="E76" s="2">
        <v>0.04</v>
      </c>
      <c r="F76">
        <f t="shared" si="3"/>
        <v>1.0000000000000002E-2</v>
      </c>
      <c r="G76">
        <f t="shared" si="4"/>
        <v>5.5555555555555566E-2</v>
      </c>
      <c r="H76" t="str">
        <f t="shared" si="5"/>
        <v/>
      </c>
    </row>
    <row r="77" spans="1:8" x14ac:dyDescent="0.3">
      <c r="A77" s="6"/>
      <c r="B77" t="s">
        <v>4</v>
      </c>
      <c r="C77">
        <v>90</v>
      </c>
      <c r="D77" s="2">
        <v>5.8000000000000003E-2</v>
      </c>
      <c r="E77" s="2">
        <v>4.2999999999999997E-2</v>
      </c>
      <c r="F77">
        <f t="shared" si="3"/>
        <v>1.5000000000000006E-2</v>
      </c>
      <c r="G77">
        <f t="shared" si="4"/>
        <v>8.333333333333337E-2</v>
      </c>
      <c r="H77" t="str">
        <f t="shared" si="5"/>
        <v/>
      </c>
    </row>
    <row r="78" spans="1:8" x14ac:dyDescent="0.3">
      <c r="A78" s="6"/>
      <c r="B78" t="s">
        <v>5</v>
      </c>
      <c r="C78">
        <v>90</v>
      </c>
      <c r="D78" s="2">
        <v>6.2E-2</v>
      </c>
      <c r="E78" s="2">
        <v>4.2999999999999997E-2</v>
      </c>
      <c r="F78">
        <f t="shared" si="3"/>
        <v>1.9000000000000003E-2</v>
      </c>
      <c r="G78">
        <f t="shared" si="4"/>
        <v>0.10555555555555557</v>
      </c>
      <c r="H78" t="str">
        <f t="shared" si="5"/>
        <v/>
      </c>
    </row>
    <row r="79" spans="1:8" x14ac:dyDescent="0.3">
      <c r="A79" s="6"/>
      <c r="B79" t="s">
        <v>6</v>
      </c>
      <c r="C79">
        <v>90</v>
      </c>
      <c r="D79" s="2">
        <v>5.8000000000000003E-2</v>
      </c>
      <c r="E79" s="2">
        <v>4.1000000000000002E-2</v>
      </c>
      <c r="F79">
        <f t="shared" si="3"/>
        <v>1.7000000000000001E-2</v>
      </c>
      <c r="G79">
        <f t="shared" si="4"/>
        <v>9.4444444444444442E-2</v>
      </c>
      <c r="H79" t="str">
        <f t="shared" si="5"/>
        <v/>
      </c>
    </row>
    <row r="80" spans="1:8" x14ac:dyDescent="0.3">
      <c r="A80" s="6"/>
      <c r="B80" t="s">
        <v>7</v>
      </c>
      <c r="C80">
        <v>90</v>
      </c>
      <c r="D80" s="2">
        <v>7.2999999999999995E-2</v>
      </c>
      <c r="E80" s="2">
        <v>4.2999999999999997E-2</v>
      </c>
      <c r="F80">
        <f t="shared" si="3"/>
        <v>0.03</v>
      </c>
      <c r="G80">
        <f t="shared" si="4"/>
        <v>0.16666666666666666</v>
      </c>
      <c r="H80" t="str">
        <f t="shared" si="5"/>
        <v>High</v>
      </c>
    </row>
    <row r="81" spans="1:8" x14ac:dyDescent="0.3">
      <c r="A81" s="6"/>
      <c r="B81" t="s">
        <v>8</v>
      </c>
      <c r="C81">
        <v>90</v>
      </c>
      <c r="D81" s="2">
        <v>7.0000000000000007E-2</v>
      </c>
      <c r="E81" s="2">
        <v>3.7999999999999999E-2</v>
      </c>
      <c r="F81">
        <f t="shared" si="3"/>
        <v>3.2000000000000008E-2</v>
      </c>
      <c r="G81">
        <f t="shared" si="4"/>
        <v>0.17777777777777781</v>
      </c>
      <c r="H81" t="str">
        <f t="shared" si="5"/>
        <v>High</v>
      </c>
    </row>
    <row r="82" spans="1:8" x14ac:dyDescent="0.3">
      <c r="A82" s="6"/>
      <c r="B82" t="s">
        <v>9</v>
      </c>
      <c r="C82">
        <v>90</v>
      </c>
      <c r="D82" s="2">
        <v>0.10299999999999999</v>
      </c>
      <c r="E82" s="2">
        <v>5.8000000000000003E-2</v>
      </c>
      <c r="F82">
        <f t="shared" si="3"/>
        <v>4.4999999999999991E-2</v>
      </c>
      <c r="G82">
        <f t="shared" si="4"/>
        <v>0.24999999999999994</v>
      </c>
      <c r="H82" t="str">
        <f t="shared" si="5"/>
        <v>High</v>
      </c>
    </row>
    <row r="83" spans="1:8" x14ac:dyDescent="0.3">
      <c r="A83" s="6"/>
      <c r="B83" t="s">
        <v>10</v>
      </c>
      <c r="C83">
        <v>90</v>
      </c>
      <c r="D83" s="2">
        <v>0.14799999999999999</v>
      </c>
      <c r="E83" s="2">
        <v>0.123</v>
      </c>
      <c r="F83">
        <f t="shared" si="3"/>
        <v>2.4999999999999994E-2</v>
      </c>
      <c r="G83">
        <f t="shared" si="4"/>
        <v>0.13888888888888884</v>
      </c>
      <c r="H83" t="str">
        <f t="shared" si="5"/>
        <v/>
      </c>
    </row>
    <row r="84" spans="1:8" x14ac:dyDescent="0.3">
      <c r="A84" s="6"/>
      <c r="B84" t="s">
        <v>11</v>
      </c>
      <c r="C84">
        <v>90</v>
      </c>
      <c r="D84" s="2">
        <v>7.0000000000000007E-2</v>
      </c>
      <c r="E84" s="2">
        <v>4.2000000000000003E-2</v>
      </c>
      <c r="F84">
        <f t="shared" si="3"/>
        <v>2.8000000000000004E-2</v>
      </c>
      <c r="G84">
        <f t="shared" si="4"/>
        <v>0.15555555555555559</v>
      </c>
      <c r="H84" t="str">
        <f t="shared" si="5"/>
        <v>High</v>
      </c>
    </row>
    <row r="85" spans="1:8" x14ac:dyDescent="0.3">
      <c r="A85" s="6"/>
      <c r="B85" t="s">
        <v>12</v>
      </c>
      <c r="C85">
        <v>90</v>
      </c>
      <c r="D85" s="2">
        <v>7.2999999999999995E-2</v>
      </c>
      <c r="E85" s="2">
        <v>4.7E-2</v>
      </c>
      <c r="F85">
        <f t="shared" si="3"/>
        <v>2.5999999999999995E-2</v>
      </c>
      <c r="G85">
        <f t="shared" si="4"/>
        <v>0.1444444444444444</v>
      </c>
      <c r="H85" t="str">
        <f t="shared" si="5"/>
        <v/>
      </c>
    </row>
    <row r="86" spans="1:8" x14ac:dyDescent="0.3">
      <c r="A86" s="6" t="s">
        <v>25</v>
      </c>
      <c r="B86" t="s">
        <v>1</v>
      </c>
      <c r="C86">
        <v>90</v>
      </c>
      <c r="D86" s="2">
        <v>6.2E-2</v>
      </c>
      <c r="E86" s="2">
        <v>4.4999999999999998E-2</v>
      </c>
      <c r="F86">
        <f t="shared" si="3"/>
        <v>1.7000000000000001E-2</v>
      </c>
      <c r="G86">
        <f t="shared" si="4"/>
        <v>9.4444444444444442E-2</v>
      </c>
      <c r="H86" t="str">
        <f t="shared" si="5"/>
        <v/>
      </c>
    </row>
    <row r="87" spans="1:8" x14ac:dyDescent="0.3">
      <c r="A87" s="6"/>
      <c r="B87" t="s">
        <v>2</v>
      </c>
      <c r="C87">
        <v>91</v>
      </c>
      <c r="D87" s="2">
        <v>5.2999999999999999E-2</v>
      </c>
      <c r="E87" s="2">
        <v>4.5999999999999999E-2</v>
      </c>
      <c r="F87">
        <f t="shared" si="3"/>
        <v>6.9999999999999993E-3</v>
      </c>
      <c r="G87">
        <f t="shared" si="4"/>
        <v>3.8461538461538457E-2</v>
      </c>
      <c r="H87" t="str">
        <f t="shared" si="5"/>
        <v/>
      </c>
    </row>
    <row r="88" spans="1:8" x14ac:dyDescent="0.3">
      <c r="A88" s="6"/>
      <c r="B88" t="s">
        <v>3</v>
      </c>
      <c r="C88">
        <v>101</v>
      </c>
      <c r="D88" s="2">
        <v>5.0999999999999997E-2</v>
      </c>
      <c r="E88" s="2">
        <v>4.3999999999999997E-2</v>
      </c>
      <c r="F88">
        <f t="shared" si="3"/>
        <v>6.9999999999999993E-3</v>
      </c>
      <c r="G88">
        <f t="shared" si="4"/>
        <v>3.465346534653465E-2</v>
      </c>
      <c r="H88" t="str">
        <f t="shared" si="5"/>
        <v/>
      </c>
    </row>
    <row r="89" spans="1:8" x14ac:dyDescent="0.3">
      <c r="A89" s="6"/>
      <c r="B89" t="s">
        <v>4</v>
      </c>
      <c r="C89">
        <v>91</v>
      </c>
      <c r="D89" s="2">
        <v>0.06</v>
      </c>
      <c r="E89" s="2">
        <v>4.7E-2</v>
      </c>
      <c r="F89">
        <f t="shared" si="3"/>
        <v>1.2999999999999998E-2</v>
      </c>
      <c r="G89">
        <f t="shared" si="4"/>
        <v>7.1428571428571411E-2</v>
      </c>
      <c r="H89" t="str">
        <f t="shared" si="5"/>
        <v/>
      </c>
    </row>
    <row r="90" spans="1:8" x14ac:dyDescent="0.3">
      <c r="A90" s="6"/>
      <c r="B90" t="s">
        <v>5</v>
      </c>
      <c r="C90">
        <v>73</v>
      </c>
      <c r="D90" s="2">
        <v>4.9000000000000002E-2</v>
      </c>
      <c r="E90" s="2">
        <v>4.2999999999999997E-2</v>
      </c>
      <c r="F90">
        <f t="shared" si="3"/>
        <v>6.0000000000000053E-3</v>
      </c>
      <c r="G90">
        <f t="shared" si="4"/>
        <v>4.1095890410958937E-2</v>
      </c>
      <c r="H90" t="str">
        <f t="shared" si="5"/>
        <v/>
      </c>
    </row>
    <row r="91" spans="1:8" x14ac:dyDescent="0.3">
      <c r="A91" s="6"/>
      <c r="B91" t="s">
        <v>6</v>
      </c>
      <c r="C91">
        <v>118</v>
      </c>
      <c r="D91" s="2">
        <v>7.0000000000000007E-2</v>
      </c>
      <c r="E91" s="2">
        <v>4.5999999999999999E-2</v>
      </c>
      <c r="F91">
        <f t="shared" si="3"/>
        <v>2.4000000000000007E-2</v>
      </c>
      <c r="G91">
        <f t="shared" si="4"/>
        <v>0.10169491525423732</v>
      </c>
      <c r="H91" t="str">
        <f t="shared" si="5"/>
        <v/>
      </c>
    </row>
    <row r="92" spans="1:8" x14ac:dyDescent="0.3">
      <c r="A92" s="6"/>
      <c r="B92" t="s">
        <v>7</v>
      </c>
      <c r="C92">
        <v>75</v>
      </c>
      <c r="D92" s="2">
        <v>5.8000000000000003E-2</v>
      </c>
      <c r="E92" s="2">
        <v>4.2999999999999997E-2</v>
      </c>
      <c r="F92">
        <f t="shared" si="3"/>
        <v>1.5000000000000006E-2</v>
      </c>
      <c r="G92">
        <f t="shared" si="4"/>
        <v>0.10000000000000005</v>
      </c>
      <c r="H92" t="str">
        <f t="shared" si="5"/>
        <v/>
      </c>
    </row>
    <row r="93" spans="1:8" x14ac:dyDescent="0.3">
      <c r="A93" s="6"/>
      <c r="B93" t="s">
        <v>8</v>
      </c>
      <c r="C93">
        <v>103</v>
      </c>
      <c r="D93" s="2">
        <v>9.8000000000000004E-2</v>
      </c>
      <c r="E93" s="2">
        <v>5.3999999999999999E-2</v>
      </c>
      <c r="F93">
        <f t="shared" si="3"/>
        <v>4.4000000000000004E-2</v>
      </c>
      <c r="G93">
        <f t="shared" si="4"/>
        <v>0.21359223300970875</v>
      </c>
      <c r="H93" t="str">
        <f t="shared" si="5"/>
        <v>High</v>
      </c>
    </row>
    <row r="94" spans="1:8" x14ac:dyDescent="0.3">
      <c r="A94" s="6"/>
      <c r="B94" t="s">
        <v>9</v>
      </c>
      <c r="C94">
        <v>105</v>
      </c>
      <c r="D94" s="2">
        <v>5.3999999999999999E-2</v>
      </c>
      <c r="E94" s="2">
        <v>4.9000000000000002E-2</v>
      </c>
      <c r="F94">
        <f t="shared" si="3"/>
        <v>4.9999999999999975E-3</v>
      </c>
      <c r="G94">
        <f t="shared" si="4"/>
        <v>2.3809523809523798E-2</v>
      </c>
      <c r="H94" t="str">
        <f t="shared" si="5"/>
        <v/>
      </c>
    </row>
    <row r="95" spans="1:8" x14ac:dyDescent="0.3">
      <c r="A95" s="6"/>
      <c r="B95" t="s">
        <v>10</v>
      </c>
      <c r="C95">
        <v>79</v>
      </c>
      <c r="D95" s="2">
        <v>5.2999999999999999E-2</v>
      </c>
      <c r="E95" s="2">
        <v>4.9000000000000002E-2</v>
      </c>
      <c r="F95">
        <f t="shared" si="3"/>
        <v>3.9999999999999966E-3</v>
      </c>
      <c r="G95">
        <f t="shared" si="4"/>
        <v>2.531645569620251E-2</v>
      </c>
      <c r="H95" t="str">
        <f t="shared" si="5"/>
        <v/>
      </c>
    </row>
    <row r="96" spans="1:8" x14ac:dyDescent="0.3">
      <c r="A96" s="6"/>
      <c r="B96" t="s">
        <v>11</v>
      </c>
      <c r="C96">
        <v>88</v>
      </c>
      <c r="D96" s="2">
        <v>5.8999999999999997E-2</v>
      </c>
      <c r="E96" s="2">
        <v>5.0999999999999997E-2</v>
      </c>
      <c r="F96">
        <f t="shared" si="3"/>
        <v>8.0000000000000002E-3</v>
      </c>
      <c r="G96">
        <f t="shared" si="4"/>
        <v>4.5454545454545456E-2</v>
      </c>
      <c r="H96" t="str">
        <f t="shared" si="5"/>
        <v/>
      </c>
    </row>
    <row r="97" spans="1:8" x14ac:dyDescent="0.3">
      <c r="A97" s="6"/>
      <c r="B97" t="s">
        <v>12</v>
      </c>
      <c r="C97">
        <v>58</v>
      </c>
      <c r="D97" s="2">
        <v>8.5999999999999993E-2</v>
      </c>
      <c r="E97" s="2">
        <v>5.8000000000000003E-2</v>
      </c>
      <c r="F97">
        <f t="shared" si="3"/>
        <v>2.799999999999999E-2</v>
      </c>
      <c r="G97">
        <f t="shared" si="4"/>
        <v>0.24137931034482751</v>
      </c>
      <c r="H97" t="str">
        <f t="shared" si="5"/>
        <v>High</v>
      </c>
    </row>
  </sheetData>
  <mergeCells count="8">
    <mergeCell ref="A74:A85"/>
    <mergeCell ref="A86:A97"/>
    <mergeCell ref="A2:A13"/>
    <mergeCell ref="A14:A25"/>
    <mergeCell ref="A26:A37"/>
    <mergeCell ref="A38:A49"/>
    <mergeCell ref="A50:A61"/>
    <mergeCell ref="A62:A7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F342-6148-4059-A906-0DADD8460E83}">
  <dimension ref="A1:AJ97"/>
  <sheetViews>
    <sheetView topLeftCell="P27" zoomScale="82" zoomScaleNormal="115" workbookViewId="0">
      <selection activeCell="AE49" sqref="AE49"/>
    </sheetView>
  </sheetViews>
  <sheetFormatPr defaultRowHeight="14" x14ac:dyDescent="0.3"/>
  <cols>
    <col min="2" max="2" width="11.3984375" bestFit="1" customWidth="1"/>
    <col min="19" max="19" width="11.3984375" bestFit="1" customWidth="1"/>
  </cols>
  <sheetData>
    <row r="1" spans="1:31" ht="27.95" x14ac:dyDescent="0.3">
      <c r="A1" s="3" t="s">
        <v>26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R1" s="3" t="s">
        <v>36</v>
      </c>
      <c r="S1" s="4">
        <v>1</v>
      </c>
      <c r="T1" s="4">
        <v>2</v>
      </c>
      <c r="U1" s="4">
        <v>3</v>
      </c>
      <c r="V1" s="4">
        <v>4</v>
      </c>
      <c r="W1" s="4">
        <v>5</v>
      </c>
      <c r="X1" s="4">
        <v>6</v>
      </c>
      <c r="Y1" s="4">
        <v>7</v>
      </c>
      <c r="Z1" s="4">
        <v>8</v>
      </c>
      <c r="AA1" s="4">
        <v>9</v>
      </c>
      <c r="AB1" s="4">
        <v>10</v>
      </c>
      <c r="AC1" s="4">
        <v>11</v>
      </c>
      <c r="AD1" s="4">
        <v>12</v>
      </c>
    </row>
    <row r="2" spans="1:31" x14ac:dyDescent="0.3">
      <c r="A2" s="4" t="s">
        <v>27</v>
      </c>
      <c r="B2" s="2">
        <v>70209</v>
      </c>
      <c r="C2" s="2">
        <v>56059</v>
      </c>
      <c r="D2" s="2">
        <v>52333</v>
      </c>
      <c r="E2" s="2">
        <v>46683</v>
      </c>
      <c r="F2" s="2">
        <v>44926</v>
      </c>
      <c r="G2" s="2">
        <v>41443</v>
      </c>
      <c r="H2" s="2">
        <v>35105</v>
      </c>
      <c r="I2" s="2">
        <v>26645</v>
      </c>
      <c r="J2" s="2">
        <v>15309</v>
      </c>
      <c r="K2" s="2">
        <v>7106</v>
      </c>
      <c r="L2" s="2">
        <v>5381</v>
      </c>
      <c r="M2" s="2">
        <v>3704</v>
      </c>
      <c r="N2" s="5" t="s">
        <v>28</v>
      </c>
      <c r="R2" s="4" t="s">
        <v>27</v>
      </c>
      <c r="S2" s="2">
        <v>85309</v>
      </c>
      <c r="T2" s="2">
        <v>61960</v>
      </c>
      <c r="U2" s="2">
        <v>58006</v>
      </c>
      <c r="V2" s="2">
        <v>58653</v>
      </c>
      <c r="W2" s="2">
        <v>56002</v>
      </c>
      <c r="X2" s="2">
        <v>45127</v>
      </c>
      <c r="Y2" s="2">
        <v>44547</v>
      </c>
      <c r="Z2" s="2">
        <v>30669</v>
      </c>
      <c r="AA2" s="2">
        <v>16920</v>
      </c>
      <c r="AB2" s="2">
        <v>9091</v>
      </c>
      <c r="AC2" s="2">
        <v>6249</v>
      </c>
      <c r="AD2" s="2">
        <v>4877</v>
      </c>
      <c r="AE2" s="5" t="s">
        <v>28</v>
      </c>
    </row>
    <row r="3" spans="1:31" x14ac:dyDescent="0.3">
      <c r="A3" s="4" t="s">
        <v>29</v>
      </c>
      <c r="B3" s="2">
        <v>75834</v>
      </c>
      <c r="C3" s="2">
        <v>60476</v>
      </c>
      <c r="D3" s="2">
        <v>52314</v>
      </c>
      <c r="E3" s="2">
        <v>48797</v>
      </c>
      <c r="F3" s="2">
        <v>45364</v>
      </c>
      <c r="G3" s="2">
        <v>41788</v>
      </c>
      <c r="H3" s="2">
        <v>35001</v>
      </c>
      <c r="I3" s="2">
        <v>26519</v>
      </c>
      <c r="J3" s="2">
        <v>14054</v>
      </c>
      <c r="K3" s="2">
        <v>7048</v>
      </c>
      <c r="L3" s="2">
        <v>5203</v>
      </c>
      <c r="M3" s="2">
        <v>3955</v>
      </c>
      <c r="N3" s="5" t="s">
        <v>28</v>
      </c>
      <c r="R3" s="4" t="s">
        <v>29</v>
      </c>
      <c r="S3" s="2">
        <v>91612</v>
      </c>
      <c r="T3" s="2">
        <v>65184</v>
      </c>
      <c r="U3" s="2">
        <v>62433</v>
      </c>
      <c r="V3" s="2">
        <v>62041</v>
      </c>
      <c r="W3" s="2">
        <v>56098</v>
      </c>
      <c r="X3" s="2">
        <v>48633</v>
      </c>
      <c r="Y3" s="2">
        <v>45224</v>
      </c>
      <c r="Z3" s="2">
        <v>30661</v>
      </c>
      <c r="AA3" s="2">
        <v>17265</v>
      </c>
      <c r="AB3" s="2">
        <v>9045</v>
      </c>
      <c r="AC3" s="2">
        <v>6046</v>
      </c>
      <c r="AD3" s="2">
        <v>4638</v>
      </c>
      <c r="AE3" s="5" t="s">
        <v>28</v>
      </c>
    </row>
    <row r="4" spans="1:31" x14ac:dyDescent="0.3">
      <c r="A4" s="4" t="s">
        <v>30</v>
      </c>
      <c r="B4" s="2">
        <v>3520</v>
      </c>
      <c r="C4" s="2">
        <v>3240</v>
      </c>
      <c r="D4" s="2">
        <v>2683</v>
      </c>
      <c r="E4" s="2">
        <v>2980</v>
      </c>
      <c r="F4" s="2">
        <v>3120</v>
      </c>
      <c r="G4" s="2">
        <v>3320</v>
      </c>
      <c r="H4" s="2">
        <v>3467</v>
      </c>
      <c r="I4" s="2">
        <v>3531</v>
      </c>
      <c r="J4" s="2">
        <v>2969</v>
      </c>
      <c r="K4" s="2">
        <v>2948</v>
      </c>
      <c r="L4" s="2">
        <v>3510</v>
      </c>
      <c r="M4" s="2">
        <v>4016</v>
      </c>
      <c r="N4" s="5" t="s">
        <v>28</v>
      </c>
      <c r="R4" s="4" t="s">
        <v>30</v>
      </c>
      <c r="S4" s="2">
        <v>4052</v>
      </c>
      <c r="T4" s="2">
        <v>3470</v>
      </c>
      <c r="U4" s="2">
        <v>4143</v>
      </c>
      <c r="V4" s="2">
        <v>3661</v>
      </c>
      <c r="W4" s="2">
        <v>3862</v>
      </c>
      <c r="X4" s="2">
        <v>4071</v>
      </c>
      <c r="Y4" s="2">
        <v>2139</v>
      </c>
      <c r="Z4" s="2">
        <v>3878</v>
      </c>
      <c r="AA4" s="2">
        <v>4159</v>
      </c>
      <c r="AB4" s="2">
        <v>4364</v>
      </c>
      <c r="AC4" s="2">
        <v>3891</v>
      </c>
      <c r="AD4" s="2">
        <v>3978</v>
      </c>
      <c r="AE4" s="5" t="s">
        <v>28</v>
      </c>
    </row>
    <row r="5" spans="1:31" x14ac:dyDescent="0.3">
      <c r="A5" s="4" t="s">
        <v>31</v>
      </c>
      <c r="B5" s="2">
        <v>3616</v>
      </c>
      <c r="C5" s="2">
        <v>5247</v>
      </c>
      <c r="D5" s="2">
        <v>3536</v>
      </c>
      <c r="E5" s="2">
        <v>3429</v>
      </c>
      <c r="F5" s="2">
        <v>3780</v>
      </c>
      <c r="G5" s="2">
        <v>3141</v>
      </c>
      <c r="H5" s="2">
        <v>3573</v>
      </c>
      <c r="I5" s="2">
        <v>3827</v>
      </c>
      <c r="J5" s="2">
        <v>3828</v>
      </c>
      <c r="K5" s="2">
        <v>54612</v>
      </c>
      <c r="L5" s="2">
        <v>3999</v>
      </c>
      <c r="M5" s="2">
        <v>4069</v>
      </c>
      <c r="N5" s="5" t="s">
        <v>28</v>
      </c>
      <c r="R5" s="4" t="s">
        <v>31</v>
      </c>
      <c r="S5" s="2">
        <v>4314</v>
      </c>
      <c r="T5" s="2">
        <v>4732</v>
      </c>
      <c r="U5" s="2">
        <v>3799</v>
      </c>
      <c r="V5" s="2">
        <v>4488</v>
      </c>
      <c r="W5" s="2">
        <v>3723</v>
      </c>
      <c r="X5" s="2">
        <v>4891</v>
      </c>
      <c r="Y5" s="2">
        <v>3310</v>
      </c>
      <c r="Z5" s="2">
        <v>4128</v>
      </c>
      <c r="AA5" s="2">
        <v>5201</v>
      </c>
      <c r="AB5" s="2">
        <v>4796</v>
      </c>
      <c r="AC5" s="2">
        <v>4187</v>
      </c>
      <c r="AD5" s="2">
        <v>4507</v>
      </c>
      <c r="AE5" s="5" t="s">
        <v>28</v>
      </c>
    </row>
    <row r="6" spans="1:31" x14ac:dyDescent="0.3">
      <c r="A6" s="4" t="s">
        <v>32</v>
      </c>
      <c r="B6" s="2">
        <v>10393</v>
      </c>
      <c r="C6" s="2">
        <v>9668</v>
      </c>
      <c r="D6" s="2">
        <v>8376</v>
      </c>
      <c r="E6" s="2">
        <v>3635</v>
      </c>
      <c r="F6" s="2">
        <v>15693</v>
      </c>
      <c r="G6" s="2">
        <v>10055</v>
      </c>
      <c r="H6" s="2">
        <v>12455</v>
      </c>
      <c r="I6" s="2">
        <v>11297</v>
      </c>
      <c r="J6" s="2">
        <v>9979</v>
      </c>
      <c r="K6" s="2">
        <v>14089</v>
      </c>
      <c r="L6" s="2">
        <v>14094</v>
      </c>
      <c r="M6" s="2">
        <v>9779</v>
      </c>
      <c r="N6" s="5" t="s">
        <v>28</v>
      </c>
      <c r="R6" s="4" t="s">
        <v>32</v>
      </c>
      <c r="S6" s="2">
        <v>17793</v>
      </c>
      <c r="T6" s="2">
        <v>13646</v>
      </c>
      <c r="U6" s="2">
        <v>26526</v>
      </c>
      <c r="V6" s="2">
        <v>17303</v>
      </c>
      <c r="W6" s="2">
        <v>10161</v>
      </c>
      <c r="X6" s="2">
        <v>10923</v>
      </c>
      <c r="Y6" s="2">
        <v>12929</v>
      </c>
      <c r="Z6" s="2">
        <v>12663</v>
      </c>
      <c r="AA6" s="2">
        <v>5158</v>
      </c>
      <c r="AB6" s="2">
        <v>8889</v>
      </c>
      <c r="AC6" s="2">
        <v>9641</v>
      </c>
      <c r="AD6" s="2">
        <v>4465</v>
      </c>
      <c r="AE6" s="5" t="s">
        <v>28</v>
      </c>
    </row>
    <row r="7" spans="1:31" x14ac:dyDescent="0.3">
      <c r="A7" s="4" t="s">
        <v>33</v>
      </c>
      <c r="B7" s="2">
        <v>7625</v>
      </c>
      <c r="C7" s="2">
        <v>6003</v>
      </c>
      <c r="D7" s="2">
        <v>3545</v>
      </c>
      <c r="E7" s="2">
        <v>3363</v>
      </c>
      <c r="F7" s="2">
        <v>6078</v>
      </c>
      <c r="G7" s="2">
        <v>4653</v>
      </c>
      <c r="H7" s="2">
        <v>4918</v>
      </c>
      <c r="I7" s="2">
        <v>6378</v>
      </c>
      <c r="J7" s="2">
        <v>5866</v>
      </c>
      <c r="K7" s="2">
        <v>5830</v>
      </c>
      <c r="L7" s="2">
        <v>4926</v>
      </c>
      <c r="M7" s="2">
        <v>4238</v>
      </c>
      <c r="N7" s="5" t="s">
        <v>28</v>
      </c>
      <c r="R7" s="4" t="s">
        <v>33</v>
      </c>
      <c r="S7" s="2">
        <v>6162</v>
      </c>
      <c r="T7" s="2">
        <v>6541</v>
      </c>
      <c r="U7" s="2">
        <v>6015</v>
      </c>
      <c r="V7" s="2">
        <v>5714</v>
      </c>
      <c r="W7" s="2">
        <v>10921</v>
      </c>
      <c r="X7" s="2">
        <v>8013</v>
      </c>
      <c r="Y7" s="2">
        <v>12836</v>
      </c>
      <c r="Z7" s="2">
        <v>10143</v>
      </c>
      <c r="AA7" s="2">
        <v>7424</v>
      </c>
      <c r="AB7" s="2">
        <v>10899</v>
      </c>
      <c r="AC7" s="2">
        <v>14099</v>
      </c>
      <c r="AD7" s="2">
        <v>14076</v>
      </c>
      <c r="AE7" s="5" t="s">
        <v>28</v>
      </c>
    </row>
    <row r="8" spans="1:31" x14ac:dyDescent="0.3">
      <c r="A8" s="4" t="s">
        <v>34</v>
      </c>
      <c r="B8" s="2">
        <v>3499</v>
      </c>
      <c r="C8" s="2">
        <v>3193</v>
      </c>
      <c r="D8" s="2">
        <v>3353</v>
      </c>
      <c r="E8" s="2">
        <v>3356</v>
      </c>
      <c r="F8" s="2">
        <v>13</v>
      </c>
      <c r="G8" s="2">
        <v>32</v>
      </c>
      <c r="H8" s="2">
        <v>3</v>
      </c>
      <c r="I8" s="2">
        <v>21</v>
      </c>
      <c r="J8" s="2">
        <v>29</v>
      </c>
      <c r="K8" s="2">
        <v>10</v>
      </c>
      <c r="L8" s="2">
        <v>7</v>
      </c>
      <c r="M8" s="2">
        <v>22</v>
      </c>
      <c r="N8" s="5" t="s">
        <v>28</v>
      </c>
      <c r="R8" s="4" t="s">
        <v>34</v>
      </c>
      <c r="S8" s="2">
        <v>3528</v>
      </c>
      <c r="T8" s="2">
        <v>3502</v>
      </c>
      <c r="U8" s="2">
        <v>3394</v>
      </c>
      <c r="V8" s="2">
        <v>3509</v>
      </c>
      <c r="W8" s="2">
        <v>27</v>
      </c>
      <c r="X8" s="2">
        <v>15</v>
      </c>
      <c r="Y8" s="2">
        <v>28</v>
      </c>
      <c r="Z8" s="2">
        <v>4</v>
      </c>
      <c r="AA8" s="2">
        <v>21</v>
      </c>
      <c r="AB8" s="2">
        <v>16</v>
      </c>
      <c r="AC8" s="2">
        <v>11</v>
      </c>
      <c r="AD8" s="2">
        <v>2</v>
      </c>
      <c r="AE8" s="5" t="s">
        <v>28</v>
      </c>
    </row>
    <row r="9" spans="1:31" x14ac:dyDescent="0.3">
      <c r="A9" s="4" t="s">
        <v>35</v>
      </c>
      <c r="B9" s="2">
        <v>18</v>
      </c>
      <c r="C9" s="2">
        <v>2</v>
      </c>
      <c r="D9" s="2">
        <v>42</v>
      </c>
      <c r="E9" s="2">
        <v>8</v>
      </c>
      <c r="F9" s="2">
        <v>7</v>
      </c>
      <c r="G9" s="2">
        <v>2</v>
      </c>
      <c r="H9" s="2">
        <v>10</v>
      </c>
      <c r="I9" s="2">
        <v>44</v>
      </c>
      <c r="J9" s="2">
        <v>8</v>
      </c>
      <c r="K9" s="2">
        <v>29</v>
      </c>
      <c r="L9" s="2">
        <v>17</v>
      </c>
      <c r="M9" s="2">
        <v>55</v>
      </c>
      <c r="N9" s="5" t="s">
        <v>28</v>
      </c>
      <c r="R9" s="4" t="s">
        <v>35</v>
      </c>
      <c r="S9" s="2">
        <v>3</v>
      </c>
      <c r="T9" s="2">
        <v>16</v>
      </c>
      <c r="U9" s="2">
        <v>24</v>
      </c>
      <c r="V9" s="2">
        <v>15</v>
      </c>
      <c r="W9" s="2">
        <v>43</v>
      </c>
      <c r="X9" s="2">
        <v>15</v>
      </c>
      <c r="Y9" s="2">
        <v>31</v>
      </c>
      <c r="Z9" s="2">
        <v>26</v>
      </c>
      <c r="AA9" s="2">
        <v>11</v>
      </c>
      <c r="AB9" s="2">
        <v>31</v>
      </c>
      <c r="AC9" s="2">
        <v>26</v>
      </c>
      <c r="AD9" s="2">
        <v>10</v>
      </c>
      <c r="AE9" s="5" t="s">
        <v>28</v>
      </c>
    </row>
    <row r="11" spans="1:31" ht="42.05" x14ac:dyDescent="0.3">
      <c r="A11" s="3" t="s">
        <v>39</v>
      </c>
      <c r="B11" s="4">
        <v>1</v>
      </c>
      <c r="C11" s="4">
        <v>2</v>
      </c>
      <c r="D11" s="4">
        <v>3</v>
      </c>
      <c r="E11" s="4">
        <v>4</v>
      </c>
      <c r="F11" s="4">
        <v>5</v>
      </c>
      <c r="G11" s="4">
        <v>6</v>
      </c>
      <c r="H11" s="4">
        <v>7</v>
      </c>
      <c r="I11" s="4">
        <v>8</v>
      </c>
      <c r="J11" s="4">
        <v>9</v>
      </c>
      <c r="K11" s="4">
        <v>10</v>
      </c>
      <c r="L11" s="4">
        <v>11</v>
      </c>
      <c r="M11" s="4">
        <v>12</v>
      </c>
      <c r="R11" s="3" t="s">
        <v>56</v>
      </c>
      <c r="S11" s="4">
        <v>1</v>
      </c>
      <c r="T11" s="4">
        <v>2</v>
      </c>
      <c r="U11" s="4">
        <v>3</v>
      </c>
      <c r="V11" s="4">
        <v>4</v>
      </c>
      <c r="W11" s="4">
        <v>5</v>
      </c>
      <c r="X11" s="4">
        <v>6</v>
      </c>
      <c r="Y11" s="4">
        <v>7</v>
      </c>
      <c r="Z11" s="4">
        <v>8</v>
      </c>
      <c r="AA11" s="4">
        <v>9</v>
      </c>
      <c r="AB11" s="4">
        <v>10</v>
      </c>
      <c r="AC11" s="4">
        <v>11</v>
      </c>
      <c r="AD11" s="4">
        <v>12</v>
      </c>
    </row>
    <row r="12" spans="1:31" x14ac:dyDescent="0.3">
      <c r="A12" s="4" t="s">
        <v>27</v>
      </c>
      <c r="B12" s="2">
        <v>6773.3845639826268</v>
      </c>
      <c r="C12" s="2">
        <v>5355.0751754092889</v>
      </c>
      <c r="D12" s="2">
        <v>4981.6037420648181</v>
      </c>
      <c r="E12" s="2">
        <v>4415.2823254259947</v>
      </c>
      <c r="F12" s="2">
        <v>4239.1713999331778</v>
      </c>
      <c r="G12" s="2">
        <v>3890.0567991981293</v>
      </c>
      <c r="H12" s="2">
        <v>3254.774473772135</v>
      </c>
      <c r="I12" s="2">
        <v>2406.7958569996658</v>
      </c>
      <c r="J12" s="2">
        <v>1270.5446040761776</v>
      </c>
      <c r="K12" s="2">
        <v>448.32609421984637</v>
      </c>
      <c r="L12" s="2">
        <v>275.42265285666559</v>
      </c>
      <c r="M12" s="2">
        <v>107.33043768793854</v>
      </c>
      <c r="N12" s="5"/>
      <c r="R12" s="4" t="s">
        <v>27</v>
      </c>
      <c r="S12" s="2">
        <v>7196.526149155723</v>
      </c>
      <c r="T12" s="2">
        <v>5143.0845450281431</v>
      </c>
      <c r="U12" s="2">
        <v>4795.3476782363978</v>
      </c>
      <c r="V12" s="2">
        <v>4852.2484756097565</v>
      </c>
      <c r="W12" s="2">
        <v>4619.1047138836775</v>
      </c>
      <c r="X12" s="2">
        <v>3662.696411819888</v>
      </c>
      <c r="Y12" s="2">
        <v>3611.6879690431524</v>
      </c>
      <c r="Z12" s="2">
        <v>2391.1790572232649</v>
      </c>
      <c r="AA12" s="2">
        <v>1182.015126641651</v>
      </c>
      <c r="AB12" s="2">
        <v>493.48909474671672</v>
      </c>
      <c r="AC12" s="2">
        <v>243.54772514071297</v>
      </c>
      <c r="AD12" s="2">
        <v>122.88637429643529</v>
      </c>
      <c r="AE12" s="5" t="s">
        <v>28</v>
      </c>
    </row>
    <row r="13" spans="1:31" x14ac:dyDescent="0.3">
      <c r="A13" s="4" t="s">
        <v>29</v>
      </c>
      <c r="B13" s="2">
        <v>7337.2001336451722</v>
      </c>
      <c r="C13" s="2">
        <v>5797.8082191780832</v>
      </c>
      <c r="D13" s="2">
        <v>4979.699298362847</v>
      </c>
      <c r="E13" s="2">
        <v>4627.1767457400601</v>
      </c>
      <c r="F13" s="2">
        <v>4283.0738389575681</v>
      </c>
      <c r="G13" s="2">
        <v>3924.6374874707653</v>
      </c>
      <c r="H13" s="2">
        <v>3244.3501503508182</v>
      </c>
      <c r="I13" s="2">
        <v>2394.1663882392245</v>
      </c>
      <c r="J13" s="2">
        <v>1144.751085867023</v>
      </c>
      <c r="K13" s="2">
        <v>442.51252923488141</v>
      </c>
      <c r="L13" s="2">
        <v>257.58102238556637</v>
      </c>
      <c r="M13" s="2">
        <v>132.48914132976947</v>
      </c>
      <c r="N13" s="5"/>
      <c r="R13" s="4" t="s">
        <v>29</v>
      </c>
      <c r="S13" s="2">
        <v>7750.8472091932463</v>
      </c>
      <c r="T13" s="2">
        <v>5426.6211303939972</v>
      </c>
      <c r="U13" s="2">
        <v>5184.6828095684814</v>
      </c>
      <c r="V13" s="2">
        <v>5150.2081378986877</v>
      </c>
      <c r="W13" s="2">
        <v>4627.5474906191375</v>
      </c>
      <c r="X13" s="2">
        <v>3971.0336538461547</v>
      </c>
      <c r="Y13" s="2">
        <v>3671.2271341463415</v>
      </c>
      <c r="Z13" s="2">
        <v>2390.4754924953095</v>
      </c>
      <c r="AA13" s="2">
        <v>1212.3563555347091</v>
      </c>
      <c r="AB13" s="2">
        <v>489.44359756097566</v>
      </c>
      <c r="AC13" s="2">
        <v>225.69477016885557</v>
      </c>
      <c r="AD13" s="2">
        <v>101.86737804878051</v>
      </c>
      <c r="AE13" s="5" t="s">
        <v>28</v>
      </c>
    </row>
    <row r="14" spans="1:31" x14ac:dyDescent="0.3">
      <c r="A14" s="4" t="s">
        <v>30</v>
      </c>
      <c r="B14" s="2">
        <v>88.887403942532586</v>
      </c>
      <c r="C14" s="2">
        <v>60.821917808219197</v>
      </c>
      <c r="D14" s="2">
        <v>4.9916471767457589</v>
      </c>
      <c r="E14" s="2">
        <v>34.761109254928186</v>
      </c>
      <c r="F14" s="2">
        <v>48.793852322084888</v>
      </c>
      <c r="G14" s="2">
        <v>68.840628132308737</v>
      </c>
      <c r="H14" s="2">
        <v>83.575008352823275</v>
      </c>
      <c r="I14" s="2">
        <v>89.989976612094907</v>
      </c>
      <c r="J14" s="2">
        <v>33.658536585365873</v>
      </c>
      <c r="K14" s="2">
        <v>31.553625125292367</v>
      </c>
      <c r="L14" s="2">
        <v>87.885065152021411</v>
      </c>
      <c r="M14" s="2">
        <v>138.60340795188776</v>
      </c>
      <c r="N14" s="5"/>
      <c r="R14" s="4" t="s">
        <v>30</v>
      </c>
      <c r="S14" s="2">
        <v>50.331261726078822</v>
      </c>
      <c r="T14" s="2">
        <v>-0.85307223264538734</v>
      </c>
      <c r="U14" s="2">
        <v>58.334310506566624</v>
      </c>
      <c r="V14" s="2">
        <v>15.944535647279567</v>
      </c>
      <c r="W14" s="2">
        <v>33.621599437148234</v>
      </c>
      <c r="X14" s="2">
        <v>52.002227954971879</v>
      </c>
      <c r="Y14" s="2">
        <v>-117.90865384615384</v>
      </c>
      <c r="Z14" s="2">
        <v>35.028728893058179</v>
      </c>
      <c r="AA14" s="2">
        <v>59.741439962476562</v>
      </c>
      <c r="AB14" s="2">
        <v>77.770286116322723</v>
      </c>
      <c r="AC14" s="2">
        <v>36.172021575985006</v>
      </c>
      <c r="AD14" s="2">
        <v>43.823287992495324</v>
      </c>
      <c r="AE14" s="5" t="s">
        <v>28</v>
      </c>
    </row>
    <row r="15" spans="1:31" x14ac:dyDescent="0.3">
      <c r="A15" s="4" t="s">
        <v>31</v>
      </c>
      <c r="B15" s="2">
        <v>98.509856331440048</v>
      </c>
      <c r="C15" s="2">
        <v>261.9913130638156</v>
      </c>
      <c r="D15" s="2">
        <v>90.491146007350508</v>
      </c>
      <c r="E15" s="2">
        <v>79.76612094888074</v>
      </c>
      <c r="F15" s="2">
        <v>114.9482124958236</v>
      </c>
      <c r="G15" s="2">
        <v>50.89876378215839</v>
      </c>
      <c r="H15" s="2">
        <v>94.199799532241926</v>
      </c>
      <c r="I15" s="2">
        <v>119.65920481122622</v>
      </c>
      <c r="J15" s="2">
        <v>119.75943869027734</v>
      </c>
      <c r="K15" s="2">
        <v>5210.0367524223193</v>
      </c>
      <c r="L15" s="2">
        <v>136.89943200801872</v>
      </c>
      <c r="M15" s="2">
        <v>143.91580354159709</v>
      </c>
      <c r="N15" s="5"/>
      <c r="R15" s="4" t="s">
        <v>31</v>
      </c>
      <c r="S15" s="2">
        <v>73.373006566604147</v>
      </c>
      <c r="T15" s="2">
        <v>110.13426360225144</v>
      </c>
      <c r="U15" s="2">
        <v>28.081027204502831</v>
      </c>
      <c r="V15" s="2">
        <v>88.675539399624796</v>
      </c>
      <c r="W15" s="2">
        <v>21.397162288930598</v>
      </c>
      <c r="X15" s="2">
        <v>124.11761257035648</v>
      </c>
      <c r="Y15" s="2">
        <v>-14.924366791744825</v>
      </c>
      <c r="Z15" s="2">
        <v>57.015126641651051</v>
      </c>
      <c r="AA15" s="2">
        <v>151.38074577861164</v>
      </c>
      <c r="AB15" s="2">
        <v>115.76278142589119</v>
      </c>
      <c r="AC15" s="2">
        <v>62.203916510318969</v>
      </c>
      <c r="AD15" s="2">
        <v>90.346505628517832</v>
      </c>
      <c r="AE15" s="5" t="s">
        <v>28</v>
      </c>
    </row>
    <row r="16" spans="1:31" x14ac:dyDescent="0.3">
      <c r="A16" s="4" t="s">
        <v>32</v>
      </c>
      <c r="B16" s="2">
        <v>777.79485466087499</v>
      </c>
      <c r="C16" s="2">
        <v>705.1252923488139</v>
      </c>
      <c r="D16" s="2">
        <v>575.6231206147678</v>
      </c>
      <c r="E16" s="2" t="s">
        <v>57</v>
      </c>
      <c r="F16" s="2">
        <v>1309.0344136318074</v>
      </c>
      <c r="G16" s="2">
        <v>743.91580354159714</v>
      </c>
      <c r="H16" s="2">
        <v>984.47711326428328</v>
      </c>
      <c r="I16" s="2">
        <v>868.40628132308711</v>
      </c>
      <c r="J16" s="2">
        <v>736.29802873371193</v>
      </c>
      <c r="K16" s="2">
        <v>1148.2592716338122</v>
      </c>
      <c r="L16" s="2">
        <v>1148.7604410290678</v>
      </c>
      <c r="M16" s="2">
        <v>716.25125292348821</v>
      </c>
      <c r="N16" s="5"/>
      <c r="R16" s="4" t="s">
        <v>32</v>
      </c>
      <c r="S16" s="2">
        <v>1258.7916275797372</v>
      </c>
      <c r="T16" s="2">
        <v>894.08126172607876</v>
      </c>
      <c r="U16" s="2">
        <v>2026.8204737335834</v>
      </c>
      <c r="V16" s="2">
        <v>1215.6982879924954</v>
      </c>
      <c r="W16" s="2">
        <v>587.59087711069424</v>
      </c>
      <c r="X16" s="2">
        <v>654.60541744840532</v>
      </c>
      <c r="Y16" s="2">
        <v>831.02427298311443</v>
      </c>
      <c r="Z16" s="2">
        <v>807.63074577861164</v>
      </c>
      <c r="AA16" s="2">
        <v>147.59908536585368</v>
      </c>
      <c r="AB16" s="2">
        <v>475.72408536585374</v>
      </c>
      <c r="AC16" s="2">
        <v>541.85916979362105</v>
      </c>
      <c r="AD16" s="2">
        <v>86.65279080675424</v>
      </c>
      <c r="AE16" s="5" t="s">
        <v>28</v>
      </c>
    </row>
    <row r="17" spans="1:36" x14ac:dyDescent="0.3">
      <c r="A17" s="4" t="s">
        <v>33</v>
      </c>
      <c r="B17" s="2">
        <v>500.34747744737729</v>
      </c>
      <c r="C17" s="2">
        <v>337.76812562646177</v>
      </c>
      <c r="D17" s="2" t="s">
        <v>58</v>
      </c>
      <c r="E17" s="2" t="s">
        <v>57</v>
      </c>
      <c r="F17" s="2">
        <v>345.28566655529573</v>
      </c>
      <c r="G17" s="2">
        <v>202.45238890745074</v>
      </c>
      <c r="H17" s="2">
        <v>229.01436685599734</v>
      </c>
      <c r="I17" s="2">
        <v>375.35583027063149</v>
      </c>
      <c r="J17" s="2">
        <v>324.03608419645838</v>
      </c>
      <c r="K17" s="2">
        <v>320.42766455061815</v>
      </c>
      <c r="L17" s="2">
        <v>229.81623788840631</v>
      </c>
      <c r="M17" s="2">
        <v>160.85532910123624</v>
      </c>
      <c r="N17" s="5"/>
      <c r="R17" s="4" t="s">
        <v>33</v>
      </c>
      <c r="S17" s="2">
        <v>235.89645872420266</v>
      </c>
      <c r="T17" s="2">
        <v>269.22783771106947</v>
      </c>
      <c r="U17" s="2">
        <v>222.96845684803006</v>
      </c>
      <c r="V17" s="2">
        <v>196.49683395872424</v>
      </c>
      <c r="W17" s="2">
        <v>654.42952626641647</v>
      </c>
      <c r="X17" s="2">
        <v>398.68374765478427</v>
      </c>
      <c r="Y17" s="2">
        <v>822.8453330206379</v>
      </c>
      <c r="Z17" s="2">
        <v>586.00785647279554</v>
      </c>
      <c r="AA17" s="2">
        <v>346.8837945590995</v>
      </c>
      <c r="AB17" s="2">
        <v>652.49472326454043</v>
      </c>
      <c r="AC17" s="2">
        <v>933.92061444652916</v>
      </c>
      <c r="AD17" s="2">
        <v>931.89786585365857</v>
      </c>
      <c r="AE17" s="5" t="s">
        <v>28</v>
      </c>
    </row>
    <row r="18" spans="1:36" x14ac:dyDescent="0.3">
      <c r="A18" s="4" t="s">
        <v>34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5"/>
      <c r="R18" s="4" t="s">
        <v>34</v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5" t="s">
        <v>28</v>
      </c>
    </row>
    <row r="19" spans="1:36" x14ac:dyDescent="0.3">
      <c r="A19" s="4" t="s">
        <v>35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5"/>
      <c r="R19" s="4" t="s">
        <v>35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5" t="s">
        <v>28</v>
      </c>
    </row>
    <row r="20" spans="1:36" x14ac:dyDescent="0.3">
      <c r="A20" s="1"/>
      <c r="B20">
        <f>B13/((B2-2633.2)/1496.5)</f>
        <v>162.48597870835417</v>
      </c>
    </row>
    <row r="21" spans="1:36" x14ac:dyDescent="0.3">
      <c r="A21" s="1"/>
    </row>
    <row r="22" spans="1:36" ht="27.95" x14ac:dyDescent="0.3">
      <c r="A22" s="1" t="s">
        <v>37</v>
      </c>
    </row>
    <row r="23" spans="1:36" x14ac:dyDescent="0.3">
      <c r="A23" s="1" t="s">
        <v>38</v>
      </c>
    </row>
    <row r="24" spans="1:36" x14ac:dyDescent="0.3">
      <c r="A24" s="1">
        <v>16</v>
      </c>
      <c r="B24" s="2">
        <v>26645</v>
      </c>
      <c r="L24" t="s">
        <v>54</v>
      </c>
    </row>
    <row r="25" spans="1:36" x14ac:dyDescent="0.3">
      <c r="A25" s="1">
        <v>8</v>
      </c>
      <c r="B25" s="2">
        <v>15309</v>
      </c>
      <c r="M25" s="7" t="s">
        <v>40</v>
      </c>
      <c r="N25" s="7"/>
      <c r="O25" s="7"/>
      <c r="P25" s="7" t="s">
        <v>41</v>
      </c>
      <c r="Q25" s="7"/>
      <c r="R25" s="7"/>
      <c r="S25" s="7" t="s">
        <v>42</v>
      </c>
      <c r="T25" s="7"/>
      <c r="U25" s="7"/>
      <c r="V25" s="7" t="s">
        <v>43</v>
      </c>
      <c r="W25" s="7"/>
      <c r="X25" s="7"/>
      <c r="Y25" s="7" t="s">
        <v>44</v>
      </c>
      <c r="Z25" s="7"/>
      <c r="AA25" s="7"/>
      <c r="AB25" s="7" t="s">
        <v>45</v>
      </c>
      <c r="AC25" s="7"/>
      <c r="AD25" s="7"/>
      <c r="AE25" s="7" t="s">
        <v>46</v>
      </c>
      <c r="AF25" s="7"/>
      <c r="AG25" s="7"/>
      <c r="AH25" s="7" t="s">
        <v>47</v>
      </c>
      <c r="AI25" s="7"/>
      <c r="AJ25" s="7"/>
    </row>
    <row r="26" spans="1:36" x14ac:dyDescent="0.3">
      <c r="A26" s="1">
        <v>3.2</v>
      </c>
      <c r="B26" s="2">
        <v>7106</v>
      </c>
      <c r="L26" t="s">
        <v>51</v>
      </c>
      <c r="M26" t="s">
        <v>48</v>
      </c>
      <c r="N26" t="s">
        <v>49</v>
      </c>
      <c r="O26" t="s">
        <v>50</v>
      </c>
      <c r="P26" t="s">
        <v>48</v>
      </c>
      <c r="Q26" t="s">
        <v>49</v>
      </c>
      <c r="R26" t="s">
        <v>50</v>
      </c>
      <c r="S26" t="s">
        <v>48</v>
      </c>
      <c r="T26" t="s">
        <v>49</v>
      </c>
      <c r="U26" t="s">
        <v>50</v>
      </c>
      <c r="V26" t="s">
        <v>48</v>
      </c>
      <c r="W26" t="s">
        <v>49</v>
      </c>
      <c r="X26" t="s">
        <v>50</v>
      </c>
      <c r="Y26" t="s">
        <v>48</v>
      </c>
      <c r="Z26" t="s">
        <v>49</v>
      </c>
      <c r="AA26" t="s">
        <v>50</v>
      </c>
      <c r="AB26" t="s">
        <v>48</v>
      </c>
      <c r="AC26" t="s">
        <v>49</v>
      </c>
      <c r="AD26" t="s">
        <v>50</v>
      </c>
      <c r="AE26" t="s">
        <v>48</v>
      </c>
      <c r="AF26" t="s">
        <v>49</v>
      </c>
      <c r="AG26" t="s">
        <v>50</v>
      </c>
      <c r="AH26" t="s">
        <v>48</v>
      </c>
      <c r="AI26" t="s">
        <v>49</v>
      </c>
      <c r="AJ26" t="s">
        <v>50</v>
      </c>
    </row>
    <row r="27" spans="1:36" ht="14.4" x14ac:dyDescent="0.3">
      <c r="A27" s="1">
        <v>1.6</v>
      </c>
      <c r="B27" s="2">
        <v>5381</v>
      </c>
      <c r="L27">
        <v>1</v>
      </c>
      <c r="M27" s="2">
        <v>88.887403942532586</v>
      </c>
      <c r="N27" s="2">
        <v>48.793852322084888</v>
      </c>
      <c r="O27" s="2">
        <v>33.658536585365873</v>
      </c>
      <c r="P27" s="2">
        <v>98.509856331440048</v>
      </c>
      <c r="Q27" s="2">
        <v>114.9482124958236</v>
      </c>
      <c r="R27" s="2">
        <v>119.75943869027734</v>
      </c>
      <c r="S27" s="2">
        <v>777.79485466087499</v>
      </c>
      <c r="T27" s="2"/>
      <c r="U27" s="2">
        <v>736.29802873371193</v>
      </c>
      <c r="V27" s="2">
        <v>500.34747744737729</v>
      </c>
      <c r="W27" s="2">
        <v>345.28566655529573</v>
      </c>
      <c r="X27" s="2">
        <v>324.03608419645838</v>
      </c>
      <c r="Y27" s="2">
        <v>50.331261726078822</v>
      </c>
      <c r="Z27" s="2">
        <v>33.621599437148234</v>
      </c>
      <c r="AA27" s="2">
        <v>59.741439962476562</v>
      </c>
      <c r="AB27" s="2">
        <v>73.373006566604147</v>
      </c>
      <c r="AC27" s="2">
        <v>21.397162288930598</v>
      </c>
      <c r="AD27" s="2">
        <v>151.38074577861164</v>
      </c>
      <c r="AE27" s="2">
        <v>1258.7916275797372</v>
      </c>
      <c r="AF27" s="2">
        <v>587.59087711069424</v>
      </c>
      <c r="AG27" s="2"/>
      <c r="AH27" s="2">
        <v>235.89645872420266</v>
      </c>
      <c r="AI27" s="2">
        <v>654.42952626641647</v>
      </c>
      <c r="AJ27" s="2">
        <v>346.8837945590995</v>
      </c>
    </row>
    <row r="28" spans="1:36" ht="14.4" x14ac:dyDescent="0.3">
      <c r="A28" s="1">
        <v>16</v>
      </c>
      <c r="B28" s="2">
        <v>26519</v>
      </c>
      <c r="L28">
        <v>2</v>
      </c>
      <c r="M28" s="2">
        <v>60.821917808219197</v>
      </c>
      <c r="N28" s="2">
        <v>68.840628132308737</v>
      </c>
      <c r="O28" s="2">
        <v>31.553625125292367</v>
      </c>
      <c r="P28" s="2">
        <v>261.9913130638156</v>
      </c>
      <c r="Q28" s="2">
        <v>50.89876378215839</v>
      </c>
      <c r="R28" s="2"/>
      <c r="S28" s="2">
        <v>705.1252923488139</v>
      </c>
      <c r="T28" s="2">
        <v>743.91580354159714</v>
      </c>
      <c r="U28" s="2"/>
      <c r="V28" s="2">
        <v>337.76812562646177</v>
      </c>
      <c r="W28" s="2">
        <v>202.45238890745074</v>
      </c>
      <c r="X28" s="2">
        <v>320.42766455061815</v>
      </c>
      <c r="Y28" s="2"/>
      <c r="Z28" s="2">
        <v>52.002227954971879</v>
      </c>
      <c r="AA28" s="2">
        <v>77.770286116322723</v>
      </c>
      <c r="AB28" s="2">
        <v>110.13426360225144</v>
      </c>
      <c r="AC28" s="2"/>
      <c r="AD28" s="2">
        <v>115.76278142589119</v>
      </c>
      <c r="AE28" s="2"/>
      <c r="AF28" s="2">
        <v>654.60541744840532</v>
      </c>
      <c r="AG28" s="2">
        <v>475.72408536585374</v>
      </c>
      <c r="AH28" s="2">
        <v>269.22783771106947</v>
      </c>
      <c r="AI28" s="2">
        <v>398.68374765478427</v>
      </c>
      <c r="AJ28" s="2">
        <v>652.49472326454043</v>
      </c>
    </row>
    <row r="29" spans="1:36" x14ac:dyDescent="0.3">
      <c r="A29" s="1">
        <v>8</v>
      </c>
      <c r="B29" s="2">
        <v>14054</v>
      </c>
      <c r="L29">
        <v>3</v>
      </c>
      <c r="M29" s="2">
        <v>4.9916471767457589</v>
      </c>
      <c r="N29" s="2">
        <v>83.575008352823275</v>
      </c>
      <c r="O29" s="2">
        <v>87.885065152021411</v>
      </c>
      <c r="P29" s="2">
        <v>90.491146007350508</v>
      </c>
      <c r="Q29" s="2">
        <v>94.199799532241926</v>
      </c>
      <c r="R29" s="2">
        <v>136.89943200801872</v>
      </c>
      <c r="S29" s="2">
        <v>575.6231206147678</v>
      </c>
      <c r="T29" s="2">
        <v>984.47711326428328</v>
      </c>
      <c r="U29" s="2">
        <v>1148.7604410290678</v>
      </c>
      <c r="V29" s="2"/>
      <c r="W29" s="2">
        <v>229.01436685599734</v>
      </c>
      <c r="X29" s="2">
        <v>229.81623788840631</v>
      </c>
      <c r="Y29" s="2">
        <v>58.334310506566624</v>
      </c>
      <c r="Z29" s="2"/>
      <c r="AA29" s="2">
        <v>36.172021575985006</v>
      </c>
      <c r="AB29" s="2">
        <v>28.081027204502831</v>
      </c>
      <c r="AC29" s="2"/>
      <c r="AD29" s="2">
        <v>62.203916510318969</v>
      </c>
      <c r="AE29" s="2">
        <v>2026.8204737335834</v>
      </c>
      <c r="AF29" s="2">
        <v>831.02427298311443</v>
      </c>
      <c r="AG29" s="2">
        <v>541.85916979362105</v>
      </c>
      <c r="AH29" s="2">
        <v>222.96845684803006</v>
      </c>
      <c r="AI29" s="2">
        <v>822.8453330206379</v>
      </c>
      <c r="AJ29" s="2">
        <v>933.92061444652916</v>
      </c>
    </row>
    <row r="30" spans="1:36" ht="14.4" x14ac:dyDescent="0.3">
      <c r="A30" s="1">
        <v>3.2</v>
      </c>
      <c r="B30" s="2">
        <v>7048</v>
      </c>
      <c r="L30">
        <v>4</v>
      </c>
      <c r="M30" s="2">
        <v>34.761109254928186</v>
      </c>
      <c r="N30" s="2">
        <v>89.989976612094907</v>
      </c>
      <c r="O30" s="2">
        <v>138.60340795188776</v>
      </c>
      <c r="P30" s="2">
        <v>79.76612094888074</v>
      </c>
      <c r="Q30" s="2">
        <v>119.65920481122622</v>
      </c>
      <c r="R30" s="2">
        <v>143.91580354159709</v>
      </c>
      <c r="S30" s="2"/>
      <c r="T30" s="2">
        <v>868.40628132308711</v>
      </c>
      <c r="U30" s="2">
        <v>716.25125292348821</v>
      </c>
      <c r="V30" s="2"/>
      <c r="W30" s="2">
        <v>375.35583027063149</v>
      </c>
      <c r="X30" s="2">
        <v>160.85532910123624</v>
      </c>
      <c r="Y30" s="2">
        <v>15.944535647279567</v>
      </c>
      <c r="Z30" s="2">
        <v>35.028728893058179</v>
      </c>
      <c r="AA30" s="2">
        <v>43.823287992495324</v>
      </c>
      <c r="AB30" s="2">
        <v>88.675539399624796</v>
      </c>
      <c r="AC30" s="2">
        <v>57.015126641651051</v>
      </c>
      <c r="AD30" s="2">
        <v>90.346505628517832</v>
      </c>
      <c r="AE30" s="2">
        <v>1215.6982879924954</v>
      </c>
      <c r="AF30" s="2">
        <v>807.63074577861164</v>
      </c>
      <c r="AG30" s="2"/>
      <c r="AH30" s="2">
        <v>196.49683395872424</v>
      </c>
      <c r="AI30" s="2">
        <v>586.00785647279554</v>
      </c>
      <c r="AJ30" s="2"/>
    </row>
    <row r="31" spans="1:36" x14ac:dyDescent="0.3">
      <c r="A31" s="1">
        <v>1.6</v>
      </c>
      <c r="B31" s="2">
        <v>5203</v>
      </c>
      <c r="L31" t="s">
        <v>52</v>
      </c>
      <c r="M31">
        <f>AVERAGE(M27:M30)</f>
        <v>47.365519545606432</v>
      </c>
      <c r="N31">
        <f t="shared" ref="N31:AJ31" si="0">AVERAGE(N27:N30)</f>
        <v>72.799866354827955</v>
      </c>
      <c r="O31">
        <f t="shared" si="0"/>
        <v>72.925158703641841</v>
      </c>
      <c r="P31">
        <f t="shared" si="0"/>
        <v>132.68960908787173</v>
      </c>
      <c r="Q31">
        <f t="shared" si="0"/>
        <v>94.926495155362531</v>
      </c>
      <c r="R31">
        <f t="shared" si="0"/>
        <v>133.52489141329769</v>
      </c>
      <c r="S31">
        <f t="shared" si="0"/>
        <v>686.18108920815223</v>
      </c>
      <c r="T31">
        <f t="shared" si="0"/>
        <v>865.59973270965577</v>
      </c>
      <c r="U31">
        <f t="shared" si="0"/>
        <v>867.10324089542257</v>
      </c>
      <c r="V31">
        <f t="shared" si="0"/>
        <v>419.05780153691956</v>
      </c>
      <c r="W31">
        <f t="shared" si="0"/>
        <v>288.02706314734382</v>
      </c>
      <c r="X31">
        <f t="shared" si="0"/>
        <v>258.78382893417978</v>
      </c>
      <c r="Y31">
        <f t="shared" si="0"/>
        <v>41.53670262664167</v>
      </c>
      <c r="Z31">
        <f t="shared" si="0"/>
        <v>40.217518761726097</v>
      </c>
      <c r="AA31">
        <f t="shared" si="0"/>
        <v>54.376758911819906</v>
      </c>
      <c r="AB31">
        <f t="shared" si="0"/>
        <v>75.065959193245817</v>
      </c>
      <c r="AC31">
        <f t="shared" si="0"/>
        <v>39.206144465290826</v>
      </c>
      <c r="AD31">
        <f t="shared" si="0"/>
        <v>104.92348733583491</v>
      </c>
      <c r="AE31">
        <f t="shared" si="0"/>
        <v>1500.4367964352721</v>
      </c>
      <c r="AF31">
        <f t="shared" si="0"/>
        <v>720.21282833020632</v>
      </c>
      <c r="AG31">
        <f t="shared" si="0"/>
        <v>508.79162757973739</v>
      </c>
      <c r="AH31">
        <f t="shared" si="0"/>
        <v>231.14739681050659</v>
      </c>
      <c r="AI31">
        <f t="shared" si="0"/>
        <v>615.49161585365857</v>
      </c>
      <c r="AJ31">
        <f t="shared" si="0"/>
        <v>644.43304409005634</v>
      </c>
    </row>
    <row r="32" spans="1:36" x14ac:dyDescent="0.3">
      <c r="L32" t="s">
        <v>53</v>
      </c>
      <c r="M32">
        <f>STDEV(M27:M30)</f>
        <v>35.868081244015997</v>
      </c>
      <c r="N32">
        <f t="shared" ref="N32:AJ32" si="1">STDEV(N27:N30)</f>
        <v>18.289959474867342</v>
      </c>
      <c r="O32">
        <f t="shared" si="1"/>
        <v>50.96045077136769</v>
      </c>
      <c r="P32">
        <f t="shared" si="1"/>
        <v>86.542459776939282</v>
      </c>
      <c r="Q32">
        <f t="shared" si="1"/>
        <v>31.366358350852373</v>
      </c>
      <c r="R32">
        <f t="shared" si="1"/>
        <v>12.426710501037034</v>
      </c>
      <c r="S32">
        <f t="shared" si="1"/>
        <v>102.40856720156897</v>
      </c>
      <c r="T32">
        <f t="shared" si="1"/>
        <v>120.30520965533137</v>
      </c>
      <c r="U32">
        <f t="shared" si="1"/>
        <v>244.12814687257904</v>
      </c>
      <c r="V32">
        <f t="shared" si="1"/>
        <v>114.96096215348248</v>
      </c>
      <c r="W32">
        <f t="shared" si="1"/>
        <v>85.069352935004432</v>
      </c>
      <c r="X32">
        <f t="shared" si="1"/>
        <v>78.500385767302731</v>
      </c>
      <c r="Y32">
        <f t="shared" si="1"/>
        <v>22.52179956110038</v>
      </c>
      <c r="Z32">
        <f t="shared" si="1"/>
        <v>10.230079735928333</v>
      </c>
      <c r="AA32">
        <f t="shared" si="1"/>
        <v>18.428466455955732</v>
      </c>
      <c r="AB32">
        <f t="shared" si="1"/>
        <v>34.763278374837796</v>
      </c>
      <c r="AC32">
        <f t="shared" si="1"/>
        <v>25.185704125869343</v>
      </c>
      <c r="AD32">
        <f t="shared" si="1"/>
        <v>37.917530183286878</v>
      </c>
      <c r="AE32">
        <f t="shared" si="1"/>
        <v>456.37056300090768</v>
      </c>
      <c r="AF32">
        <f t="shared" si="1"/>
        <v>118.05928294006253</v>
      </c>
      <c r="AG32">
        <f t="shared" si="1"/>
        <v>46.764566673219107</v>
      </c>
      <c r="AH32">
        <f t="shared" si="1"/>
        <v>30.222674341717418</v>
      </c>
      <c r="AI32">
        <f t="shared" si="1"/>
        <v>175.48662690781171</v>
      </c>
      <c r="AJ32">
        <f t="shared" si="1"/>
        <v>293.60143047883935</v>
      </c>
    </row>
    <row r="34" spans="1:2" x14ac:dyDescent="0.3">
      <c r="A34" s="1"/>
      <c r="B34" s="2"/>
    </row>
    <row r="35" spans="1:2" x14ac:dyDescent="0.3">
      <c r="A35" s="1"/>
      <c r="B35" s="2"/>
    </row>
    <row r="36" spans="1:2" x14ac:dyDescent="0.3">
      <c r="A36" s="1"/>
      <c r="B36" s="2"/>
    </row>
    <row r="37" spans="1:2" x14ac:dyDescent="0.3">
      <c r="A37" s="1"/>
      <c r="B37" s="2"/>
    </row>
    <row r="38" spans="1:2" x14ac:dyDescent="0.3">
      <c r="A38" s="1"/>
      <c r="B38" s="2"/>
    </row>
    <row r="39" spans="1:2" x14ac:dyDescent="0.3">
      <c r="A39" s="1"/>
      <c r="B39" s="2"/>
    </row>
    <row r="40" spans="1:2" ht="27.95" x14ac:dyDescent="0.3">
      <c r="A40" s="1" t="s">
        <v>55</v>
      </c>
      <c r="B40" s="2"/>
    </row>
    <row r="41" spans="1:2" x14ac:dyDescent="0.3">
      <c r="A41" s="1">
        <v>24</v>
      </c>
      <c r="B41" s="2">
        <v>44547</v>
      </c>
    </row>
    <row r="42" spans="1:2" x14ac:dyDescent="0.3">
      <c r="A42" s="1">
        <v>16</v>
      </c>
      <c r="B42" s="2">
        <v>30669</v>
      </c>
    </row>
    <row r="43" spans="1:2" x14ac:dyDescent="0.3">
      <c r="A43" s="1">
        <v>8</v>
      </c>
      <c r="B43" s="2">
        <v>16920</v>
      </c>
    </row>
    <row r="44" spans="1:2" x14ac:dyDescent="0.3">
      <c r="A44" s="1">
        <v>3.2</v>
      </c>
      <c r="B44" s="2">
        <v>9091</v>
      </c>
    </row>
    <row r="45" spans="1:2" x14ac:dyDescent="0.3">
      <c r="A45" s="1">
        <v>1.6</v>
      </c>
      <c r="B45" s="2">
        <v>6249</v>
      </c>
    </row>
    <row r="46" spans="1:2" x14ac:dyDescent="0.3">
      <c r="A46" s="1">
        <v>16</v>
      </c>
      <c r="B46" s="2">
        <v>30661</v>
      </c>
    </row>
    <row r="47" spans="1:2" x14ac:dyDescent="0.3">
      <c r="A47" s="1">
        <v>8</v>
      </c>
      <c r="B47" s="2">
        <v>17265</v>
      </c>
    </row>
    <row r="48" spans="1:2" x14ac:dyDescent="0.3">
      <c r="A48" s="1">
        <v>3.2</v>
      </c>
      <c r="B48" s="2">
        <v>9045</v>
      </c>
    </row>
    <row r="49" spans="1:2" x14ac:dyDescent="0.3">
      <c r="A49" s="1">
        <v>1.6</v>
      </c>
      <c r="B49" s="2">
        <v>6046</v>
      </c>
    </row>
    <row r="51" spans="1:2" x14ac:dyDescent="0.3">
      <c r="A51" s="1"/>
      <c r="B51" s="2"/>
    </row>
    <row r="52" spans="1:2" x14ac:dyDescent="0.3">
      <c r="B52" s="2"/>
    </row>
    <row r="53" spans="1:2" x14ac:dyDescent="0.3">
      <c r="B53" s="2"/>
    </row>
    <row r="54" spans="1:2" x14ac:dyDescent="0.3">
      <c r="B54" s="2"/>
    </row>
    <row r="55" spans="1:2" x14ac:dyDescent="0.3">
      <c r="B55" s="2"/>
    </row>
    <row r="56" spans="1:2" x14ac:dyDescent="0.3">
      <c r="A56" s="1"/>
      <c r="B56" s="2"/>
    </row>
    <row r="57" spans="1:2" x14ac:dyDescent="0.3">
      <c r="A57" s="1"/>
      <c r="B57" s="2"/>
    </row>
    <row r="62" spans="1:2" x14ac:dyDescent="0.3">
      <c r="A62" s="1"/>
      <c r="B62" s="2"/>
    </row>
    <row r="63" spans="1:2" x14ac:dyDescent="0.3">
      <c r="A63" s="1"/>
    </row>
    <row r="64" spans="1:2" x14ac:dyDescent="0.3">
      <c r="A64" s="1"/>
    </row>
    <row r="65" spans="1:1" x14ac:dyDescent="0.3">
      <c r="A65" s="1"/>
    </row>
    <row r="66" spans="1:1" x14ac:dyDescent="0.3">
      <c r="A66" s="1"/>
    </row>
    <row r="67" spans="1:1" x14ac:dyDescent="0.3">
      <c r="A67" s="1"/>
    </row>
    <row r="68" spans="1:1" x14ac:dyDescent="0.3">
      <c r="A68" s="1"/>
    </row>
    <row r="69" spans="1:1" x14ac:dyDescent="0.3">
      <c r="A69" s="1"/>
    </row>
    <row r="70" spans="1:1" x14ac:dyDescent="0.3">
      <c r="A70" s="1"/>
    </row>
    <row r="71" spans="1:1" x14ac:dyDescent="0.3">
      <c r="A71" s="1"/>
    </row>
    <row r="72" spans="1:1" x14ac:dyDescent="0.3">
      <c r="A72" s="1"/>
    </row>
    <row r="73" spans="1:1" x14ac:dyDescent="0.3">
      <c r="A73" s="1"/>
    </row>
    <row r="74" spans="1:1" x14ac:dyDescent="0.3">
      <c r="A74" s="1"/>
    </row>
    <row r="75" spans="1:1" x14ac:dyDescent="0.3">
      <c r="A75" s="1"/>
    </row>
    <row r="76" spans="1:1" x14ac:dyDescent="0.3">
      <c r="A76" s="1"/>
    </row>
    <row r="77" spans="1:1" x14ac:dyDescent="0.3">
      <c r="A77" s="1"/>
    </row>
    <row r="78" spans="1:1" x14ac:dyDescent="0.3">
      <c r="A78" s="1"/>
    </row>
    <row r="79" spans="1:1" x14ac:dyDescent="0.3">
      <c r="A79" s="1"/>
    </row>
    <row r="80" spans="1:1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</sheetData>
  <mergeCells count="8">
    <mergeCell ref="Y25:AA25"/>
    <mergeCell ref="AB25:AD25"/>
    <mergeCell ref="AE25:AG25"/>
    <mergeCell ref="AH25:AJ25"/>
    <mergeCell ref="M25:O25"/>
    <mergeCell ref="P25:R25"/>
    <mergeCell ref="S25:U25"/>
    <mergeCell ref="V25:X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Chll contamination</vt:lpstr>
      <vt:lpstr>SA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Nunn</dc:creator>
  <cp:lastModifiedBy>Garrett Nunn</cp:lastModifiedBy>
  <dcterms:created xsi:type="dcterms:W3CDTF">2015-06-05T18:17:20Z</dcterms:created>
  <dcterms:modified xsi:type="dcterms:W3CDTF">2023-07-18T18:59:29Z</dcterms:modified>
</cp:coreProperties>
</file>