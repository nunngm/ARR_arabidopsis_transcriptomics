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ntercellular SA/"/>
    </mc:Choice>
  </mc:AlternateContent>
  <xr:revisionPtr revIDLastSave="299" documentId="14_{0A82AE7F-9A64-4BB6-9D00-F40930A1620A}" xr6:coauthVersionLast="47" xr6:coauthVersionMax="47" xr10:uidLastSave="{A746CBDB-E50C-4B41-B147-907C3E4852DE}"/>
  <bookViews>
    <workbookView xWindow="-107" yWindow="-107" windowWidth="20847" windowHeight="11111" activeTab="1" xr2:uid="{00000000-000D-0000-FFFF-FFFF00000000}"/>
  </bookViews>
  <sheets>
    <sheet name="Chll contamination" sheetId="1" r:id="rId1"/>
    <sheet name="SA Analysis" sheetId="3" r:id="rId2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3" i="1" l="1"/>
  <c r="P52" i="3"/>
  <c r="P51" i="3"/>
  <c r="L52" i="3"/>
  <c r="C52" i="3"/>
  <c r="D52" i="3"/>
  <c r="E52" i="3"/>
  <c r="F52" i="3"/>
  <c r="G52" i="3"/>
  <c r="H52" i="3"/>
  <c r="I52" i="3"/>
  <c r="J52" i="3"/>
  <c r="K52" i="3"/>
  <c r="M52" i="3"/>
  <c r="N52" i="3"/>
  <c r="O52" i="3"/>
  <c r="C51" i="3"/>
  <c r="D51" i="3"/>
  <c r="E51" i="3"/>
  <c r="F51" i="3"/>
  <c r="G51" i="3"/>
  <c r="H51" i="3"/>
  <c r="I51" i="3"/>
  <c r="J51" i="3"/>
  <c r="K51" i="3"/>
  <c r="M51" i="3"/>
  <c r="N51" i="3"/>
  <c r="O51" i="3"/>
  <c r="B52" i="3"/>
  <c r="B5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B42" i="3"/>
  <c r="B41" i="3"/>
  <c r="C25" i="3"/>
  <c r="I25" i="3"/>
  <c r="G26" i="3"/>
  <c r="L26" i="3"/>
  <c r="M26" i="3"/>
  <c r="K27" i="3"/>
  <c r="D28" i="3"/>
  <c r="E28" i="3"/>
  <c r="G24" i="3"/>
  <c r="L24" i="3"/>
  <c r="B13" i="3"/>
  <c r="C13" i="3"/>
  <c r="D13" i="3"/>
  <c r="E13" i="3"/>
  <c r="F13" i="3"/>
  <c r="G13" i="3"/>
  <c r="H13" i="3"/>
  <c r="I13" i="3"/>
  <c r="J13" i="3"/>
  <c r="K13" i="3"/>
  <c r="L13" i="3"/>
  <c r="M13" i="3"/>
  <c r="B14" i="3"/>
  <c r="B24" i="3" s="1"/>
  <c r="C14" i="3"/>
  <c r="C24" i="3" s="1"/>
  <c r="D14" i="3"/>
  <c r="D24" i="3" s="1"/>
  <c r="E14" i="3"/>
  <c r="E24" i="3" s="1"/>
  <c r="F14" i="3"/>
  <c r="F24" i="3" s="1"/>
  <c r="G14" i="3"/>
  <c r="H14" i="3"/>
  <c r="H24" i="3" s="1"/>
  <c r="I14" i="3"/>
  <c r="I24" i="3" s="1"/>
  <c r="J14" i="3"/>
  <c r="J24" i="3" s="1"/>
  <c r="K14" i="3"/>
  <c r="K24" i="3" s="1"/>
  <c r="L14" i="3"/>
  <c r="M14" i="3"/>
  <c r="M24" i="3" s="1"/>
  <c r="B15" i="3"/>
  <c r="B25" i="3" s="1"/>
  <c r="C15" i="3"/>
  <c r="D15" i="3"/>
  <c r="D25" i="3" s="1"/>
  <c r="E15" i="3"/>
  <c r="E25" i="3" s="1"/>
  <c r="F15" i="3"/>
  <c r="F25" i="3" s="1"/>
  <c r="G15" i="3"/>
  <c r="G25" i="3" s="1"/>
  <c r="H15" i="3"/>
  <c r="H25" i="3" s="1"/>
  <c r="I15" i="3"/>
  <c r="J15" i="3"/>
  <c r="J25" i="3" s="1"/>
  <c r="K15" i="3"/>
  <c r="K25" i="3" s="1"/>
  <c r="L15" i="3"/>
  <c r="L25" i="3" s="1"/>
  <c r="M15" i="3"/>
  <c r="M25" i="3" s="1"/>
  <c r="B16" i="3"/>
  <c r="B26" i="3" s="1"/>
  <c r="C16" i="3"/>
  <c r="C26" i="3" s="1"/>
  <c r="D16" i="3"/>
  <c r="D26" i="3" s="1"/>
  <c r="E16" i="3"/>
  <c r="E26" i="3" s="1"/>
  <c r="F16" i="3"/>
  <c r="F26" i="3" s="1"/>
  <c r="G16" i="3"/>
  <c r="H16" i="3"/>
  <c r="H26" i="3" s="1"/>
  <c r="I16" i="3"/>
  <c r="I26" i="3" s="1"/>
  <c r="J16" i="3"/>
  <c r="J26" i="3" s="1"/>
  <c r="K16" i="3"/>
  <c r="K26" i="3" s="1"/>
  <c r="L16" i="3"/>
  <c r="M16" i="3"/>
  <c r="B17" i="3"/>
  <c r="B27" i="3" s="1"/>
  <c r="C17" i="3"/>
  <c r="C27" i="3" s="1"/>
  <c r="D17" i="3"/>
  <c r="D27" i="3" s="1"/>
  <c r="E17" i="3"/>
  <c r="E27" i="3" s="1"/>
  <c r="F17" i="3"/>
  <c r="F27" i="3" s="1"/>
  <c r="G17" i="3"/>
  <c r="G27" i="3" s="1"/>
  <c r="H17" i="3"/>
  <c r="H27" i="3" s="1"/>
  <c r="I17" i="3"/>
  <c r="I27" i="3" s="1"/>
  <c r="J17" i="3"/>
  <c r="J27" i="3" s="1"/>
  <c r="K17" i="3"/>
  <c r="L17" i="3"/>
  <c r="L27" i="3" s="1"/>
  <c r="M17" i="3"/>
  <c r="M27" i="3" s="1"/>
  <c r="B18" i="3"/>
  <c r="B28" i="3" s="1"/>
  <c r="C18" i="3"/>
  <c r="C28" i="3" s="1"/>
  <c r="D18" i="3"/>
  <c r="E18" i="3"/>
  <c r="F18" i="3"/>
  <c r="F28" i="3" s="1"/>
  <c r="G18" i="3"/>
  <c r="G28" i="3" s="1"/>
  <c r="H18" i="3"/>
  <c r="H28" i="3" s="1"/>
  <c r="I18" i="3"/>
  <c r="I28" i="3" s="1"/>
  <c r="J18" i="3"/>
  <c r="J28" i="3" s="1"/>
  <c r="K18" i="3"/>
  <c r="K28" i="3" s="1"/>
  <c r="L18" i="3"/>
  <c r="L28" i="3" s="1"/>
  <c r="M18" i="3"/>
  <c r="M28" i="3" s="1"/>
  <c r="B19" i="3"/>
  <c r="C19" i="3"/>
  <c r="D19" i="3"/>
  <c r="E19" i="3"/>
  <c r="F19" i="3"/>
  <c r="G19" i="3"/>
  <c r="H19" i="3"/>
  <c r="I19" i="3"/>
  <c r="J19" i="3"/>
  <c r="K19" i="3"/>
  <c r="L19" i="3"/>
  <c r="M19" i="3"/>
  <c r="C12" i="3"/>
  <c r="D12" i="3"/>
  <c r="E12" i="3"/>
  <c r="F12" i="3"/>
  <c r="G12" i="3"/>
  <c r="H12" i="3"/>
  <c r="I12" i="3"/>
  <c r="J12" i="3"/>
  <c r="K12" i="3"/>
  <c r="L12" i="3"/>
  <c r="M12" i="3"/>
  <c r="B12" i="3"/>
  <c r="O9" i="3"/>
  <c r="O8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2" i="1"/>
  <c r="F13" i="1"/>
  <c r="G13" i="1" s="1"/>
  <c r="F12" i="1"/>
  <c r="G12" i="1" s="1"/>
  <c r="F5" i="1"/>
  <c r="G5" i="1" s="1"/>
  <c r="F4" i="1"/>
  <c r="G4" i="1" s="1"/>
  <c r="G20" i="1"/>
  <c r="G56" i="1"/>
  <c r="G58" i="1"/>
  <c r="F3" i="1"/>
  <c r="G3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F57" i="1"/>
  <c r="G57" i="1" s="1"/>
  <c r="F58" i="1"/>
  <c r="F59" i="1"/>
  <c r="G59" i="1" s="1"/>
  <c r="F60" i="1"/>
  <c r="G60" i="1" s="1"/>
  <c r="F61" i="1"/>
  <c r="G61" i="1" s="1"/>
  <c r="F2" i="1"/>
  <c r="G2" i="1" s="1"/>
  <c r="G65" i="1" l="1"/>
  <c r="H62" i="1" l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</calcChain>
</file>

<file path=xl/sharedStrings.xml><?xml version="1.0" encoding="utf-8"?>
<sst xmlns="http://schemas.openxmlformats.org/spreadsheetml/2006/main" count="158" uniqueCount="49">
  <si>
    <t>Sample</t>
  </si>
  <si>
    <t>Col-0 1</t>
  </si>
  <si>
    <t>Col-0 2</t>
  </si>
  <si>
    <t>Col-0 3</t>
  </si>
  <si>
    <t>Col-0 4</t>
  </si>
  <si>
    <t>ald1-T2 1</t>
  </si>
  <si>
    <t>ald1-T2 2</t>
  </si>
  <si>
    <t>ald1-T2 3</t>
  </si>
  <si>
    <t>ald1-T2 4</t>
  </si>
  <si>
    <t>fmo1-1 1</t>
  </si>
  <si>
    <t>fmo1-1 2</t>
  </si>
  <si>
    <t>fmo1-1 3</t>
  </si>
  <si>
    <t>fmo1-1 4</t>
  </si>
  <si>
    <t>Tube weight (mg)</t>
  </si>
  <si>
    <t>OD664</t>
  </si>
  <si>
    <t>OD700</t>
  </si>
  <si>
    <t>OD664-OD700/2</t>
  </si>
  <si>
    <t>Normalized to 1 ml</t>
  </si>
  <si>
    <t>M Unt</t>
  </si>
  <si>
    <t>M 12 hpi</t>
  </si>
  <si>
    <t>M 24 hpi</t>
  </si>
  <si>
    <t>M 48 hpi</t>
  </si>
  <si>
    <t>Is it high (automatic)</t>
  </si>
  <si>
    <t>M 18 hpi</t>
  </si>
  <si>
    <t>R2</t>
  </si>
  <si>
    <t>A</t>
  </si>
  <si>
    <t>high:Lum</t>
  </si>
  <si>
    <t>B</t>
  </si>
  <si>
    <t>C</t>
  </si>
  <si>
    <t>D</t>
  </si>
  <si>
    <t>E</t>
  </si>
  <si>
    <t>F</t>
  </si>
  <si>
    <t>G</t>
  </si>
  <si>
    <t>H</t>
  </si>
  <si>
    <t>ng SA</t>
  </si>
  <si>
    <t>ng SA/ ml IWF</t>
  </si>
  <si>
    <t xml:space="preserve"> in each well is 1 part IWF: 2 parts acetate buffer which is equal to 20/3 = 6.666 ul per well</t>
  </si>
  <si>
    <t xml:space="preserve"> Multiply ng SA by 1000 then divide by 6.666</t>
  </si>
  <si>
    <t>Col-0</t>
  </si>
  <si>
    <t>ald1-T2</t>
  </si>
  <si>
    <t>fmo1-1</t>
  </si>
  <si>
    <t>Untreated</t>
  </si>
  <si>
    <t>12 hpi</t>
  </si>
  <si>
    <t>18 hpi</t>
  </si>
  <si>
    <t>24 hpi</t>
  </si>
  <si>
    <t>48 hpi</t>
  </si>
  <si>
    <t>Average</t>
  </si>
  <si>
    <t>stdev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</si>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</sst>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5435.33"/>
            <c:dispRSqr val="1"/>
            <c:dispEq val="1"/>
            <c:trendlineLbl>
              <c:layout>
                <c:manualLayout>
                  <c:x val="-0.50222150394798992"/>
                  <c:y val="0.202526703620485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 Analysis'!$P$2:$P$11</c:f>
              <c:numCache>
                <c:formatCode>General</c:formatCode>
                <c:ptCount val="10"/>
                <c:pt idx="0">
                  <c:v>16</c:v>
                </c:pt>
                <c:pt idx="1">
                  <c:v>8</c:v>
                </c:pt>
                <c:pt idx="2">
                  <c:v>3.2</c:v>
                </c:pt>
                <c:pt idx="3">
                  <c:v>1.6</c:v>
                </c:pt>
                <c:pt idx="4">
                  <c:v>0</c:v>
                </c:pt>
                <c:pt idx="5">
                  <c:v>16</c:v>
                </c:pt>
                <c:pt idx="6">
                  <c:v>8</c:v>
                </c:pt>
                <c:pt idx="7">
                  <c:v>3.2</c:v>
                </c:pt>
                <c:pt idx="8">
                  <c:v>1.6</c:v>
                </c:pt>
                <c:pt idx="9">
                  <c:v>0</c:v>
                </c:pt>
              </c:numCache>
            </c:numRef>
          </c:xVal>
          <c:yVal>
            <c:numRef>
              <c:f>'SA Analysis'!$Q$2:$Q$11</c:f>
              <c:numCache>
                <c:formatCode>General</c:formatCode>
                <c:ptCount val="10"/>
                <c:pt idx="0">
                  <c:v>42622</c:v>
                </c:pt>
                <c:pt idx="1">
                  <c:v>26250</c:v>
                </c:pt>
                <c:pt idx="2">
                  <c:v>14837</c:v>
                </c:pt>
                <c:pt idx="3">
                  <c:v>10316</c:v>
                </c:pt>
                <c:pt idx="4">
                  <c:v>6152</c:v>
                </c:pt>
                <c:pt idx="5">
                  <c:v>41141</c:v>
                </c:pt>
                <c:pt idx="6">
                  <c:v>24481</c:v>
                </c:pt>
                <c:pt idx="7">
                  <c:v>13699</c:v>
                </c:pt>
                <c:pt idx="8">
                  <c:v>10909</c:v>
                </c:pt>
                <c:pt idx="9">
                  <c:v>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29-486F-9766-D960FFAF3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187792"/>
        <c:axId val="627182872"/>
      </c:scatterChart>
      <c:valAx>
        <c:axId val="62718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82872"/>
        <c:crosses val="autoZero"/>
        <c:crossBetween val="midCat"/>
      </c:valAx>
      <c:valAx>
        <c:axId val="627182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8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crap looking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Col-0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'SA Analysis'!$B$42:$F$42</c:f>
                <c:numCache>
                  <c:formatCode>General</c:formatCode>
                  <c:ptCount val="5"/>
                  <c:pt idx="0">
                    <c:v>58.132474474911753</c:v>
                  </c:pt>
                  <c:pt idx="1">
                    <c:v>35.698972085027698</c:v>
                  </c:pt>
                  <c:pt idx="2">
                    <c:v>51.008556262844102</c:v>
                  </c:pt>
                  <c:pt idx="3">
                    <c:v>221.36278398955938</c:v>
                  </c:pt>
                  <c:pt idx="4">
                    <c:v>197.22496252816256</c:v>
                  </c:pt>
                </c:numCache>
              </c:numRef>
            </c:plus>
            <c:minus>
              <c:numRef>
                <c:f>'SA Analysis'!$B$42:$F$42</c:f>
                <c:numCache>
                  <c:formatCode>General</c:formatCode>
                  <c:ptCount val="5"/>
                  <c:pt idx="0">
                    <c:v>58.132474474911753</c:v>
                  </c:pt>
                  <c:pt idx="1">
                    <c:v>35.698972085027698</c:v>
                  </c:pt>
                  <c:pt idx="2">
                    <c:v>51.008556262844102</c:v>
                  </c:pt>
                  <c:pt idx="3">
                    <c:v>221.36278398955938</c:v>
                  </c:pt>
                  <c:pt idx="4">
                    <c:v>197.22496252816256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'SA Analysis'!$L$36:$P$36</c:f>
              <c:strCache>
                <c:ptCount val="5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  <c:pt idx="4">
                  <c:v>48 hpi</c:v>
                </c:pt>
              </c:strCache>
            </c:strRef>
          </c:cat>
          <c:val>
            <c:numRef>
              <c:f>'SA Analysis'!$B$41:$F$41</c:f>
              <c:numCache>
                <c:formatCode>General</c:formatCode>
                <c:ptCount val="5"/>
                <c:pt idx="0">
                  <c:v>-17.717689133310863</c:v>
                </c:pt>
                <c:pt idx="1">
                  <c:v>5.1675171157450528</c:v>
                </c:pt>
                <c:pt idx="2">
                  <c:v>30.680852941500909</c:v>
                </c:pt>
                <c:pt idx="3">
                  <c:v>1457.624375469946</c:v>
                </c:pt>
                <c:pt idx="4">
                  <c:v>1609.0774530674764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0-4608-A12F-31613DB0790F}"/>
            </c:ext>
          </c:extLst>
        </c:ser>
        <c:ser>
          <c:idx val="1"/>
          <c:order val="1"/>
          <c:tx>
            <c:v>ald1-T2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'SA Analysis'!$G$42:$K$42</c:f>
                <c:numCache>
                  <c:formatCode>General</c:formatCode>
                  <c:ptCount val="5"/>
                  <c:pt idx="0">
                    <c:v>49.61452200138045</c:v>
                  </c:pt>
                  <c:pt idx="1">
                    <c:v>64.147403345830185</c:v>
                  </c:pt>
                  <c:pt idx="2">
                    <c:v>44.148254472700266</c:v>
                  </c:pt>
                  <c:pt idx="3">
                    <c:v>247.15802642045756</c:v>
                  </c:pt>
                  <c:pt idx="4">
                    <c:v>144.70867574086134</c:v>
                  </c:pt>
                </c:numCache>
              </c:numRef>
            </c:plus>
            <c:minus>
              <c:numRef>
                <c:f>'SA Analysis'!$G$42:$K$42</c:f>
                <c:numCache>
                  <c:formatCode>General</c:formatCode>
                  <c:ptCount val="5"/>
                  <c:pt idx="0">
                    <c:v>49.61452200138045</c:v>
                  </c:pt>
                  <c:pt idx="1">
                    <c:v>64.147403345830185</c:v>
                  </c:pt>
                  <c:pt idx="2">
                    <c:v>44.148254472700266</c:v>
                  </c:pt>
                  <c:pt idx="3">
                    <c:v>247.15802642045756</c:v>
                  </c:pt>
                  <c:pt idx="4">
                    <c:v>144.70867574086134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'SA Analysis'!$L$36:$P$36</c:f>
              <c:strCache>
                <c:ptCount val="5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  <c:pt idx="4">
                  <c:v>48 hpi</c:v>
                </c:pt>
              </c:strCache>
            </c:strRef>
          </c:cat>
          <c:val>
            <c:numRef>
              <c:f>'SA Analysis'!$G$41:$K$41</c:f>
              <c:numCache>
                <c:formatCode>General</c:formatCode>
                <c:ptCount val="5"/>
                <c:pt idx="0">
                  <c:v>-41.456184205970665</c:v>
                </c:pt>
                <c:pt idx="1">
                  <c:v>-20.687134239452355</c:v>
                </c:pt>
                <c:pt idx="2">
                  <c:v>-107.36421294113394</c:v>
                </c:pt>
                <c:pt idx="3">
                  <c:v>848.52405881287075</c:v>
                </c:pt>
                <c:pt idx="4">
                  <c:v>226.59596684095055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20-4608-A12F-31613DB0790F}"/>
            </c:ext>
          </c:extLst>
        </c:ser>
        <c:ser>
          <c:idx val="2"/>
          <c:order val="2"/>
          <c:tx>
            <c:v>fmo1-1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'SA Analysis'!$L$42:$P$42</c:f>
                <c:numCache>
                  <c:formatCode>General</c:formatCode>
                  <c:ptCount val="5"/>
                  <c:pt idx="0">
                    <c:v>42.394887875034939</c:v>
                  </c:pt>
                  <c:pt idx="1">
                    <c:v>11.23356815752239</c:v>
                  </c:pt>
                  <c:pt idx="2">
                    <c:v>38.637013412569161</c:v>
                  </c:pt>
                  <c:pt idx="3">
                    <c:v>218.98506017301915</c:v>
                  </c:pt>
                  <c:pt idx="4">
                    <c:v>38.454734878104837</c:v>
                  </c:pt>
                </c:numCache>
              </c:numRef>
            </c:plus>
            <c:minus>
              <c:numRef>
                <c:f>'SA Analysis'!$L$42:$P$42</c:f>
                <c:numCache>
                  <c:formatCode>General</c:formatCode>
                  <c:ptCount val="5"/>
                  <c:pt idx="0">
                    <c:v>42.394887875034939</c:v>
                  </c:pt>
                  <c:pt idx="1">
                    <c:v>11.23356815752239</c:v>
                  </c:pt>
                  <c:pt idx="2">
                    <c:v>38.637013412569161</c:v>
                  </c:pt>
                  <c:pt idx="3">
                    <c:v>218.98506017301915</c:v>
                  </c:pt>
                  <c:pt idx="4">
                    <c:v>38.454734878104837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'SA Analysis'!$L$36:$P$36</c:f>
              <c:strCache>
                <c:ptCount val="5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  <c:pt idx="4">
                  <c:v>48 hpi</c:v>
                </c:pt>
              </c:strCache>
            </c:strRef>
          </c:cat>
          <c:val>
            <c:numRef>
              <c:f>'SA Analysis'!$L$41:$P$41</c:f>
              <c:numCache>
                <c:formatCode>General</c:formatCode>
                <c:ptCount val="5"/>
                <c:pt idx="0">
                  <c:v>696.12667491721868</c:v>
                </c:pt>
                <c:pt idx="1">
                  <c:v>2.6247164214055076</c:v>
                </c:pt>
                <c:pt idx="2">
                  <c:v>-44.033116453254365</c:v>
                </c:pt>
                <c:pt idx="3">
                  <c:v>870.24879226182554</c:v>
                </c:pt>
                <c:pt idx="4">
                  <c:v>-168.22077184056229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20-4608-A12F-31613DB07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125432"/>
        <c:axId val="627126744"/>
      </c:barChart>
      <c:catAx>
        <c:axId val="62712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26744"/>
        <c:crosses val="autoZero"/>
        <c:auto val="1"/>
        <c:lblAlgn val="ctr"/>
        <c:lblOffset val="100"/>
        <c:noMultiLvlLbl val="0"/>
      </c:catAx>
      <c:valAx>
        <c:axId val="62712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25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7248468941381"/>
          <c:y val="5.0925925925925923E-2"/>
          <c:w val="0.84428455818022741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Col-0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'SA Analysis'!$B$52:$F$52</c:f>
                <c:numCache>
                  <c:formatCode>General</c:formatCode>
                  <c:ptCount val="5"/>
                  <c:pt idx="0">
                    <c:v>54.569187948428556</c:v>
                  </c:pt>
                  <c:pt idx="1">
                    <c:v>33.51076889242529</c:v>
                  </c:pt>
                  <c:pt idx="2">
                    <c:v>47.88193722746837</c:v>
                  </c:pt>
                  <c:pt idx="3">
                    <c:v>207.79413698494304</c:v>
                  </c:pt>
                  <c:pt idx="4">
                    <c:v>185.13586675147948</c:v>
                  </c:pt>
                </c:numCache>
              </c:numRef>
            </c:plus>
            <c:minus>
              <c:numRef>
                <c:f>'SA Analysis'!$B$52:$F$52</c:f>
                <c:numCache>
                  <c:formatCode>General</c:formatCode>
                  <c:ptCount val="5"/>
                  <c:pt idx="0">
                    <c:v>54.569187948428556</c:v>
                  </c:pt>
                  <c:pt idx="1">
                    <c:v>33.51076889242529</c:v>
                  </c:pt>
                  <c:pt idx="2">
                    <c:v>47.88193722746837</c:v>
                  </c:pt>
                  <c:pt idx="3">
                    <c:v>207.79413698494304</c:v>
                  </c:pt>
                  <c:pt idx="4">
                    <c:v>185.13586675147948</c:v>
                  </c:pt>
                </c:numCache>
              </c:numRef>
            </c:minus>
          </c:errBars>
          <c:cat>
            <c:strRef>
              <c:f>'SA Analysis'!$L$46:$P$46</c:f>
              <c:strCache>
                <c:ptCount val="5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  <c:pt idx="4">
                  <c:v>48 hpi</c:v>
                </c:pt>
              </c:strCache>
            </c:strRef>
          </c:cat>
          <c:val>
            <c:numRef>
              <c:f>'SA Analysis'!$B$51:$F$51</c:f>
              <c:numCache>
                <c:formatCode>General</c:formatCode>
                <c:ptCount val="5"/>
                <c:pt idx="0">
                  <c:v>89.611071226297355</c:v>
                </c:pt>
                <c:pt idx="1">
                  <c:v>111.09350651437788</c:v>
                </c:pt>
                <c:pt idx="2">
                  <c:v>135.04297762226778</c:v>
                </c:pt>
                <c:pt idx="3">
                  <c:v>1474.5206099782163</c:v>
                </c:pt>
                <c:pt idx="4">
                  <c:v>1616.6902239751976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47-488D-B6E9-D48DBA556728}"/>
            </c:ext>
          </c:extLst>
        </c:ser>
        <c:ser>
          <c:idx val="1"/>
          <c:order val="1"/>
          <c:tx>
            <c:v>ald1-T2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'SA Analysis'!$G$52:$K$52</c:f>
                <c:numCache>
                  <c:formatCode>General</c:formatCode>
                  <c:ptCount val="5"/>
                  <c:pt idx="0">
                    <c:v>46.57335165103315</c:v>
                  </c:pt>
                  <c:pt idx="1">
                    <c:v>60.215425907819565</c:v>
                  </c:pt>
                  <c:pt idx="2">
                    <c:v>31.762724365967618</c:v>
                  </c:pt>
                  <c:pt idx="3">
                    <c:v>232.00823495860803</c:v>
                  </c:pt>
                  <c:pt idx="4">
                    <c:v>135.83861680753361</c:v>
                  </c:pt>
                </c:numCache>
              </c:numRef>
            </c:plus>
            <c:minus>
              <c:numRef>
                <c:f>'SA Analysis'!$G$52:$K$52</c:f>
                <c:numCache>
                  <c:formatCode>General</c:formatCode>
                  <c:ptCount val="5"/>
                  <c:pt idx="0">
                    <c:v>46.57335165103315</c:v>
                  </c:pt>
                  <c:pt idx="1">
                    <c:v>60.215425907819565</c:v>
                  </c:pt>
                  <c:pt idx="2">
                    <c:v>31.762724365967618</c:v>
                  </c:pt>
                  <c:pt idx="3">
                    <c:v>232.00823495860803</c:v>
                  </c:pt>
                  <c:pt idx="4">
                    <c:v>135.83861680753361</c:v>
                  </c:pt>
                </c:numCache>
              </c:numRef>
            </c:minus>
          </c:errBars>
          <c:cat>
            <c:strRef>
              <c:f>'SA Analysis'!$L$46:$P$46</c:f>
              <c:strCache>
                <c:ptCount val="5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  <c:pt idx="4">
                  <c:v>48 hpi</c:v>
                </c:pt>
              </c:strCache>
            </c:strRef>
          </c:cat>
          <c:val>
            <c:numRef>
              <c:f>'SA Analysis'!$G$51:$K$51</c:f>
              <c:numCache>
                <c:formatCode>General</c:formatCode>
                <c:ptCount val="5"/>
                <c:pt idx="0">
                  <c:v>67.327650282434576</c:v>
                </c:pt>
                <c:pt idx="1">
                  <c:v>86.82364114417507</c:v>
                </c:pt>
                <c:pt idx="2">
                  <c:v>37.563023313565381</c:v>
                </c:pt>
                <c:pt idx="3">
                  <c:v>902.75568926334358</c:v>
                </c:pt>
                <c:pt idx="4">
                  <c:v>318.94928418987723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47-488D-B6E9-D48DBA556728}"/>
            </c:ext>
          </c:extLst>
        </c:ser>
        <c:ser>
          <c:idx val="2"/>
          <c:order val="2"/>
          <c:tx>
            <c:v>fmo1-1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'SA Analysis'!$L$52:$P$52</c:f>
                <c:numCache>
                  <c:formatCode>General</c:formatCode>
                  <c:ptCount val="5"/>
                  <c:pt idx="0">
                    <c:v>36.097614526557223</c:v>
                  </c:pt>
                  <c:pt idx="1">
                    <c:v>10.544995678514889</c:v>
                  </c:pt>
                  <c:pt idx="2">
                    <c:v>36.268720121080712</c:v>
                  </c:pt>
                  <c:pt idx="3">
                    <c:v>205.56215806083853</c:v>
                  </c:pt>
                  <c:pt idx="4">
                    <c:v>39.796252015794622</c:v>
                  </c:pt>
                </c:numCache>
              </c:numRef>
            </c:plus>
            <c:minus>
              <c:numRef>
                <c:f>'SA Analysis'!$L$52:$P$52</c:f>
                <c:numCache>
                  <c:formatCode>General</c:formatCode>
                  <c:ptCount val="5"/>
                  <c:pt idx="0">
                    <c:v>36.097614526557223</c:v>
                  </c:pt>
                  <c:pt idx="1">
                    <c:v>10.544995678514889</c:v>
                  </c:pt>
                  <c:pt idx="2">
                    <c:v>36.268720121080712</c:v>
                  </c:pt>
                  <c:pt idx="3">
                    <c:v>205.56215806083853</c:v>
                  </c:pt>
                  <c:pt idx="4">
                    <c:v>39.796252015794622</c:v>
                  </c:pt>
                </c:numCache>
              </c:numRef>
            </c:minus>
          </c:errBars>
          <c:cat>
            <c:strRef>
              <c:f>'SA Analysis'!$L$46:$P$46</c:f>
              <c:strCache>
                <c:ptCount val="5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  <c:pt idx="4">
                  <c:v>48 hpi</c:v>
                </c:pt>
              </c:strCache>
            </c:strRef>
          </c:cat>
          <c:val>
            <c:numRef>
              <c:f>'SA Analysis'!$L$51:$P$51</c:f>
              <c:numCache>
                <c:formatCode>General</c:formatCode>
                <c:ptCount val="5"/>
                <c:pt idx="0">
                  <c:v>5</c:v>
                </c:pt>
                <c:pt idx="1">
                  <c:v>108.70656926014672</c:v>
                </c:pt>
                <c:pt idx="2">
                  <c:v>64.908673601972126</c:v>
                </c:pt>
                <c:pt idx="3">
                  <c:v>923.14878405956028</c:v>
                </c:pt>
                <c:pt idx="4">
                  <c:v>759.69965114062995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247-488D-B6E9-D48DBA55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4803149606299213" l="2.4900000000000002" r="1.46" t="0.74803149606299213" header="0.31496062992125984" footer="0.31496062992125984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7248468941381"/>
          <c:y val="5.0925925925925923E-2"/>
          <c:w val="0.84428455818022741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Col-0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'SA Analysis'!$B$52:$F$52</c15:sqref>
                    </c15:fullRef>
                  </c:ext>
                </c:extLst>
                <c:f>'SA Analysis'!$B$52:$E$52</c:f>
                <c:numCache>
                  <c:formatCode>General</c:formatCode>
                  <c:ptCount val="4"/>
                  <c:pt idx="0">
                    <c:v>54.569187948428556</c:v>
                  </c:pt>
                  <c:pt idx="1">
                    <c:v>33.51076889242529</c:v>
                  </c:pt>
                  <c:pt idx="2">
                    <c:v>47.88193722746837</c:v>
                  </c:pt>
                  <c:pt idx="3">
                    <c:v>207.79413698494304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'SA Analysis'!$B$52:$F$52</c15:sqref>
                    </c15:fullRef>
                  </c:ext>
                </c:extLst>
                <c:f>'SA Analysis'!$B$52:$E$52</c:f>
                <c:numCache>
                  <c:formatCode>General</c:formatCode>
                  <c:ptCount val="4"/>
                  <c:pt idx="0">
                    <c:v>54.569187948428556</c:v>
                  </c:pt>
                  <c:pt idx="1">
                    <c:v>33.51076889242529</c:v>
                  </c:pt>
                  <c:pt idx="2">
                    <c:v>47.88193722746837</c:v>
                  </c:pt>
                  <c:pt idx="3">
                    <c:v>207.79413698494304</c:v>
                  </c:pt>
                </c:numCache>
              </c:numRef>
            </c:minus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'SA Analysis'!$L$46:$P$46</c15:sqref>
                  </c15:fullRef>
                </c:ext>
              </c:extLst>
              <c:f>'SA Analysis'!$L$46:$O$46</c:f>
              <c:strCache>
                <c:ptCount val="4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Analysis'!$B$51:$F$51</c15:sqref>
                  </c15:fullRef>
                </c:ext>
              </c:extLst>
              <c:f>'SA Analysis'!$B$51:$E$51</c:f>
              <c:numCache>
                <c:formatCode>General</c:formatCode>
                <c:ptCount val="4"/>
                <c:pt idx="0">
                  <c:v>89.611071226297355</c:v>
                </c:pt>
                <c:pt idx="1">
                  <c:v>111.09350651437788</c:v>
                </c:pt>
                <c:pt idx="2">
                  <c:v>135.04297762226778</c:v>
                </c:pt>
                <c:pt idx="3">
                  <c:v>1474.5206099782163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D-49C4-A485-A2675F35C7C6}"/>
            </c:ext>
          </c:extLst>
        </c:ser>
        <c:ser>
          <c:idx val="1"/>
          <c:order val="1"/>
          <c:tx>
            <c:v>ald1-T2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'SA Analysis'!$G$52:$K$52</c15:sqref>
                    </c15:fullRef>
                  </c:ext>
                </c:extLst>
                <c:f>'SA Analysis'!$G$52:$J$52</c:f>
                <c:numCache>
                  <c:formatCode>General</c:formatCode>
                  <c:ptCount val="4"/>
                  <c:pt idx="0">
                    <c:v>46.57335165103315</c:v>
                  </c:pt>
                  <c:pt idx="1">
                    <c:v>60.215425907819565</c:v>
                  </c:pt>
                  <c:pt idx="2">
                    <c:v>31.762724365967618</c:v>
                  </c:pt>
                  <c:pt idx="3">
                    <c:v>232.00823495860803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'SA Analysis'!$G$52:$K$52</c15:sqref>
                    </c15:fullRef>
                  </c:ext>
                </c:extLst>
                <c:f>'SA Analysis'!$G$52:$J$52</c:f>
                <c:numCache>
                  <c:formatCode>General</c:formatCode>
                  <c:ptCount val="4"/>
                  <c:pt idx="0">
                    <c:v>46.57335165103315</c:v>
                  </c:pt>
                  <c:pt idx="1">
                    <c:v>60.215425907819565</c:v>
                  </c:pt>
                  <c:pt idx="2">
                    <c:v>31.762724365967618</c:v>
                  </c:pt>
                  <c:pt idx="3">
                    <c:v>232.00823495860803</c:v>
                  </c:pt>
                </c:numCache>
              </c:numRef>
            </c:minus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'SA Analysis'!$L$46:$P$46</c15:sqref>
                  </c15:fullRef>
                </c:ext>
              </c:extLst>
              <c:f>'SA Analysis'!$L$46:$O$46</c:f>
              <c:strCache>
                <c:ptCount val="4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Analysis'!$G$51:$K$51</c15:sqref>
                  </c15:fullRef>
                </c:ext>
              </c:extLst>
              <c:f>'SA Analysis'!$G$51:$J$51</c:f>
              <c:numCache>
                <c:formatCode>General</c:formatCode>
                <c:ptCount val="4"/>
                <c:pt idx="0">
                  <c:v>67.327650282434576</c:v>
                </c:pt>
                <c:pt idx="1">
                  <c:v>86.82364114417507</c:v>
                </c:pt>
                <c:pt idx="2">
                  <c:v>37.563023313565381</c:v>
                </c:pt>
                <c:pt idx="3">
                  <c:v>902.75568926334358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D-49C4-A485-A2675F35C7C6}"/>
            </c:ext>
          </c:extLst>
        </c:ser>
        <c:ser>
          <c:idx val="2"/>
          <c:order val="2"/>
          <c:tx>
            <c:v>fmo1-1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'SA Analysis'!$L$52:$P$52</c15:sqref>
                    </c15:fullRef>
                  </c:ext>
                </c:extLst>
                <c:f>'SA Analysis'!$L$52:$O$52</c:f>
                <c:numCache>
                  <c:formatCode>General</c:formatCode>
                  <c:ptCount val="4"/>
                  <c:pt idx="0">
                    <c:v>36.097614526557223</c:v>
                  </c:pt>
                  <c:pt idx="1">
                    <c:v>10.544995678514889</c:v>
                  </c:pt>
                  <c:pt idx="2">
                    <c:v>36.268720121080712</c:v>
                  </c:pt>
                  <c:pt idx="3">
                    <c:v>205.56215806083853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'SA Analysis'!$L$52:$P$52</c15:sqref>
                    </c15:fullRef>
                  </c:ext>
                </c:extLst>
                <c:f>'SA Analysis'!$L$52:$O$52</c:f>
                <c:numCache>
                  <c:formatCode>General</c:formatCode>
                  <c:ptCount val="4"/>
                  <c:pt idx="0">
                    <c:v>36.097614526557223</c:v>
                  </c:pt>
                  <c:pt idx="1">
                    <c:v>10.544995678514889</c:v>
                  </c:pt>
                  <c:pt idx="2">
                    <c:v>36.268720121080712</c:v>
                  </c:pt>
                  <c:pt idx="3">
                    <c:v>205.56215806083853</c:v>
                  </c:pt>
                </c:numCache>
              </c:numRef>
            </c:minus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'SA Analysis'!$L$46:$P$46</c15:sqref>
                  </c15:fullRef>
                </c:ext>
              </c:extLst>
              <c:f>'SA Analysis'!$L$46:$O$46</c:f>
              <c:strCache>
                <c:ptCount val="4"/>
                <c:pt idx="0">
                  <c:v>Untreated</c:v>
                </c:pt>
                <c:pt idx="1">
                  <c:v>12 hpi</c:v>
                </c:pt>
                <c:pt idx="2">
                  <c:v>18 hpi</c:v>
                </c:pt>
                <c:pt idx="3">
                  <c:v>24 hpi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Analysis'!$L$51:$P$51</c15:sqref>
                  </c15:fullRef>
                </c:ext>
              </c:extLst>
              <c:f>'SA Analysis'!$L$51:$O$51</c:f>
              <c:numCache>
                <c:formatCode>General</c:formatCode>
                <c:ptCount val="4"/>
                <c:pt idx="0">
                  <c:v>5</c:v>
                </c:pt>
                <c:pt idx="1">
                  <c:v>108.70656926014672</c:v>
                </c:pt>
                <c:pt idx="2">
                  <c:v>64.908673601972126</c:v>
                </c:pt>
                <c:pt idx="3">
                  <c:v>923.14878405956028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FD-49C4-A485-A2675F35C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4803149606299213" l="2.4900000000000002" r="1.46" t="0.74803149606299213" header="0.31496062992125984" footer="0.31496062992125984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174625</xdr:colOff>
      <xdr:row>0</xdr:row>
      <xdr:rowOff>63500</xdr:rowOff>
    </xdr:from>
    <xdr:to>
      <xdr:col>24</xdr:col>
      <xdr:colOff>479425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6687F-D719-4C28-813F-4DE1FD52B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329283</xdr:colOff>
      <xdr:row>32</xdr:row>
      <xdr:rowOff>124250</xdr:rowOff>
    </xdr:from>
    <xdr:to>
      <xdr:col>24</xdr:col>
      <xdr:colOff>24221</xdr:colOff>
      <xdr:row>47</xdr:row>
      <xdr:rowOff>117965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D50013-FF24-4092-A83B-F6297AC87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558407</xdr:colOff>
      <xdr:row>53</xdr:row>
      <xdr:rowOff>111158</xdr:rowOff>
    </xdr:from>
    <xdr:to>
      <xdr:col>7</xdr:col>
      <xdr:colOff>24221</xdr:colOff>
      <xdr:row>68</xdr:row>
      <xdr:rowOff>104873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0E18DE-9D44-414A-98D4-DDFD4D07F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56</xdr:row>
      <xdr:rowOff>0</xdr:rowOff>
    </xdr:from>
    <xdr:to>
      <xdr:col>14</xdr:col>
      <xdr:colOff>159611</xdr:colOff>
      <xdr:row>70</xdr:row>
      <xdr:rowOff>181863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FA0942-4337-4AB1-B293-62F3B2800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0.51017</cdr:x>
      <cdr:y>0.7387</cdr:y>
    </cdr:from>
    <cdr:to>
      <cdr:x>0.58464</cdr:x>
      <cdr:y>0.86789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7D33E12-7848-4714-8C6D-DC29FDAE80AD}"/>
            </a:ext>
          </a:extLst>
        </cdr:cNvPr>
        <cdr:cNvSpPr txBox="1"/>
      </cdr:nvSpPr>
      <cdr:spPr>
        <a:xfrm xmlns:a="http://schemas.openxmlformats.org/drawingml/2006/main">
          <a:off x="2367383" y="2016382"/>
          <a:ext cx="345574" cy="352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600"/>
            <a:t>*</a:t>
          </a:r>
          <a:endParaRPr lang="en-CA" sz="1100"/>
        </a:p>
      </cdr:txBody>
    </cdr:sp>
  </cdr:relSizeAnchor>
  <cdr:relSizeAnchor xmlns:cdr="http://schemas.openxmlformats.org/drawingml/2006/chartDrawing">
    <cdr:from>
      <cdr:x>0.54667</cdr:x>
      <cdr:y>0.72888</cdr:y>
    </cdr:from>
    <cdr:to>
      <cdr:x>0.62114</cdr:x>
      <cdr:y>0.85807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3E0FD2AB-1716-4C7F-8A10-FC7D17630DDA}"/>
            </a:ext>
          </a:extLst>
        </cdr:cNvPr>
        <cdr:cNvSpPr txBox="1"/>
      </cdr:nvSpPr>
      <cdr:spPr>
        <a:xfrm xmlns:a="http://schemas.openxmlformats.org/drawingml/2006/main">
          <a:off x="2536757" y="1989576"/>
          <a:ext cx="345574" cy="352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600"/>
            <a:t>*</a:t>
          </a:r>
          <a:endParaRPr lang="en-CA" sz="1100"/>
        </a:p>
      </cdr:txBody>
    </cdr:sp>
  </cdr:relSizeAnchor>
  <cdr:relSizeAnchor xmlns:cdr="http://schemas.openxmlformats.org/drawingml/2006/chartDrawing">
    <cdr:from>
      <cdr:x>0.68351</cdr:x>
      <cdr:y>0.31064</cdr:y>
    </cdr:from>
    <cdr:to>
      <cdr:x>0.75798</cdr:x>
      <cdr:y>0.43983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6C35C913-394A-43A9-9EBA-802BC59949D0}"/>
            </a:ext>
          </a:extLst>
        </cdr:cNvPr>
        <cdr:cNvSpPr txBox="1"/>
      </cdr:nvSpPr>
      <cdr:spPr>
        <a:xfrm xmlns:a="http://schemas.openxmlformats.org/drawingml/2006/main">
          <a:off x="3171757" y="847927"/>
          <a:ext cx="345574" cy="352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600"/>
            <a:t>*</a:t>
          </a:r>
          <a:endParaRPr lang="en-CA" sz="1100"/>
        </a:p>
      </cdr:txBody>
    </cdr:sp>
  </cdr:relSizeAnchor>
  <cdr:relSizeAnchor xmlns:cdr="http://schemas.openxmlformats.org/drawingml/2006/chartDrawing">
    <cdr:from>
      <cdr:x>0.71699</cdr:x>
      <cdr:y>0.31064</cdr:y>
    </cdr:from>
    <cdr:to>
      <cdr:x>0.79146</cdr:x>
      <cdr:y>0.43983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0BBFE4A9-F61E-4529-B749-DD5A2065222E}"/>
            </a:ext>
          </a:extLst>
        </cdr:cNvPr>
        <cdr:cNvSpPr txBox="1"/>
      </cdr:nvSpPr>
      <cdr:spPr>
        <a:xfrm xmlns:a="http://schemas.openxmlformats.org/drawingml/2006/main">
          <a:off x="3327130" y="847927"/>
          <a:ext cx="345574" cy="352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600"/>
            <a:t>*</a:t>
          </a:r>
          <a:endParaRPr lang="en-CA" sz="1100"/>
        </a:p>
      </cdr:txBody>
    </cdr:sp>
  </cdr:relSizeAnchor>
  <cdr:relSizeAnchor xmlns:cdr="http://schemas.openxmlformats.org/drawingml/2006/chartDrawing">
    <cdr:from>
      <cdr:x>0.88877</cdr:x>
      <cdr:y>0.44675</cdr:y>
    </cdr:from>
    <cdr:to>
      <cdr:x>0.96325</cdr:x>
      <cdr:y>0.57594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7F625205-2654-4A2D-989B-0BFBD55BB5B8}"/>
            </a:ext>
          </a:extLst>
        </cdr:cNvPr>
        <cdr:cNvSpPr txBox="1"/>
      </cdr:nvSpPr>
      <cdr:spPr>
        <a:xfrm xmlns:a="http://schemas.openxmlformats.org/drawingml/2006/main">
          <a:off x="4124257" y="1219469"/>
          <a:ext cx="345574" cy="352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600"/>
            <a:t>*</a:t>
          </a:r>
          <a:endParaRPr lang="en-CA" sz="1100"/>
        </a:p>
      </cdr:txBody>
    </cdr:sp>
  </cdr:relSizeAnchor>
  <cdr:relSizeAnchor xmlns:cdr="http://schemas.openxmlformats.org/drawingml/2006/chartDrawing">
    <cdr:from>
      <cdr:x>0.84947</cdr:x>
      <cdr:y>0.58782</cdr:y>
    </cdr:from>
    <cdr:to>
      <cdr:x>0.92394</cdr:x>
      <cdr:y>0.71701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A63019BE-6B17-454B-B0C0-99752DD84789}"/>
            </a:ext>
          </a:extLst>
        </cdr:cNvPr>
        <cdr:cNvSpPr txBox="1"/>
      </cdr:nvSpPr>
      <cdr:spPr>
        <a:xfrm xmlns:a="http://schemas.openxmlformats.org/drawingml/2006/main">
          <a:off x="3941864" y="1604522"/>
          <a:ext cx="345574" cy="352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600"/>
            <a:t>*</a:t>
          </a:r>
          <a:endParaRPr lang="en-CA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0.61964</cdr:x>
      <cdr:y>0.7387</cdr:y>
    </cdr:from>
    <cdr:to>
      <cdr:x>0.69412</cdr:x>
      <cdr:y>0.86789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7D33E12-7848-4714-8C6D-DC29FDAE80AD}"/>
            </a:ext>
          </a:extLst>
        </cdr:cNvPr>
        <cdr:cNvSpPr txBox="1"/>
      </cdr:nvSpPr>
      <cdr:spPr>
        <a:xfrm xmlns:a="http://schemas.openxmlformats.org/drawingml/2006/main">
          <a:off x="2875357" y="2022367"/>
          <a:ext cx="345566" cy="35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600"/>
            <a:t>*</a:t>
          </a:r>
          <a:endParaRPr lang="en-CA" sz="1100"/>
        </a:p>
      </cdr:txBody>
    </cdr:sp>
  </cdr:relSizeAnchor>
  <cdr:relSizeAnchor xmlns:cdr="http://schemas.openxmlformats.org/drawingml/2006/chartDrawing">
    <cdr:from>
      <cdr:x>0.65614</cdr:x>
      <cdr:y>0.72888</cdr:y>
    </cdr:from>
    <cdr:to>
      <cdr:x>0.73062</cdr:x>
      <cdr:y>0.85807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3E0FD2AB-1716-4C7F-8A10-FC7D17630DDA}"/>
            </a:ext>
          </a:extLst>
        </cdr:cNvPr>
        <cdr:cNvSpPr txBox="1"/>
      </cdr:nvSpPr>
      <cdr:spPr>
        <a:xfrm xmlns:a="http://schemas.openxmlformats.org/drawingml/2006/main">
          <a:off x="3044729" y="1995482"/>
          <a:ext cx="345566" cy="3536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600"/>
            <a:t>*</a:t>
          </a:r>
          <a:endParaRPr lang="en-CA" sz="1100"/>
        </a:p>
      </cdr:txBody>
    </cdr:sp>
  </cdr:relSizeAnchor>
  <cdr:relSizeAnchor xmlns:cdr="http://schemas.openxmlformats.org/drawingml/2006/chartDrawing">
    <cdr:from>
      <cdr:x>0.82976</cdr:x>
      <cdr:y>0.2512</cdr:y>
    </cdr:from>
    <cdr:to>
      <cdr:x>0.90423</cdr:x>
      <cdr:y>0.38039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6C35C913-394A-43A9-9EBA-802BC59949D0}"/>
            </a:ext>
          </a:extLst>
        </cdr:cNvPr>
        <cdr:cNvSpPr txBox="1"/>
      </cdr:nvSpPr>
      <cdr:spPr>
        <a:xfrm xmlns:a="http://schemas.openxmlformats.org/drawingml/2006/main">
          <a:off x="3850369" y="687733"/>
          <a:ext cx="345565" cy="35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600"/>
            <a:t>*</a:t>
          </a:r>
          <a:endParaRPr lang="en-CA" sz="1100"/>
        </a:p>
      </cdr:txBody>
    </cdr:sp>
  </cdr:relSizeAnchor>
  <cdr:relSizeAnchor xmlns:cdr="http://schemas.openxmlformats.org/drawingml/2006/chartDrawing">
    <cdr:from>
      <cdr:x>0.86324</cdr:x>
      <cdr:y>0.2512</cdr:y>
    </cdr:from>
    <cdr:to>
      <cdr:x>0.93771</cdr:x>
      <cdr:y>0.38039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0BBFE4A9-F61E-4529-B749-DD5A2065222E}"/>
            </a:ext>
          </a:extLst>
        </cdr:cNvPr>
        <cdr:cNvSpPr txBox="1"/>
      </cdr:nvSpPr>
      <cdr:spPr>
        <a:xfrm xmlns:a="http://schemas.openxmlformats.org/drawingml/2006/main">
          <a:off x="4005727" y="687733"/>
          <a:ext cx="345566" cy="35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600"/>
            <a:t>*</a:t>
          </a:r>
          <a:endParaRPr lang="en-CA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opLeftCell="A45" workbookViewId="0">
      <selection activeCell="G63" sqref="G63"/>
    </sheetView>
  </sheetViews>
  <sheetFormatPr defaultRowHeight="14" x14ac:dyDescent="0.3"/>
  <cols>
    <col min="1" max="1" width="9.09765625" style="1"/>
    <col min="3" max="3" width="16.69921875" bestFit="1" customWidth="1"/>
    <col min="6" max="6" width="13.296875" customWidth="1"/>
    <col min="7" max="7" width="23.69921875" customWidth="1"/>
  </cols>
  <sheetData>
    <row r="1" spans="1:8" x14ac:dyDescent="0.3"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22</v>
      </c>
    </row>
    <row r="2" spans="1:8" x14ac:dyDescent="0.3">
      <c r="A2" s="8" t="s">
        <v>18</v>
      </c>
      <c r="B2" t="s">
        <v>1</v>
      </c>
      <c r="C2">
        <v>150</v>
      </c>
      <c r="D2" s="2">
        <v>-2.0000000000000087E-3</v>
      </c>
      <c r="E2" s="2">
        <v>-1.0000000000000002E-2</v>
      </c>
      <c r="F2">
        <f>D2-E2</f>
        <v>7.9999999999999932E-3</v>
      </c>
      <c r="G2">
        <f>F2*(1000/C2)/2</f>
        <v>2.6666666666666644E-2</v>
      </c>
      <c r="H2" t="str">
        <f>IF(G2&gt;0.1,"High","")</f>
        <v/>
      </c>
    </row>
    <row r="3" spans="1:8" x14ac:dyDescent="0.3">
      <c r="A3" s="8"/>
      <c r="B3" t="s">
        <v>2</v>
      </c>
      <c r="C3">
        <v>125</v>
      </c>
      <c r="D3" s="2">
        <v>2.9999999999999957E-3</v>
      </c>
      <c r="E3" s="2">
        <v>-3.0000000000000027E-3</v>
      </c>
      <c r="F3">
        <f t="shared" ref="F3:F61" si="0">D3-E3</f>
        <v>5.9999999999999984E-3</v>
      </c>
      <c r="G3">
        <f t="shared" ref="G3:G61" si="1">F3*(1000/C3)/2</f>
        <v>2.3999999999999994E-2</v>
      </c>
      <c r="H3" t="str">
        <f t="shared" ref="H3:H61" si="2">IF(G3&gt;0.1,"High","")</f>
        <v/>
      </c>
    </row>
    <row r="4" spans="1:8" x14ac:dyDescent="0.3">
      <c r="A4" s="8"/>
      <c r="B4" t="s">
        <v>3</v>
      </c>
      <c r="C4">
        <v>130</v>
      </c>
      <c r="D4" s="2">
        <v>4.9999999999999975E-3</v>
      </c>
      <c r="E4" s="2">
        <v>-2.0000000000000018E-3</v>
      </c>
      <c r="F4">
        <f t="shared" si="0"/>
        <v>6.9999999999999993E-3</v>
      </c>
      <c r="G4">
        <f t="shared" si="1"/>
        <v>2.6923076923076921E-2</v>
      </c>
      <c r="H4" t="str">
        <f t="shared" si="2"/>
        <v/>
      </c>
    </row>
    <row r="5" spans="1:8" x14ac:dyDescent="0.3">
      <c r="A5" s="8"/>
      <c r="B5" t="s">
        <v>4</v>
      </c>
      <c r="C5">
        <v>107</v>
      </c>
      <c r="D5" s="2">
        <v>2.799999999999999E-2</v>
      </c>
      <c r="E5" s="2">
        <v>9.9999999999999395E-4</v>
      </c>
      <c r="F5">
        <f t="shared" si="0"/>
        <v>2.6999999999999996E-2</v>
      </c>
      <c r="G5">
        <f t="shared" si="1"/>
        <v>0.12616822429906541</v>
      </c>
      <c r="H5" t="str">
        <f t="shared" si="2"/>
        <v>High</v>
      </c>
    </row>
    <row r="6" spans="1:8" x14ac:dyDescent="0.3">
      <c r="A6" s="8"/>
      <c r="B6" t="s">
        <v>5</v>
      </c>
      <c r="C6">
        <v>141</v>
      </c>
      <c r="D6" s="2">
        <v>7.9999999999999932E-3</v>
      </c>
      <c r="E6" s="2">
        <v>9.9999999999999395E-4</v>
      </c>
      <c r="F6">
        <f t="shared" si="0"/>
        <v>6.9999999999999993E-3</v>
      </c>
      <c r="G6">
        <f t="shared" si="1"/>
        <v>2.4822695035460991E-2</v>
      </c>
      <c r="H6" t="str">
        <f t="shared" si="2"/>
        <v/>
      </c>
    </row>
    <row r="7" spans="1:8" x14ac:dyDescent="0.3">
      <c r="A7" s="8"/>
      <c r="B7" t="s">
        <v>6</v>
      </c>
      <c r="C7">
        <v>101</v>
      </c>
      <c r="D7" s="2">
        <v>2.5000000000000001E-2</v>
      </c>
      <c r="E7" s="2">
        <v>-1.0000000000000009E-3</v>
      </c>
      <c r="F7">
        <f t="shared" si="0"/>
        <v>2.6000000000000002E-2</v>
      </c>
      <c r="G7">
        <f t="shared" si="1"/>
        <v>0.12871287128712872</v>
      </c>
      <c r="H7" t="str">
        <f t="shared" si="2"/>
        <v>High</v>
      </c>
    </row>
    <row r="8" spans="1:8" x14ac:dyDescent="0.3">
      <c r="A8" s="8"/>
      <c r="B8" t="s">
        <v>7</v>
      </c>
      <c r="C8">
        <v>112</v>
      </c>
      <c r="D8" s="2">
        <v>2.5000000000000001E-2</v>
      </c>
      <c r="E8" s="2">
        <v>0</v>
      </c>
      <c r="F8">
        <f t="shared" si="0"/>
        <v>2.5000000000000001E-2</v>
      </c>
      <c r="G8">
        <f t="shared" si="1"/>
        <v>0.11160714285714286</v>
      </c>
      <c r="H8" t="str">
        <f t="shared" si="2"/>
        <v>High</v>
      </c>
    </row>
    <row r="9" spans="1:8" x14ac:dyDescent="0.3">
      <c r="A9" s="8"/>
      <c r="B9" t="s">
        <v>8</v>
      </c>
      <c r="C9">
        <v>128</v>
      </c>
      <c r="D9" s="2">
        <v>3.1999999999999994E-2</v>
      </c>
      <c r="E9" s="2">
        <v>3.9999999999999966E-3</v>
      </c>
      <c r="F9">
        <f t="shared" si="0"/>
        <v>2.7999999999999997E-2</v>
      </c>
      <c r="G9">
        <f t="shared" si="1"/>
        <v>0.10937499999999999</v>
      </c>
      <c r="H9" t="str">
        <f t="shared" si="2"/>
        <v>High</v>
      </c>
    </row>
    <row r="10" spans="1:8" x14ac:dyDescent="0.3">
      <c r="A10" s="8"/>
      <c r="B10" t="s">
        <v>9</v>
      </c>
      <c r="C10">
        <v>138</v>
      </c>
      <c r="D10" s="2">
        <v>1.3999999999999992E-2</v>
      </c>
      <c r="E10" s="2">
        <v>9.9999999999999395E-4</v>
      </c>
      <c r="F10">
        <f t="shared" si="0"/>
        <v>1.2999999999999998E-2</v>
      </c>
      <c r="G10">
        <f t="shared" si="1"/>
        <v>4.7101449275362313E-2</v>
      </c>
      <c r="H10" t="str">
        <f t="shared" si="2"/>
        <v/>
      </c>
    </row>
    <row r="11" spans="1:8" x14ac:dyDescent="0.3">
      <c r="A11" s="8"/>
      <c r="B11" t="s">
        <v>10</v>
      </c>
      <c r="C11">
        <v>117</v>
      </c>
      <c r="D11" s="2">
        <v>6.9999999999999923E-3</v>
      </c>
      <c r="E11" s="2">
        <v>1.9999999999999948E-3</v>
      </c>
      <c r="F11">
        <f t="shared" si="0"/>
        <v>4.9999999999999975E-3</v>
      </c>
      <c r="G11">
        <f t="shared" si="1"/>
        <v>2.1367521367521358E-2</v>
      </c>
      <c r="H11" t="str">
        <f t="shared" si="2"/>
        <v/>
      </c>
    </row>
    <row r="12" spans="1:8" x14ac:dyDescent="0.3">
      <c r="A12" s="8"/>
      <c r="B12" t="s">
        <v>11</v>
      </c>
      <c r="C12">
        <v>126</v>
      </c>
      <c r="D12" s="2">
        <v>1.2999999999999998E-2</v>
      </c>
      <c r="E12" s="2">
        <v>1.9999999999999948E-3</v>
      </c>
      <c r="F12">
        <f t="shared" si="0"/>
        <v>1.1000000000000003E-2</v>
      </c>
      <c r="G12">
        <f t="shared" si="1"/>
        <v>4.3650793650793662E-2</v>
      </c>
      <c r="H12" t="str">
        <f t="shared" si="2"/>
        <v/>
      </c>
    </row>
    <row r="13" spans="1:8" x14ac:dyDescent="0.3">
      <c r="A13" s="8"/>
      <c r="B13" t="s">
        <v>12</v>
      </c>
      <c r="C13">
        <v>148</v>
      </c>
      <c r="D13" s="2">
        <v>1.0999999999999996E-2</v>
      </c>
      <c r="E13" s="2">
        <v>0</v>
      </c>
      <c r="F13">
        <f t="shared" si="0"/>
        <v>1.0999999999999996E-2</v>
      </c>
      <c r="G13">
        <f t="shared" si="1"/>
        <v>3.716216216216215E-2</v>
      </c>
      <c r="H13" t="str">
        <f t="shared" si="2"/>
        <v/>
      </c>
    </row>
    <row r="14" spans="1:8" x14ac:dyDescent="0.3">
      <c r="A14" s="8" t="s">
        <v>19</v>
      </c>
      <c r="B14" t="s">
        <v>1</v>
      </c>
      <c r="C14">
        <v>111</v>
      </c>
      <c r="D14" s="2">
        <v>-1.0000000000000078E-3</v>
      </c>
      <c r="E14" s="2">
        <v>-3.0000000000000027E-3</v>
      </c>
      <c r="F14">
        <f t="shared" si="0"/>
        <v>1.9999999999999948E-3</v>
      </c>
      <c r="G14">
        <f t="shared" si="1"/>
        <v>9.0090090090089864E-3</v>
      </c>
      <c r="H14" t="str">
        <f t="shared" si="2"/>
        <v/>
      </c>
    </row>
    <row r="15" spans="1:8" x14ac:dyDescent="0.3">
      <c r="A15" s="8"/>
      <c r="B15" t="s">
        <v>2</v>
      </c>
      <c r="C15">
        <v>110</v>
      </c>
      <c r="D15" s="2">
        <v>-4.0000000000000036E-3</v>
      </c>
      <c r="E15" s="2">
        <v>-5.0000000000000044E-3</v>
      </c>
      <c r="F15">
        <f t="shared" si="0"/>
        <v>1.0000000000000009E-3</v>
      </c>
      <c r="G15">
        <f t="shared" si="1"/>
        <v>4.5454545454545496E-3</v>
      </c>
      <c r="H15" t="str">
        <f t="shared" si="2"/>
        <v/>
      </c>
    </row>
    <row r="16" spans="1:8" x14ac:dyDescent="0.3">
      <c r="A16" s="8"/>
      <c r="B16" t="s">
        <v>3</v>
      </c>
      <c r="C16">
        <v>108</v>
      </c>
      <c r="D16" s="2">
        <v>2.9999999999999957E-3</v>
      </c>
      <c r="E16" s="2">
        <v>-2.0000000000000018E-3</v>
      </c>
      <c r="F16">
        <f t="shared" si="0"/>
        <v>4.9999999999999975E-3</v>
      </c>
      <c r="G16">
        <f t="shared" si="1"/>
        <v>2.3148148148148136E-2</v>
      </c>
      <c r="H16" t="str">
        <f t="shared" si="2"/>
        <v/>
      </c>
    </row>
    <row r="17" spans="1:8" x14ac:dyDescent="0.3">
      <c r="A17" s="8"/>
      <c r="B17" t="s">
        <v>4</v>
      </c>
      <c r="C17">
        <v>108</v>
      </c>
      <c r="D17" s="2">
        <v>9.999999999999995E-3</v>
      </c>
      <c r="E17" s="2">
        <v>-1.0000000000000009E-3</v>
      </c>
      <c r="F17">
        <f t="shared" si="0"/>
        <v>1.0999999999999996E-2</v>
      </c>
      <c r="G17">
        <f t="shared" si="1"/>
        <v>5.0925925925925909E-2</v>
      </c>
      <c r="H17" t="str">
        <f t="shared" si="2"/>
        <v/>
      </c>
    </row>
    <row r="18" spans="1:8" x14ac:dyDescent="0.3">
      <c r="A18" s="8"/>
      <c r="B18" t="s">
        <v>5</v>
      </c>
      <c r="C18">
        <v>120</v>
      </c>
      <c r="D18" s="2">
        <v>1.9999999999999948E-3</v>
      </c>
      <c r="E18" s="2">
        <v>0</v>
      </c>
      <c r="F18">
        <f t="shared" si="0"/>
        <v>1.9999999999999948E-3</v>
      </c>
      <c r="G18">
        <f t="shared" si="1"/>
        <v>8.3333333333333124E-3</v>
      </c>
      <c r="H18" t="str">
        <f t="shared" si="2"/>
        <v/>
      </c>
    </row>
    <row r="19" spans="1:8" x14ac:dyDescent="0.3">
      <c r="A19" s="8"/>
      <c r="B19" t="s">
        <v>6</v>
      </c>
      <c r="C19">
        <v>111</v>
      </c>
      <c r="D19" s="2">
        <v>1.9999999999999997E-2</v>
      </c>
      <c r="E19" s="2">
        <v>-1.0000000000000009E-3</v>
      </c>
      <c r="F19">
        <f t="shared" si="0"/>
        <v>2.0999999999999998E-2</v>
      </c>
      <c r="G19">
        <f t="shared" si="1"/>
        <v>9.4594594594594586E-2</v>
      </c>
      <c r="H19" t="str">
        <f t="shared" si="2"/>
        <v/>
      </c>
    </row>
    <row r="20" spans="1:8" x14ac:dyDescent="0.3">
      <c r="A20" s="8"/>
      <c r="B20" t="s">
        <v>7</v>
      </c>
      <c r="C20">
        <v>109</v>
      </c>
      <c r="D20" s="2">
        <v>-1.0000000000000078E-3</v>
      </c>
      <c r="E20" s="2">
        <v>-2.0000000000000018E-3</v>
      </c>
      <c r="F20">
        <f t="shared" si="0"/>
        <v>9.9999999999999395E-4</v>
      </c>
      <c r="G20">
        <f t="shared" si="1"/>
        <v>4.5871559633027248E-3</v>
      </c>
      <c r="H20" t="str">
        <f t="shared" si="2"/>
        <v/>
      </c>
    </row>
    <row r="21" spans="1:8" x14ac:dyDescent="0.3">
      <c r="A21" s="8"/>
      <c r="B21" t="s">
        <v>8</v>
      </c>
      <c r="C21">
        <v>122</v>
      </c>
      <c r="D21" s="2">
        <v>2.799999999999999E-2</v>
      </c>
      <c r="E21" s="2">
        <v>4.9999999999999975E-3</v>
      </c>
      <c r="F21">
        <f t="shared" si="0"/>
        <v>2.2999999999999993E-2</v>
      </c>
      <c r="G21">
        <f t="shared" si="1"/>
        <v>9.4262295081967179E-2</v>
      </c>
      <c r="H21" t="str">
        <f t="shared" si="2"/>
        <v/>
      </c>
    </row>
    <row r="22" spans="1:8" x14ac:dyDescent="0.3">
      <c r="A22" s="8"/>
      <c r="B22" t="s">
        <v>9</v>
      </c>
      <c r="C22">
        <v>105</v>
      </c>
      <c r="D22" s="2">
        <v>1.9999999999999948E-3</v>
      </c>
      <c r="E22" s="2">
        <v>-3.0000000000000027E-3</v>
      </c>
      <c r="F22">
        <f t="shared" si="0"/>
        <v>4.9999999999999975E-3</v>
      </c>
      <c r="G22">
        <f t="shared" si="1"/>
        <v>2.3809523809523798E-2</v>
      </c>
      <c r="H22" t="str">
        <f t="shared" si="2"/>
        <v/>
      </c>
    </row>
    <row r="23" spans="1:8" x14ac:dyDescent="0.3">
      <c r="A23" s="8"/>
      <c r="B23" t="s">
        <v>10</v>
      </c>
      <c r="C23">
        <v>112</v>
      </c>
      <c r="D23" s="2">
        <v>1.8999999999999996E-2</v>
      </c>
      <c r="E23" s="2">
        <v>-1.0000000000000009E-3</v>
      </c>
      <c r="F23">
        <f t="shared" si="0"/>
        <v>1.9999999999999997E-2</v>
      </c>
      <c r="G23">
        <f t="shared" si="1"/>
        <v>8.9285714285714274E-2</v>
      </c>
      <c r="H23" t="str">
        <f t="shared" si="2"/>
        <v/>
      </c>
    </row>
    <row r="24" spans="1:8" x14ac:dyDescent="0.3">
      <c r="A24" s="8"/>
      <c r="B24" t="s">
        <v>11</v>
      </c>
      <c r="C24">
        <v>103</v>
      </c>
      <c r="D24" s="2">
        <v>-1.0000000000000078E-3</v>
      </c>
      <c r="E24" s="2">
        <v>-3.0000000000000027E-3</v>
      </c>
      <c r="F24">
        <f t="shared" si="0"/>
        <v>1.9999999999999948E-3</v>
      </c>
      <c r="G24">
        <f t="shared" si="1"/>
        <v>9.7087378640776448E-3</v>
      </c>
      <c r="H24" t="str">
        <f t="shared" si="2"/>
        <v/>
      </c>
    </row>
    <row r="25" spans="1:8" x14ac:dyDescent="0.3">
      <c r="A25" s="8"/>
      <c r="B25" t="s">
        <v>12</v>
      </c>
      <c r="C25">
        <v>65</v>
      </c>
      <c r="D25" s="2">
        <v>9.9999999999999395E-4</v>
      </c>
      <c r="E25" s="2">
        <v>-2.0000000000000018E-3</v>
      </c>
      <c r="F25">
        <f t="shared" si="0"/>
        <v>2.9999999999999957E-3</v>
      </c>
      <c r="G25">
        <f t="shared" si="1"/>
        <v>2.3076923076923044E-2</v>
      </c>
      <c r="H25" t="str">
        <f t="shared" si="2"/>
        <v/>
      </c>
    </row>
    <row r="26" spans="1:8" x14ac:dyDescent="0.3">
      <c r="A26" s="8" t="s">
        <v>23</v>
      </c>
      <c r="B26" t="s">
        <v>1</v>
      </c>
      <c r="C26">
        <v>108</v>
      </c>
      <c r="D26" s="2">
        <v>4.9999999999999975E-3</v>
      </c>
      <c r="E26" s="2">
        <v>-1.0000000000000009E-3</v>
      </c>
      <c r="F26">
        <f t="shared" si="0"/>
        <v>5.9999999999999984E-3</v>
      </c>
      <c r="G26">
        <f t="shared" si="1"/>
        <v>2.7777777777777773E-2</v>
      </c>
      <c r="H26" t="str">
        <f t="shared" si="2"/>
        <v/>
      </c>
    </row>
    <row r="27" spans="1:8" x14ac:dyDescent="0.3">
      <c r="A27" s="8"/>
      <c r="B27" t="s">
        <v>2</v>
      </c>
      <c r="C27">
        <v>117</v>
      </c>
      <c r="D27" s="2">
        <v>4.9999999999999975E-3</v>
      </c>
      <c r="E27" s="2">
        <v>-2.0000000000000018E-3</v>
      </c>
      <c r="F27">
        <f t="shared" si="0"/>
        <v>6.9999999999999993E-3</v>
      </c>
      <c r="G27">
        <f t="shared" si="1"/>
        <v>2.9914529914529912E-2</v>
      </c>
      <c r="H27" t="str">
        <f t="shared" si="2"/>
        <v/>
      </c>
    </row>
    <row r="28" spans="1:8" x14ac:dyDescent="0.3">
      <c r="A28" s="8"/>
      <c r="B28" t="s">
        <v>3</v>
      </c>
      <c r="C28">
        <v>95</v>
      </c>
      <c r="D28" s="2">
        <v>8.9999999999999941E-3</v>
      </c>
      <c r="E28" s="2">
        <v>-2.0000000000000018E-3</v>
      </c>
      <c r="F28">
        <f t="shared" si="0"/>
        <v>1.0999999999999996E-2</v>
      </c>
      <c r="G28">
        <f t="shared" si="1"/>
        <v>5.7894736842105249E-2</v>
      </c>
      <c r="H28" t="str">
        <f t="shared" si="2"/>
        <v/>
      </c>
    </row>
    <row r="29" spans="1:8" x14ac:dyDescent="0.3">
      <c r="A29" s="8"/>
      <c r="B29" t="s">
        <v>4</v>
      </c>
      <c r="C29">
        <v>130</v>
      </c>
      <c r="D29" s="2">
        <v>2.9999999999999957E-3</v>
      </c>
      <c r="E29" s="2">
        <v>-3.0000000000000027E-3</v>
      </c>
      <c r="F29">
        <f t="shared" si="0"/>
        <v>5.9999999999999984E-3</v>
      </c>
      <c r="G29">
        <f t="shared" si="1"/>
        <v>2.3076923076923071E-2</v>
      </c>
      <c r="H29" t="str">
        <f t="shared" si="2"/>
        <v/>
      </c>
    </row>
    <row r="30" spans="1:8" x14ac:dyDescent="0.3">
      <c r="A30" s="8"/>
      <c r="B30" t="s">
        <v>5</v>
      </c>
      <c r="C30">
        <v>98</v>
      </c>
      <c r="D30" s="2">
        <v>9.999999999999995E-3</v>
      </c>
      <c r="E30" s="2">
        <v>2.9999999999999957E-3</v>
      </c>
      <c r="F30">
        <f t="shared" si="0"/>
        <v>6.9999999999999993E-3</v>
      </c>
      <c r="G30">
        <f t="shared" si="1"/>
        <v>3.5714285714285712E-2</v>
      </c>
      <c r="H30" t="str">
        <f t="shared" si="2"/>
        <v/>
      </c>
    </row>
    <row r="31" spans="1:8" x14ac:dyDescent="0.3">
      <c r="A31" s="8"/>
      <c r="B31" t="s">
        <v>6</v>
      </c>
      <c r="C31">
        <v>130</v>
      </c>
      <c r="D31" s="2">
        <v>1.0999999999999996E-2</v>
      </c>
      <c r="E31" s="2">
        <v>-1.0000000000000009E-3</v>
      </c>
      <c r="F31">
        <f t="shared" si="0"/>
        <v>1.1999999999999997E-2</v>
      </c>
      <c r="G31">
        <f t="shared" si="1"/>
        <v>4.6153846153846143E-2</v>
      </c>
      <c r="H31" t="str">
        <f t="shared" si="2"/>
        <v/>
      </c>
    </row>
    <row r="32" spans="1:8" x14ac:dyDescent="0.3">
      <c r="A32" s="8"/>
      <c r="B32" t="s">
        <v>7</v>
      </c>
      <c r="C32">
        <v>110</v>
      </c>
      <c r="D32" s="2">
        <v>8.9999999999999941E-3</v>
      </c>
      <c r="E32" s="2">
        <v>9.9999999999999395E-4</v>
      </c>
      <c r="F32">
        <f t="shared" si="0"/>
        <v>8.0000000000000002E-3</v>
      </c>
      <c r="G32">
        <f t="shared" si="1"/>
        <v>3.6363636363636369E-2</v>
      </c>
      <c r="H32" t="str">
        <f t="shared" si="2"/>
        <v/>
      </c>
    </row>
    <row r="33" spans="1:8" x14ac:dyDescent="0.3">
      <c r="A33" s="8"/>
      <c r="B33" t="s">
        <v>8</v>
      </c>
      <c r="C33">
        <v>135</v>
      </c>
      <c r="D33" s="2">
        <v>1.8999999999999996E-2</v>
      </c>
      <c r="E33" s="2">
        <v>-1.0000000000000009E-3</v>
      </c>
      <c r="F33">
        <f t="shared" si="0"/>
        <v>1.9999999999999997E-2</v>
      </c>
      <c r="G33">
        <f t="shared" si="1"/>
        <v>7.407407407407407E-2</v>
      </c>
      <c r="H33" t="str">
        <f t="shared" si="2"/>
        <v/>
      </c>
    </row>
    <row r="34" spans="1:8" x14ac:dyDescent="0.3">
      <c r="A34" s="8"/>
      <c r="B34" t="s">
        <v>9</v>
      </c>
      <c r="C34">
        <v>124</v>
      </c>
      <c r="D34" s="2">
        <v>1.7999999999999995E-2</v>
      </c>
      <c r="E34" s="2">
        <v>4.9999999999999975E-3</v>
      </c>
      <c r="F34">
        <f t="shared" si="0"/>
        <v>1.2999999999999998E-2</v>
      </c>
      <c r="G34">
        <f t="shared" si="1"/>
        <v>5.2419354838709666E-2</v>
      </c>
      <c r="H34" t="str">
        <f t="shared" si="2"/>
        <v/>
      </c>
    </row>
    <row r="35" spans="1:8" x14ac:dyDescent="0.3">
      <c r="A35" s="8"/>
      <c r="B35" t="s">
        <v>10</v>
      </c>
      <c r="C35">
        <v>121</v>
      </c>
      <c r="D35" s="2">
        <v>2.9999999999999957E-3</v>
      </c>
      <c r="E35" s="2">
        <v>-2.0000000000000018E-3</v>
      </c>
      <c r="F35">
        <f t="shared" si="0"/>
        <v>4.9999999999999975E-3</v>
      </c>
      <c r="G35">
        <f t="shared" si="1"/>
        <v>2.0661157024793375E-2</v>
      </c>
      <c r="H35" t="str">
        <f t="shared" si="2"/>
        <v/>
      </c>
    </row>
    <row r="36" spans="1:8" x14ac:dyDescent="0.3">
      <c r="A36" s="8"/>
      <c r="B36" t="s">
        <v>11</v>
      </c>
      <c r="C36">
        <v>106</v>
      </c>
      <c r="D36" s="2">
        <v>8.9999999999999941E-3</v>
      </c>
      <c r="E36" s="2">
        <v>-2.0000000000000018E-3</v>
      </c>
      <c r="F36">
        <f t="shared" si="0"/>
        <v>1.0999999999999996E-2</v>
      </c>
      <c r="G36">
        <f t="shared" si="1"/>
        <v>5.188679245283017E-2</v>
      </c>
      <c r="H36" t="str">
        <f t="shared" si="2"/>
        <v/>
      </c>
    </row>
    <row r="37" spans="1:8" x14ac:dyDescent="0.3">
      <c r="A37" s="8"/>
      <c r="B37" t="s">
        <v>12</v>
      </c>
      <c r="C37">
        <v>124</v>
      </c>
      <c r="D37" s="2">
        <v>1.9999999999999948E-3</v>
      </c>
      <c r="E37" s="2">
        <v>-1.0000000000000009E-3</v>
      </c>
      <c r="F37">
        <f t="shared" si="0"/>
        <v>2.9999999999999957E-3</v>
      </c>
      <c r="G37">
        <f t="shared" si="1"/>
        <v>1.2096774193548369E-2</v>
      </c>
      <c r="H37" t="str">
        <f t="shared" si="2"/>
        <v/>
      </c>
    </row>
    <row r="38" spans="1:8" x14ac:dyDescent="0.3">
      <c r="A38" s="8" t="s">
        <v>20</v>
      </c>
      <c r="B38" t="s">
        <v>1</v>
      </c>
      <c r="C38">
        <v>76</v>
      </c>
      <c r="D38" s="2">
        <v>9.9999999999999395E-4</v>
      </c>
      <c r="E38" s="2">
        <v>-2.0000000000000018E-3</v>
      </c>
      <c r="F38">
        <f t="shared" si="0"/>
        <v>2.9999999999999957E-3</v>
      </c>
      <c r="G38">
        <f t="shared" si="1"/>
        <v>1.9736842105263129E-2</v>
      </c>
      <c r="H38" t="str">
        <f t="shared" si="2"/>
        <v/>
      </c>
    </row>
    <row r="39" spans="1:8" x14ac:dyDescent="0.3">
      <c r="A39" s="8"/>
      <c r="B39" t="s">
        <v>2</v>
      </c>
      <c r="C39">
        <v>122</v>
      </c>
      <c r="D39" s="2">
        <v>7.9999999999999932E-3</v>
      </c>
      <c r="E39" s="2">
        <v>-1.0000000000000009E-3</v>
      </c>
      <c r="F39">
        <f t="shared" si="0"/>
        <v>8.9999999999999941E-3</v>
      </c>
      <c r="G39">
        <f t="shared" si="1"/>
        <v>3.6885245901639316E-2</v>
      </c>
      <c r="H39" t="str">
        <f t="shared" si="2"/>
        <v/>
      </c>
    </row>
    <row r="40" spans="1:8" x14ac:dyDescent="0.3">
      <c r="A40" s="8"/>
      <c r="B40" t="s">
        <v>3</v>
      </c>
      <c r="C40">
        <v>104</v>
      </c>
      <c r="D40" s="2">
        <v>0</v>
      </c>
      <c r="E40" s="2">
        <v>-2.0000000000000018E-3</v>
      </c>
      <c r="F40">
        <f t="shared" si="0"/>
        <v>2.0000000000000018E-3</v>
      </c>
      <c r="G40">
        <f t="shared" si="1"/>
        <v>9.6153846153846229E-3</v>
      </c>
      <c r="H40" t="str">
        <f t="shared" si="2"/>
        <v/>
      </c>
    </row>
    <row r="41" spans="1:8" x14ac:dyDescent="0.3">
      <c r="A41" s="8"/>
      <c r="B41" t="s">
        <v>4</v>
      </c>
      <c r="C41">
        <v>128</v>
      </c>
      <c r="D41" s="2">
        <v>2.5000000000000001E-2</v>
      </c>
      <c r="E41" s="2">
        <v>5.9999999999999984E-3</v>
      </c>
      <c r="F41">
        <f t="shared" si="0"/>
        <v>1.9000000000000003E-2</v>
      </c>
      <c r="G41">
        <f t="shared" si="1"/>
        <v>7.4218750000000014E-2</v>
      </c>
      <c r="H41" t="str">
        <f t="shared" si="2"/>
        <v/>
      </c>
    </row>
    <row r="42" spans="1:8" x14ac:dyDescent="0.3">
      <c r="A42" s="8"/>
      <c r="B42" t="s">
        <v>5</v>
      </c>
      <c r="C42">
        <v>72</v>
      </c>
      <c r="D42" s="2">
        <v>-1.0000000000000078E-3</v>
      </c>
      <c r="E42" s="2">
        <v>-2.0000000000000018E-3</v>
      </c>
      <c r="F42">
        <f t="shared" si="0"/>
        <v>9.9999999999999395E-4</v>
      </c>
      <c r="G42">
        <f t="shared" si="1"/>
        <v>6.9444444444444024E-3</v>
      </c>
      <c r="H42" t="str">
        <f t="shared" si="2"/>
        <v/>
      </c>
    </row>
    <row r="43" spans="1:8" x14ac:dyDescent="0.3">
      <c r="A43" s="8"/>
      <c r="B43" t="s">
        <v>6</v>
      </c>
      <c r="C43">
        <v>111</v>
      </c>
      <c r="D43" s="2">
        <v>9.9999999999999395E-4</v>
      </c>
      <c r="E43" s="2">
        <v>-1.0000000000000009E-3</v>
      </c>
      <c r="F43">
        <f t="shared" si="0"/>
        <v>1.9999999999999948E-3</v>
      </c>
      <c r="G43">
        <f t="shared" si="1"/>
        <v>9.0090090090089864E-3</v>
      </c>
      <c r="H43" t="str">
        <f t="shared" si="2"/>
        <v/>
      </c>
    </row>
    <row r="44" spans="1:8" x14ac:dyDescent="0.3">
      <c r="A44" s="8"/>
      <c r="B44" t="s">
        <v>7</v>
      </c>
      <c r="C44">
        <v>89</v>
      </c>
      <c r="D44" s="2">
        <v>-2.0000000000000087E-3</v>
      </c>
      <c r="E44" s="2">
        <v>-3.0000000000000027E-3</v>
      </c>
      <c r="F44">
        <f t="shared" si="0"/>
        <v>9.9999999999999395E-4</v>
      </c>
      <c r="G44">
        <f t="shared" si="1"/>
        <v>5.6179775280898537E-3</v>
      </c>
      <c r="H44" t="str">
        <f t="shared" si="2"/>
        <v/>
      </c>
    </row>
    <row r="45" spans="1:8" x14ac:dyDescent="0.3">
      <c r="A45" s="8"/>
      <c r="B45" t="s">
        <v>8</v>
      </c>
      <c r="C45">
        <v>124</v>
      </c>
      <c r="D45" s="2">
        <v>9.9999999999999395E-4</v>
      </c>
      <c r="E45" s="2">
        <v>-2.0000000000000018E-3</v>
      </c>
      <c r="F45">
        <f t="shared" si="0"/>
        <v>2.9999999999999957E-3</v>
      </c>
      <c r="G45">
        <f t="shared" si="1"/>
        <v>1.2096774193548369E-2</v>
      </c>
      <c r="H45" t="str">
        <f t="shared" si="2"/>
        <v/>
      </c>
    </row>
    <row r="46" spans="1:8" x14ac:dyDescent="0.3">
      <c r="A46" s="8"/>
      <c r="B46" t="s">
        <v>9</v>
      </c>
      <c r="C46">
        <v>81</v>
      </c>
      <c r="D46" s="2">
        <v>1.9999999999999948E-3</v>
      </c>
      <c r="E46" s="2">
        <v>0</v>
      </c>
      <c r="F46">
        <f t="shared" si="0"/>
        <v>1.9999999999999948E-3</v>
      </c>
      <c r="G46">
        <f t="shared" si="1"/>
        <v>1.2345679012345647E-2</v>
      </c>
      <c r="H46" t="str">
        <f t="shared" si="2"/>
        <v/>
      </c>
    </row>
    <row r="47" spans="1:8" x14ac:dyDescent="0.3">
      <c r="A47" s="8"/>
      <c r="B47" t="s">
        <v>10</v>
      </c>
      <c r="C47">
        <v>123</v>
      </c>
      <c r="D47" s="2">
        <v>1.9999999999999948E-3</v>
      </c>
      <c r="E47" s="2">
        <v>0</v>
      </c>
      <c r="F47">
        <f t="shared" si="0"/>
        <v>1.9999999999999948E-3</v>
      </c>
      <c r="G47">
        <f t="shared" si="1"/>
        <v>8.1300813008129882E-3</v>
      </c>
      <c r="H47" t="str">
        <f t="shared" si="2"/>
        <v/>
      </c>
    </row>
    <row r="48" spans="1:8" x14ac:dyDescent="0.3">
      <c r="A48" s="8"/>
      <c r="B48" t="s">
        <v>11</v>
      </c>
      <c r="C48">
        <v>106</v>
      </c>
      <c r="D48" s="2">
        <v>9.9999999999999395E-4</v>
      </c>
      <c r="E48" s="2">
        <v>-2.0000000000000018E-3</v>
      </c>
      <c r="F48">
        <f t="shared" si="0"/>
        <v>2.9999999999999957E-3</v>
      </c>
      <c r="G48">
        <f t="shared" si="1"/>
        <v>1.4150943396226396E-2</v>
      </c>
      <c r="H48" t="str">
        <f t="shared" si="2"/>
        <v/>
      </c>
    </row>
    <row r="49" spans="1:8" x14ac:dyDescent="0.3">
      <c r="A49" s="8"/>
      <c r="B49" t="s">
        <v>12</v>
      </c>
      <c r="C49">
        <v>111</v>
      </c>
      <c r="D49" s="2">
        <v>1.3999999999999992E-2</v>
      </c>
      <c r="E49" s="2">
        <v>-4.0000000000000036E-3</v>
      </c>
      <c r="F49">
        <f t="shared" si="0"/>
        <v>1.7999999999999995E-2</v>
      </c>
      <c r="G49">
        <f t="shared" si="1"/>
        <v>8.1081081081081058E-2</v>
      </c>
      <c r="H49" t="str">
        <f t="shared" si="2"/>
        <v/>
      </c>
    </row>
    <row r="50" spans="1:8" x14ac:dyDescent="0.3">
      <c r="A50" s="8" t="s">
        <v>21</v>
      </c>
      <c r="B50" t="s">
        <v>1</v>
      </c>
      <c r="C50">
        <v>107</v>
      </c>
      <c r="D50" s="2">
        <v>3.9999999999999966E-3</v>
      </c>
      <c r="E50" s="2">
        <v>0</v>
      </c>
      <c r="F50">
        <f t="shared" si="0"/>
        <v>3.9999999999999966E-3</v>
      </c>
      <c r="G50">
        <f t="shared" si="1"/>
        <v>1.8691588785046714E-2</v>
      </c>
      <c r="H50" t="str">
        <f t="shared" si="2"/>
        <v/>
      </c>
    </row>
    <row r="51" spans="1:8" x14ac:dyDescent="0.3">
      <c r="A51" s="8"/>
      <c r="B51" t="s">
        <v>2</v>
      </c>
      <c r="C51">
        <v>66</v>
      </c>
      <c r="D51" s="2">
        <v>2.9999999999999957E-3</v>
      </c>
      <c r="E51" s="2">
        <v>-1.0000000000000009E-3</v>
      </c>
      <c r="F51">
        <f t="shared" si="0"/>
        <v>3.9999999999999966E-3</v>
      </c>
      <c r="G51">
        <f t="shared" si="1"/>
        <v>3.030303030303028E-2</v>
      </c>
      <c r="H51" t="str">
        <f t="shared" si="2"/>
        <v/>
      </c>
    </row>
    <row r="52" spans="1:8" x14ac:dyDescent="0.3">
      <c r="A52" s="8"/>
      <c r="B52" t="s">
        <v>3</v>
      </c>
      <c r="C52">
        <v>91</v>
      </c>
      <c r="D52" s="2">
        <v>2.9999999999999957E-3</v>
      </c>
      <c r="E52" s="2">
        <v>9.9999999999999395E-4</v>
      </c>
      <c r="F52">
        <f t="shared" si="0"/>
        <v>2.0000000000000018E-3</v>
      </c>
      <c r="G52">
        <f t="shared" si="1"/>
        <v>1.0989010989010999E-2</v>
      </c>
      <c r="H52" t="str">
        <f t="shared" si="2"/>
        <v/>
      </c>
    </row>
    <row r="53" spans="1:8" x14ac:dyDescent="0.3">
      <c r="A53" s="8"/>
      <c r="B53" t="s">
        <v>4</v>
      </c>
      <c r="C53">
        <v>81</v>
      </c>
      <c r="D53" s="2">
        <v>1.6999999999999994E-2</v>
      </c>
      <c r="E53" s="2">
        <v>0</v>
      </c>
      <c r="F53">
        <f t="shared" si="0"/>
        <v>1.6999999999999994E-2</v>
      </c>
      <c r="G53">
        <f t="shared" si="1"/>
        <v>0.10493827160493824</v>
      </c>
      <c r="H53" t="str">
        <f t="shared" si="2"/>
        <v>High</v>
      </c>
    </row>
    <row r="54" spans="1:8" x14ac:dyDescent="0.3">
      <c r="A54" s="8"/>
      <c r="B54" t="s">
        <v>5</v>
      </c>
      <c r="C54">
        <v>131</v>
      </c>
      <c r="D54" s="2">
        <v>1.6999999999999994E-2</v>
      </c>
      <c r="E54" s="2">
        <v>1.2999999999999998E-2</v>
      </c>
      <c r="F54">
        <f t="shared" si="0"/>
        <v>3.9999999999999966E-3</v>
      </c>
      <c r="G54">
        <f t="shared" si="1"/>
        <v>1.5267175572519071E-2</v>
      </c>
      <c r="H54" t="str">
        <f t="shared" si="2"/>
        <v/>
      </c>
    </row>
    <row r="55" spans="1:8" x14ac:dyDescent="0.3">
      <c r="A55" s="8"/>
      <c r="B55" t="s">
        <v>6</v>
      </c>
      <c r="C55">
        <v>114</v>
      </c>
      <c r="D55" s="2">
        <v>6.9999999999999923E-3</v>
      </c>
      <c r="E55" s="2">
        <v>2.9999999999999957E-3</v>
      </c>
      <c r="F55">
        <f t="shared" si="0"/>
        <v>3.9999999999999966E-3</v>
      </c>
      <c r="G55">
        <f t="shared" si="1"/>
        <v>1.7543859649122792E-2</v>
      </c>
      <c r="H55" t="str">
        <f t="shared" si="2"/>
        <v/>
      </c>
    </row>
    <row r="56" spans="1:8" x14ac:dyDescent="0.3">
      <c r="A56" s="8"/>
      <c r="B56" t="s">
        <v>7</v>
      </c>
      <c r="C56">
        <v>74</v>
      </c>
      <c r="D56" s="2">
        <v>8.9999999999999941E-3</v>
      </c>
      <c r="E56" s="2">
        <v>1.9999999999999948E-3</v>
      </c>
      <c r="F56">
        <f t="shared" si="0"/>
        <v>6.9999999999999993E-3</v>
      </c>
      <c r="G56">
        <f t="shared" si="1"/>
        <v>4.7297297297297293E-2</v>
      </c>
      <c r="H56" t="str">
        <f t="shared" si="2"/>
        <v/>
      </c>
    </row>
    <row r="57" spans="1:8" x14ac:dyDescent="0.3">
      <c r="A57" s="8"/>
      <c r="B57" t="s">
        <v>8</v>
      </c>
      <c r="C57">
        <v>84</v>
      </c>
      <c r="D57" s="2">
        <v>3.3999999999999996E-2</v>
      </c>
      <c r="E57" s="2">
        <v>1.0999999999999996E-2</v>
      </c>
      <c r="F57">
        <f t="shared" si="0"/>
        <v>2.3E-2</v>
      </c>
      <c r="G57">
        <f t="shared" si="1"/>
        <v>0.13690476190476192</v>
      </c>
      <c r="H57" t="str">
        <f t="shared" si="2"/>
        <v>High</v>
      </c>
    </row>
    <row r="58" spans="1:8" x14ac:dyDescent="0.3">
      <c r="A58" s="8"/>
      <c r="B58" t="s">
        <v>9</v>
      </c>
      <c r="C58">
        <v>117</v>
      </c>
      <c r="D58" s="2">
        <v>1.6999999999999994E-2</v>
      </c>
      <c r="E58" s="2">
        <v>1.3999999999999999E-2</v>
      </c>
      <c r="F58">
        <f t="shared" si="0"/>
        <v>2.9999999999999957E-3</v>
      </c>
      <c r="G58">
        <f t="shared" si="1"/>
        <v>1.2820512820512803E-2</v>
      </c>
      <c r="H58" t="str">
        <f t="shared" si="2"/>
        <v/>
      </c>
    </row>
    <row r="59" spans="1:8" x14ac:dyDescent="0.3">
      <c r="A59" s="8"/>
      <c r="B59" t="s">
        <v>10</v>
      </c>
      <c r="C59">
        <v>102</v>
      </c>
      <c r="D59" s="2">
        <v>1.2999999999999998E-2</v>
      </c>
      <c r="E59" s="2">
        <v>9.999999999999995E-3</v>
      </c>
      <c r="F59">
        <f t="shared" si="0"/>
        <v>3.0000000000000027E-3</v>
      </c>
      <c r="G59">
        <f t="shared" si="1"/>
        <v>1.470588235294119E-2</v>
      </c>
      <c r="H59" t="str">
        <f t="shared" si="2"/>
        <v/>
      </c>
    </row>
    <row r="60" spans="1:8" x14ac:dyDescent="0.3">
      <c r="A60" s="8"/>
      <c r="B60" t="s">
        <v>11</v>
      </c>
      <c r="C60">
        <v>129</v>
      </c>
      <c r="D60" s="2">
        <v>2.0999999999999998E-2</v>
      </c>
      <c r="E60" s="2">
        <v>1.4999999999999999E-2</v>
      </c>
      <c r="F60">
        <f t="shared" si="0"/>
        <v>5.9999999999999984E-3</v>
      </c>
      <c r="G60">
        <f t="shared" si="1"/>
        <v>2.3255813953488365E-2</v>
      </c>
      <c r="H60" t="str">
        <f t="shared" si="2"/>
        <v/>
      </c>
    </row>
    <row r="61" spans="1:8" x14ac:dyDescent="0.3">
      <c r="A61" s="8"/>
      <c r="B61" t="s">
        <v>12</v>
      </c>
      <c r="C61">
        <v>104</v>
      </c>
      <c r="D61" s="2">
        <v>2.4E-2</v>
      </c>
      <c r="E61" s="2">
        <v>1.4999999999999999E-2</v>
      </c>
      <c r="F61">
        <f t="shared" si="0"/>
        <v>9.0000000000000011E-3</v>
      </c>
      <c r="G61">
        <f t="shared" si="1"/>
        <v>4.3269230769230775E-2</v>
      </c>
      <c r="H61" t="str">
        <f t="shared" si="2"/>
        <v/>
      </c>
    </row>
    <row r="62" spans="1:8" x14ac:dyDescent="0.3">
      <c r="A62" s="8"/>
      <c r="D62" s="2"/>
      <c r="E62" s="2"/>
      <c r="H62" t="str">
        <f t="shared" ref="H62:H66" si="3">IF(G62&gt;0.15,"High","")</f>
        <v/>
      </c>
    </row>
    <row r="63" spans="1:8" x14ac:dyDescent="0.3">
      <c r="A63" s="8"/>
      <c r="D63" s="2"/>
      <c r="E63" s="2"/>
      <c r="G63">
        <f>AVERAGE(G2:G61)</f>
        <v>3.9944949269652655E-2</v>
      </c>
      <c r="H63" t="str">
        <f t="shared" si="3"/>
        <v/>
      </c>
    </row>
    <row r="64" spans="1:8" x14ac:dyDescent="0.3">
      <c r="A64" s="8"/>
      <c r="D64" s="2"/>
      <c r="E64" s="2"/>
      <c r="H64" t="str">
        <f t="shared" si="3"/>
        <v/>
      </c>
    </row>
    <row r="65" spans="1:8" x14ac:dyDescent="0.3">
      <c r="A65" s="8"/>
      <c r="D65" s="2"/>
      <c r="E65" s="2"/>
      <c r="G65">
        <f>MAX(G2:G61)</f>
        <v>0.13690476190476192</v>
      </c>
      <c r="H65" t="str">
        <f t="shared" si="3"/>
        <v/>
      </c>
    </row>
    <row r="66" spans="1:8" x14ac:dyDescent="0.3">
      <c r="A66" s="8"/>
      <c r="D66" s="2"/>
      <c r="E66" s="2"/>
      <c r="H66" t="str">
        <f t="shared" si="3"/>
        <v/>
      </c>
    </row>
    <row r="67" spans="1:8" x14ac:dyDescent="0.3">
      <c r="A67" s="8"/>
      <c r="D67" s="2"/>
      <c r="E67" s="2"/>
      <c r="H67" t="str">
        <f t="shared" ref="H67:H97" si="4">IF(G67&gt;0.15,"High","")</f>
        <v/>
      </c>
    </row>
    <row r="68" spans="1:8" x14ac:dyDescent="0.3">
      <c r="A68" s="8"/>
      <c r="D68" s="2"/>
      <c r="E68" s="2"/>
      <c r="H68" t="str">
        <f t="shared" si="4"/>
        <v/>
      </c>
    </row>
    <row r="69" spans="1:8" x14ac:dyDescent="0.3">
      <c r="A69" s="8"/>
      <c r="D69" s="2"/>
      <c r="E69" s="2"/>
      <c r="H69" t="str">
        <f t="shared" si="4"/>
        <v/>
      </c>
    </row>
    <row r="70" spans="1:8" x14ac:dyDescent="0.3">
      <c r="A70" s="8"/>
      <c r="D70" s="2"/>
      <c r="E70" s="2"/>
      <c r="H70" t="str">
        <f t="shared" si="4"/>
        <v/>
      </c>
    </row>
    <row r="71" spans="1:8" x14ac:dyDescent="0.3">
      <c r="A71" s="8"/>
      <c r="D71" s="2"/>
      <c r="E71" s="2"/>
      <c r="H71" t="str">
        <f t="shared" si="4"/>
        <v/>
      </c>
    </row>
    <row r="72" spans="1:8" x14ac:dyDescent="0.3">
      <c r="A72" s="8"/>
      <c r="D72" s="2"/>
      <c r="E72" s="2"/>
      <c r="H72" t="str">
        <f t="shared" si="4"/>
        <v/>
      </c>
    </row>
    <row r="73" spans="1:8" x14ac:dyDescent="0.3">
      <c r="A73" s="8"/>
      <c r="D73" s="2"/>
      <c r="E73" s="2"/>
      <c r="H73" t="str">
        <f t="shared" si="4"/>
        <v/>
      </c>
    </row>
    <row r="74" spans="1:8" x14ac:dyDescent="0.3">
      <c r="A74" s="8"/>
      <c r="D74" s="2"/>
      <c r="E74" s="2"/>
      <c r="H74" t="str">
        <f t="shared" si="4"/>
        <v/>
      </c>
    </row>
    <row r="75" spans="1:8" x14ac:dyDescent="0.3">
      <c r="A75" s="8"/>
      <c r="D75" s="2"/>
      <c r="E75" s="2"/>
      <c r="H75" t="str">
        <f t="shared" si="4"/>
        <v/>
      </c>
    </row>
    <row r="76" spans="1:8" x14ac:dyDescent="0.3">
      <c r="A76" s="8"/>
      <c r="D76" s="2"/>
      <c r="E76" s="2"/>
      <c r="H76" t="str">
        <f t="shared" si="4"/>
        <v/>
      </c>
    </row>
    <row r="77" spans="1:8" x14ac:dyDescent="0.3">
      <c r="A77" s="8"/>
      <c r="D77" s="2"/>
      <c r="E77" s="2"/>
      <c r="H77" t="str">
        <f t="shared" si="4"/>
        <v/>
      </c>
    </row>
    <row r="78" spans="1:8" x14ac:dyDescent="0.3">
      <c r="A78" s="8"/>
      <c r="D78" s="2"/>
      <c r="E78" s="2"/>
      <c r="H78" t="str">
        <f t="shared" si="4"/>
        <v/>
      </c>
    </row>
    <row r="79" spans="1:8" x14ac:dyDescent="0.3">
      <c r="A79" s="8"/>
      <c r="D79" s="2"/>
      <c r="E79" s="2"/>
      <c r="H79" t="str">
        <f t="shared" si="4"/>
        <v/>
      </c>
    </row>
    <row r="80" spans="1:8" x14ac:dyDescent="0.3">
      <c r="A80" s="8"/>
      <c r="D80" s="2"/>
      <c r="E80" s="2"/>
      <c r="H80" t="str">
        <f t="shared" si="4"/>
        <v/>
      </c>
    </row>
    <row r="81" spans="1:8" x14ac:dyDescent="0.3">
      <c r="A81" s="8"/>
      <c r="D81" s="2"/>
      <c r="E81" s="2"/>
      <c r="H81" t="str">
        <f t="shared" si="4"/>
        <v/>
      </c>
    </row>
    <row r="82" spans="1:8" x14ac:dyDescent="0.3">
      <c r="A82" s="8"/>
      <c r="D82" s="2"/>
      <c r="E82" s="2"/>
      <c r="H82" t="str">
        <f t="shared" si="4"/>
        <v/>
      </c>
    </row>
    <row r="83" spans="1:8" x14ac:dyDescent="0.3">
      <c r="A83" s="8"/>
      <c r="D83" s="2"/>
      <c r="E83" s="2"/>
      <c r="H83" t="str">
        <f t="shared" si="4"/>
        <v/>
      </c>
    </row>
    <row r="84" spans="1:8" x14ac:dyDescent="0.3">
      <c r="A84" s="8"/>
      <c r="D84" s="2"/>
      <c r="E84" s="2"/>
      <c r="H84" t="str">
        <f t="shared" si="4"/>
        <v/>
      </c>
    </row>
    <row r="85" spans="1:8" x14ac:dyDescent="0.3">
      <c r="A85" s="8"/>
      <c r="D85" s="2"/>
      <c r="E85" s="2"/>
      <c r="H85" t="str">
        <f t="shared" si="4"/>
        <v/>
      </c>
    </row>
    <row r="86" spans="1:8" x14ac:dyDescent="0.3">
      <c r="A86" s="8"/>
      <c r="D86" s="2"/>
      <c r="E86" s="2"/>
      <c r="H86" t="str">
        <f t="shared" si="4"/>
        <v/>
      </c>
    </row>
    <row r="87" spans="1:8" x14ac:dyDescent="0.3">
      <c r="A87" s="8"/>
      <c r="D87" s="2"/>
      <c r="E87" s="2"/>
      <c r="H87" t="str">
        <f t="shared" si="4"/>
        <v/>
      </c>
    </row>
    <row r="88" spans="1:8" x14ac:dyDescent="0.3">
      <c r="A88" s="8"/>
      <c r="D88" s="2"/>
      <c r="E88" s="2"/>
      <c r="H88" t="str">
        <f t="shared" si="4"/>
        <v/>
      </c>
    </row>
    <row r="89" spans="1:8" x14ac:dyDescent="0.3">
      <c r="A89" s="8"/>
      <c r="D89" s="2"/>
      <c r="E89" s="2"/>
      <c r="H89" t="str">
        <f t="shared" si="4"/>
        <v/>
      </c>
    </row>
    <row r="90" spans="1:8" x14ac:dyDescent="0.3">
      <c r="A90" s="8"/>
      <c r="D90" s="2"/>
      <c r="E90" s="2"/>
      <c r="H90" t="str">
        <f t="shared" si="4"/>
        <v/>
      </c>
    </row>
    <row r="91" spans="1:8" x14ac:dyDescent="0.3">
      <c r="A91" s="8"/>
      <c r="D91" s="2"/>
      <c r="E91" s="2"/>
      <c r="H91" t="str">
        <f t="shared" si="4"/>
        <v/>
      </c>
    </row>
    <row r="92" spans="1:8" x14ac:dyDescent="0.3">
      <c r="A92" s="8"/>
      <c r="D92" s="2"/>
      <c r="E92" s="2"/>
      <c r="H92" t="str">
        <f t="shared" si="4"/>
        <v/>
      </c>
    </row>
    <row r="93" spans="1:8" x14ac:dyDescent="0.3">
      <c r="A93" s="8"/>
      <c r="D93" s="2"/>
      <c r="E93" s="2"/>
      <c r="H93" t="str">
        <f t="shared" si="4"/>
        <v/>
      </c>
    </row>
    <row r="94" spans="1:8" x14ac:dyDescent="0.3">
      <c r="A94" s="8"/>
      <c r="D94" s="2"/>
      <c r="E94" s="2"/>
      <c r="H94" t="str">
        <f t="shared" si="4"/>
        <v/>
      </c>
    </row>
    <row r="95" spans="1:8" x14ac:dyDescent="0.3">
      <c r="A95" s="8"/>
      <c r="D95" s="2"/>
      <c r="E95" s="2"/>
      <c r="H95" t="str">
        <f t="shared" si="4"/>
        <v/>
      </c>
    </row>
    <row r="96" spans="1:8" x14ac:dyDescent="0.3">
      <c r="A96" s="8"/>
      <c r="D96" s="2"/>
      <c r="E96" s="2"/>
      <c r="H96" t="str">
        <f t="shared" si="4"/>
        <v/>
      </c>
    </row>
    <row r="97" spans="1:8" x14ac:dyDescent="0.3">
      <c r="A97" s="8"/>
      <c r="D97" s="2"/>
      <c r="E97" s="2"/>
      <c r="H97" t="str">
        <f t="shared" si="4"/>
        <v/>
      </c>
    </row>
  </sheetData>
  <mergeCells count="8">
    <mergeCell ref="A74:A85"/>
    <mergeCell ref="A86:A97"/>
    <mergeCell ref="A2:A13"/>
    <mergeCell ref="A14:A25"/>
    <mergeCell ref="A26:A37"/>
    <mergeCell ref="A38:A49"/>
    <mergeCell ref="A50:A61"/>
    <mergeCell ref="A62:A7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151E-3673-467A-BCCE-9450D27863B3}">
  <dimension ref="A1:AA52"/>
  <sheetViews>
    <sheetView tabSelected="1" topLeftCell="F42" zoomScaleNormal="100" workbookViewId="0">
      <selection activeCell="L47" sqref="L47:P50"/>
    </sheetView>
  </sheetViews>
  <sheetFormatPr defaultRowHeight="14" x14ac:dyDescent="0.3"/>
  <cols>
    <col min="2" max="2" width="12.59765625" bestFit="1" customWidth="1"/>
    <col min="3" max="10" width="12.296875" bestFit="1" customWidth="1"/>
    <col min="11" max="11" width="12.59765625" bestFit="1" customWidth="1"/>
    <col min="12" max="12" width="12.296875" bestFit="1" customWidth="1"/>
    <col min="13" max="13" width="13.3984375" bestFit="1" customWidth="1"/>
    <col min="14" max="14" width="13.59765625" bestFit="1" customWidth="1"/>
    <col min="15" max="15" width="13.09765625" bestFit="1" customWidth="1"/>
    <col min="16" max="16" width="13.3984375" bestFit="1" customWidth="1"/>
    <col min="17" max="17" width="11.8984375" bestFit="1" customWidth="1"/>
    <col min="18" max="18" width="12" bestFit="1" customWidth="1"/>
    <col min="19" max="19" width="11.8984375" bestFit="1" customWidth="1"/>
    <col min="20" max="20" width="11.59765625" bestFit="1" customWidth="1"/>
    <col min="21" max="21" width="12.59765625" bestFit="1" customWidth="1"/>
    <col min="22" max="22" width="12.296875" bestFit="1" customWidth="1"/>
    <col min="23" max="23" width="12.59765625" bestFit="1" customWidth="1"/>
    <col min="24" max="24" width="12.296875" bestFit="1" customWidth="1"/>
    <col min="25" max="25" width="12.59765625" bestFit="1" customWidth="1"/>
    <col min="26" max="26" width="12.296875" bestFit="1" customWidth="1"/>
    <col min="27" max="27" width="12.59765625" bestFit="1" customWidth="1"/>
  </cols>
  <sheetData>
    <row r="1" spans="1:17" x14ac:dyDescent="0.3">
      <c r="A1" s="3" t="s">
        <v>24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7" x14ac:dyDescent="0.3">
      <c r="A2" s="4" t="s">
        <v>25</v>
      </c>
      <c r="B2" s="2">
        <v>96140</v>
      </c>
      <c r="C2" s="2">
        <v>70946</v>
      </c>
      <c r="D2" s="2">
        <v>71477</v>
      </c>
      <c r="E2" s="2">
        <v>67914</v>
      </c>
      <c r="F2" s="2">
        <v>69233</v>
      </c>
      <c r="G2" s="2">
        <v>61862</v>
      </c>
      <c r="H2" s="2">
        <v>52831</v>
      </c>
      <c r="I2" s="2">
        <v>42622</v>
      </c>
      <c r="J2" s="2">
        <v>26250</v>
      </c>
      <c r="K2" s="2">
        <v>14837</v>
      </c>
      <c r="L2" s="2">
        <v>10316</v>
      </c>
      <c r="M2" s="2">
        <v>6152</v>
      </c>
      <c r="N2" s="5" t="s">
        <v>26</v>
      </c>
      <c r="P2" s="6">
        <v>16</v>
      </c>
      <c r="Q2" s="2">
        <v>42622</v>
      </c>
    </row>
    <row r="3" spans="1:17" x14ac:dyDescent="0.3">
      <c r="A3" s="4" t="s">
        <v>27</v>
      </c>
      <c r="B3" s="2">
        <v>100961</v>
      </c>
      <c r="C3" s="2">
        <v>72765</v>
      </c>
      <c r="D3" s="2">
        <v>74133</v>
      </c>
      <c r="E3" s="2">
        <v>67897</v>
      </c>
      <c r="F3" s="2">
        <v>64961</v>
      </c>
      <c r="G3" s="2">
        <v>55676</v>
      </c>
      <c r="H3" s="2">
        <v>48611</v>
      </c>
      <c r="I3" s="2">
        <v>41141</v>
      </c>
      <c r="J3" s="2">
        <v>24481</v>
      </c>
      <c r="K3" s="2">
        <v>13699</v>
      </c>
      <c r="L3" s="2">
        <v>10909</v>
      </c>
      <c r="M3" s="2">
        <v>7111</v>
      </c>
      <c r="N3" s="5" t="s">
        <v>26</v>
      </c>
      <c r="P3" s="6">
        <v>8</v>
      </c>
      <c r="Q3" s="2">
        <v>26250</v>
      </c>
    </row>
    <row r="4" spans="1:17" x14ac:dyDescent="0.3">
      <c r="A4" s="4" t="s">
        <v>28</v>
      </c>
      <c r="B4" s="2">
        <v>6283</v>
      </c>
      <c r="C4" s="2">
        <v>6584</v>
      </c>
      <c r="D4" s="2">
        <v>6371</v>
      </c>
      <c r="E4" s="2">
        <v>8097</v>
      </c>
      <c r="F4" s="2">
        <v>7481</v>
      </c>
      <c r="G4" s="2">
        <v>6241</v>
      </c>
      <c r="H4" s="2">
        <v>5755</v>
      </c>
      <c r="I4" s="2">
        <v>6467</v>
      </c>
      <c r="J4" s="2">
        <v>17456</v>
      </c>
      <c r="K4" s="2">
        <v>18083</v>
      </c>
      <c r="L4" s="2">
        <v>16962</v>
      </c>
      <c r="M4" s="2">
        <v>16663</v>
      </c>
      <c r="N4" s="5" t="s">
        <v>26</v>
      </c>
      <c r="P4" s="6">
        <v>3.2</v>
      </c>
      <c r="Q4" s="2">
        <v>14837</v>
      </c>
    </row>
    <row r="5" spans="1:17" x14ac:dyDescent="0.3">
      <c r="A5" s="4" t="s">
        <v>29</v>
      </c>
      <c r="B5" s="2">
        <v>7097</v>
      </c>
      <c r="C5" s="2">
        <v>7712</v>
      </c>
      <c r="D5" s="2">
        <v>7386</v>
      </c>
      <c r="E5" s="2">
        <v>6481</v>
      </c>
      <c r="F5" s="2">
        <v>6918</v>
      </c>
      <c r="G5" s="2">
        <v>6451</v>
      </c>
      <c r="H5" s="2">
        <v>8013</v>
      </c>
      <c r="I5" s="2">
        <v>5779</v>
      </c>
      <c r="J5" s="2">
        <v>7376</v>
      </c>
      <c r="K5" s="2">
        <v>7071</v>
      </c>
      <c r="L5" s="2">
        <v>7063</v>
      </c>
      <c r="M5" s="2">
        <v>7017</v>
      </c>
      <c r="N5" s="5" t="s">
        <v>26</v>
      </c>
      <c r="P5" s="6">
        <v>1.6</v>
      </c>
      <c r="Q5" s="2">
        <v>10316</v>
      </c>
    </row>
    <row r="6" spans="1:17" x14ac:dyDescent="0.3">
      <c r="A6" s="4" t="s">
        <v>30</v>
      </c>
      <c r="B6" s="2">
        <v>8602</v>
      </c>
      <c r="C6" s="2">
        <v>7316</v>
      </c>
      <c r="D6" s="2">
        <v>6848</v>
      </c>
      <c r="E6" s="2">
        <v>7405</v>
      </c>
      <c r="F6" s="2">
        <v>6372</v>
      </c>
      <c r="G6" s="2">
        <v>4969</v>
      </c>
      <c r="H6" s="2">
        <v>5671</v>
      </c>
      <c r="I6" s="2">
        <v>5070</v>
      </c>
      <c r="J6" s="2">
        <v>5662</v>
      </c>
      <c r="K6" s="2">
        <v>6808</v>
      </c>
      <c r="L6" s="2">
        <v>6909</v>
      </c>
      <c r="M6" s="2">
        <v>6414</v>
      </c>
      <c r="N6" s="5" t="s">
        <v>26</v>
      </c>
      <c r="P6" s="6">
        <v>0</v>
      </c>
      <c r="Q6" s="2">
        <v>6152</v>
      </c>
    </row>
    <row r="7" spans="1:17" x14ac:dyDescent="0.3">
      <c r="A7" s="4" t="s">
        <v>31</v>
      </c>
      <c r="B7" s="2">
        <v>30912</v>
      </c>
      <c r="C7" s="2">
        <v>24773</v>
      </c>
      <c r="D7" s="2">
        <v>29654</v>
      </c>
      <c r="E7" s="2">
        <v>15591</v>
      </c>
      <c r="F7" s="2">
        <v>18049</v>
      </c>
      <c r="G7" s="2">
        <v>18045</v>
      </c>
      <c r="H7" s="2">
        <v>24912</v>
      </c>
      <c r="I7" s="2">
        <v>17088</v>
      </c>
      <c r="J7" s="2">
        <v>21013</v>
      </c>
      <c r="K7" s="2">
        <v>16464</v>
      </c>
      <c r="L7" s="2">
        <v>23743</v>
      </c>
      <c r="M7" s="2">
        <v>18147</v>
      </c>
      <c r="N7" s="5" t="s">
        <v>26</v>
      </c>
      <c r="P7" s="6">
        <v>16</v>
      </c>
      <c r="Q7" s="2">
        <v>41141</v>
      </c>
    </row>
    <row r="8" spans="1:17" x14ac:dyDescent="0.3">
      <c r="A8" s="4" t="s">
        <v>32</v>
      </c>
      <c r="B8" s="2">
        <v>32358</v>
      </c>
      <c r="C8" s="2">
        <v>33512</v>
      </c>
      <c r="D8" s="2">
        <v>29767</v>
      </c>
      <c r="E8" s="2">
        <v>27023</v>
      </c>
      <c r="F8" s="2">
        <v>12375</v>
      </c>
      <c r="G8" s="2">
        <v>8418</v>
      </c>
      <c r="H8" s="2">
        <v>12110</v>
      </c>
      <c r="I8" s="2">
        <v>8748</v>
      </c>
      <c r="J8" s="2">
        <v>4174</v>
      </c>
      <c r="K8" s="2">
        <v>4303</v>
      </c>
      <c r="L8" s="2">
        <v>4611</v>
      </c>
      <c r="M8" s="2">
        <v>5428</v>
      </c>
      <c r="N8" s="5" t="s">
        <v>26</v>
      </c>
      <c r="O8">
        <f>MIN(B4:M8)</f>
        <v>4174</v>
      </c>
      <c r="P8" s="6">
        <v>8</v>
      </c>
      <c r="Q8" s="2">
        <v>24481</v>
      </c>
    </row>
    <row r="9" spans="1:17" x14ac:dyDescent="0.3">
      <c r="A9" s="4" t="s">
        <v>33</v>
      </c>
      <c r="B9" s="2">
        <v>5288</v>
      </c>
      <c r="C9" s="2">
        <v>5717</v>
      </c>
      <c r="D9" s="2">
        <v>5418</v>
      </c>
      <c r="E9" s="2">
        <v>5475</v>
      </c>
      <c r="F9" s="2">
        <v>5526</v>
      </c>
      <c r="G9" s="2">
        <v>5377</v>
      </c>
      <c r="H9" s="2">
        <v>5134</v>
      </c>
      <c r="I9" s="2">
        <v>4913</v>
      </c>
      <c r="J9" s="2">
        <v>5272</v>
      </c>
      <c r="K9" s="2">
        <v>5857</v>
      </c>
      <c r="L9" s="2">
        <v>5609</v>
      </c>
      <c r="M9" s="2">
        <v>5638</v>
      </c>
      <c r="N9" s="5" t="s">
        <v>26</v>
      </c>
      <c r="O9">
        <f>AVERAGE(B9:M9)</f>
        <v>5435.333333333333</v>
      </c>
      <c r="P9" s="6">
        <v>3.2</v>
      </c>
      <c r="Q9" s="2">
        <v>13699</v>
      </c>
    </row>
    <row r="10" spans="1:17" x14ac:dyDescent="0.3">
      <c r="P10" s="6">
        <v>1.6</v>
      </c>
      <c r="Q10" s="2">
        <v>10909</v>
      </c>
    </row>
    <row r="11" spans="1:17" x14ac:dyDescent="0.3">
      <c r="A11" s="3" t="s">
        <v>34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  <c r="P11" s="6">
        <v>0</v>
      </c>
      <c r="Q11" s="2">
        <v>7111</v>
      </c>
    </row>
    <row r="12" spans="1:17" x14ac:dyDescent="0.3">
      <c r="A12" s="4" t="s">
        <v>25</v>
      </c>
      <c r="B12" s="2">
        <f>(B2-5435.3)/2341.1</f>
        <v>38.744479091025589</v>
      </c>
      <c r="C12" s="2">
        <f t="shared" ref="C12:M12" si="0">(C2-5435.3)/2341.1</f>
        <v>27.982871299816324</v>
      </c>
      <c r="D12" s="2">
        <f t="shared" si="0"/>
        <v>28.209687753620091</v>
      </c>
      <c r="E12" s="2">
        <f t="shared" si="0"/>
        <v>26.687753620093119</v>
      </c>
      <c r="F12" s="2">
        <f t="shared" si="0"/>
        <v>27.251163982743154</v>
      </c>
      <c r="G12" s="2">
        <f t="shared" si="0"/>
        <v>24.102644056212892</v>
      </c>
      <c r="H12" s="2">
        <f t="shared" si="0"/>
        <v>20.245055743026782</v>
      </c>
      <c r="I12" s="2">
        <f t="shared" si="0"/>
        <v>15.884285165093331</v>
      </c>
      <c r="J12" s="2">
        <f t="shared" si="0"/>
        <v>8.8909914142924276</v>
      </c>
      <c r="K12" s="2">
        <f t="shared" si="0"/>
        <v>4.0159326812182314</v>
      </c>
      <c r="L12" s="2">
        <f t="shared" si="0"/>
        <v>2.0847892016573404</v>
      </c>
      <c r="M12" s="2">
        <f t="shared" si="0"/>
        <v>0.30613814019050867</v>
      </c>
    </row>
    <row r="13" spans="1:17" x14ac:dyDescent="0.3">
      <c r="A13" s="4" t="s">
        <v>27</v>
      </c>
      <c r="B13" s="2">
        <f t="shared" ref="B13:M13" si="1">(B3-5435.3)/2341.1</f>
        <v>40.803767459741145</v>
      </c>
      <c r="C13" s="2">
        <f t="shared" si="1"/>
        <v>28.759856477724146</v>
      </c>
      <c r="D13" s="2">
        <f t="shared" si="1"/>
        <v>29.344197172269446</v>
      </c>
      <c r="E13" s="2">
        <f t="shared" si="1"/>
        <v>26.680492076374353</v>
      </c>
      <c r="F13" s="2">
        <f t="shared" si="1"/>
        <v>25.426380761180642</v>
      </c>
      <c r="G13" s="2">
        <f t="shared" si="1"/>
        <v>21.460296441843578</v>
      </c>
      <c r="H13" s="2">
        <f t="shared" si="1"/>
        <v>18.442484302251078</v>
      </c>
      <c r="I13" s="2">
        <f t="shared" si="1"/>
        <v>15.251676562299773</v>
      </c>
      <c r="J13" s="2">
        <f t="shared" si="1"/>
        <v>8.1353637179103853</v>
      </c>
      <c r="K13" s="2">
        <f t="shared" si="1"/>
        <v>3.5298364016915129</v>
      </c>
      <c r="L13" s="2">
        <f t="shared" si="1"/>
        <v>2.3380889325530734</v>
      </c>
      <c r="M13" s="2">
        <f t="shared" si="1"/>
        <v>0.71577463585493994</v>
      </c>
    </row>
    <row r="14" spans="1:17" x14ac:dyDescent="0.3">
      <c r="A14" s="4" t="s">
        <v>28</v>
      </c>
      <c r="B14" s="2">
        <f t="shared" ref="B14:M14" si="2">(B4-5435.3)/2341.1</f>
        <v>0.36209474178804829</v>
      </c>
      <c r="C14" s="2">
        <f t="shared" si="2"/>
        <v>0.49066678057323476</v>
      </c>
      <c r="D14" s="2">
        <f t="shared" si="2"/>
        <v>0.3996839092734184</v>
      </c>
      <c r="E14" s="2">
        <f t="shared" si="2"/>
        <v>1.1369441715432915</v>
      </c>
      <c r="F14" s="2">
        <f t="shared" si="2"/>
        <v>0.87381999914570074</v>
      </c>
      <c r="G14" s="2">
        <f t="shared" si="2"/>
        <v>0.34415445730639438</v>
      </c>
      <c r="H14" s="2">
        <f t="shared" si="2"/>
        <v>0.13655973687582754</v>
      </c>
      <c r="I14" s="2">
        <f t="shared" si="2"/>
        <v>0.44069027380291309</v>
      </c>
      <c r="J14" s="2">
        <f t="shared" si="2"/>
        <v>5.134637563538508</v>
      </c>
      <c r="K14" s="2">
        <f t="shared" si="2"/>
        <v>5.4024603818717702</v>
      </c>
      <c r="L14" s="2">
        <f t="shared" si="2"/>
        <v>4.923625646063817</v>
      </c>
      <c r="M14" s="2">
        <f t="shared" si="2"/>
        <v>4.7959079065396617</v>
      </c>
    </row>
    <row r="15" spans="1:17" x14ac:dyDescent="0.3">
      <c r="A15" s="4" t="s">
        <v>29</v>
      </c>
      <c r="B15" s="2">
        <f t="shared" ref="B15:M15" si="3">(B5-5435.3)/2341.1</f>
        <v>0.70979454102772199</v>
      </c>
      <c r="C15" s="2">
        <f t="shared" si="3"/>
        <v>0.97249156379479729</v>
      </c>
      <c r="D15" s="2">
        <f t="shared" si="3"/>
        <v>0.83324078424672154</v>
      </c>
      <c r="E15" s="2">
        <f t="shared" si="3"/>
        <v>0.4466703686301311</v>
      </c>
      <c r="F15" s="2">
        <f t="shared" si="3"/>
        <v>0.63333475716543497</v>
      </c>
      <c r="G15" s="2">
        <f t="shared" si="3"/>
        <v>0.43385587971466399</v>
      </c>
      <c r="H15" s="2">
        <f t="shared" si="3"/>
        <v>1.1010636025799838</v>
      </c>
      <c r="I15" s="2">
        <f t="shared" si="3"/>
        <v>0.14681132800820121</v>
      </c>
      <c r="J15" s="2">
        <f t="shared" si="3"/>
        <v>0.82896928794156588</v>
      </c>
      <c r="K15" s="2">
        <f t="shared" si="3"/>
        <v>0.69868865063431718</v>
      </c>
      <c r="L15" s="2">
        <f t="shared" si="3"/>
        <v>0.6952714535901926</v>
      </c>
      <c r="M15" s="2">
        <f t="shared" si="3"/>
        <v>0.67562257058647635</v>
      </c>
    </row>
    <row r="16" spans="1:17" x14ac:dyDescent="0.3">
      <c r="A16" s="4" t="s">
        <v>30</v>
      </c>
      <c r="B16" s="2">
        <f t="shared" ref="B16:M16" si="4">(B6-5435.3)/2341.1</f>
        <v>1.3526547349536542</v>
      </c>
      <c r="C16" s="2">
        <f t="shared" si="4"/>
        <v>0.80334031011063167</v>
      </c>
      <c r="D16" s="2">
        <f t="shared" si="4"/>
        <v>0.6034342830293451</v>
      </c>
      <c r="E16" s="2">
        <f t="shared" si="4"/>
        <v>0.84135662722651738</v>
      </c>
      <c r="F16" s="2">
        <f t="shared" si="4"/>
        <v>0.400111058903934</v>
      </c>
      <c r="G16" s="2">
        <f t="shared" si="4"/>
        <v>-0.19917987270941021</v>
      </c>
      <c r="H16" s="2">
        <f t="shared" si="4"/>
        <v>0.10067916791251968</v>
      </c>
      <c r="I16" s="2">
        <f t="shared" si="4"/>
        <v>-0.15603776002733766</v>
      </c>
      <c r="J16" s="2">
        <f t="shared" si="4"/>
        <v>9.6834821237879551E-2</v>
      </c>
      <c r="K16" s="2">
        <f t="shared" si="4"/>
        <v>0.58634829780872233</v>
      </c>
      <c r="L16" s="2">
        <f t="shared" si="4"/>
        <v>0.6294904104907949</v>
      </c>
      <c r="M16" s="2">
        <f t="shared" si="4"/>
        <v>0.41805134338558791</v>
      </c>
    </row>
    <row r="17" spans="1:27" x14ac:dyDescent="0.3">
      <c r="A17" s="4" t="s">
        <v>31</v>
      </c>
      <c r="B17" s="2">
        <f t="shared" ref="B17:M17" si="5">(B7-5435.3)/2341.1</f>
        <v>10.882362991756013</v>
      </c>
      <c r="C17" s="2">
        <f t="shared" si="5"/>
        <v>8.2600914100209302</v>
      </c>
      <c r="D17" s="2">
        <f t="shared" si="5"/>
        <v>10.345008756567426</v>
      </c>
      <c r="E17" s="2">
        <f t="shared" si="5"/>
        <v>4.3380035026269708</v>
      </c>
      <c r="F17" s="2">
        <f t="shared" si="5"/>
        <v>5.3879372944342405</v>
      </c>
      <c r="G17" s="2">
        <f t="shared" si="5"/>
        <v>5.3862286959121786</v>
      </c>
      <c r="H17" s="2">
        <f t="shared" si="5"/>
        <v>8.3194652086625958</v>
      </c>
      <c r="I17" s="2">
        <f t="shared" si="5"/>
        <v>4.9774464995087788</v>
      </c>
      <c r="J17" s="2">
        <f t="shared" si="5"/>
        <v>6.6540087992823889</v>
      </c>
      <c r="K17" s="2">
        <f t="shared" si="5"/>
        <v>4.7109051300670632</v>
      </c>
      <c r="L17" s="2">
        <f t="shared" si="5"/>
        <v>7.8201272905898946</v>
      </c>
      <c r="M17" s="2">
        <f t="shared" si="5"/>
        <v>5.4297979582247669</v>
      </c>
    </row>
    <row r="18" spans="1:27" x14ac:dyDescent="0.3">
      <c r="A18" s="4" t="s">
        <v>32</v>
      </c>
      <c r="B18" s="2">
        <f t="shared" ref="B18:M18" si="6">(B8-5435.3)/2341.1</f>
        <v>11.500021357481527</v>
      </c>
      <c r="C18" s="2">
        <f t="shared" si="6"/>
        <v>11.992952031096493</v>
      </c>
      <c r="D18" s="2">
        <f t="shared" si="6"/>
        <v>10.393276664815685</v>
      </c>
      <c r="E18" s="2">
        <f t="shared" si="6"/>
        <v>9.2211780786809623</v>
      </c>
      <c r="F18" s="2">
        <f t="shared" si="6"/>
        <v>2.9642902908888984</v>
      </c>
      <c r="G18" s="2">
        <f t="shared" si="6"/>
        <v>1.2740592029387894</v>
      </c>
      <c r="H18" s="2">
        <f t="shared" si="6"/>
        <v>2.8510956388022723</v>
      </c>
      <c r="I18" s="2">
        <f t="shared" si="6"/>
        <v>1.4150185810089273</v>
      </c>
      <c r="J18" s="2">
        <f t="shared" si="6"/>
        <v>-0.53876382896928809</v>
      </c>
      <c r="K18" s="2">
        <f t="shared" si="6"/>
        <v>-0.48366152663277956</v>
      </c>
      <c r="L18" s="2">
        <f t="shared" si="6"/>
        <v>-0.35209944043398411</v>
      </c>
      <c r="M18" s="2">
        <f t="shared" si="6"/>
        <v>-3.1181923027637361E-3</v>
      </c>
    </row>
    <row r="19" spans="1:27" x14ac:dyDescent="0.3">
      <c r="A19" s="4" t="s">
        <v>33</v>
      </c>
      <c r="B19" s="2">
        <f t="shared" ref="B19:M19" si="7">(B9-5435.3)/2341.1</f>
        <v>-6.291914057494348E-2</v>
      </c>
      <c r="C19" s="2">
        <f t="shared" si="7"/>
        <v>0.12032805091623588</v>
      </c>
      <c r="D19" s="2">
        <f t="shared" si="7"/>
        <v>-7.389688607919432E-3</v>
      </c>
      <c r="E19" s="2">
        <f t="shared" si="7"/>
        <v>1.6957840331468035E-2</v>
      </c>
      <c r="F19" s="2">
        <f t="shared" si="7"/>
        <v>3.8742471487762088E-2</v>
      </c>
      <c r="G19" s="2">
        <f t="shared" si="7"/>
        <v>-2.4902823459057786E-2</v>
      </c>
      <c r="H19" s="2">
        <f t="shared" si="7"/>
        <v>-0.12870018367434122</v>
      </c>
      <c r="I19" s="2">
        <f t="shared" si="7"/>
        <v>-0.2231002520182821</v>
      </c>
      <c r="J19" s="2">
        <f t="shared" si="7"/>
        <v>-6.975353466319259E-2</v>
      </c>
      <c r="K19" s="2">
        <f t="shared" si="7"/>
        <v>0.18012899918841563</v>
      </c>
      <c r="L19" s="2">
        <f t="shared" si="7"/>
        <v>7.4195890820554361E-2</v>
      </c>
      <c r="M19" s="2">
        <f t="shared" si="7"/>
        <v>8.6583230105505879E-2</v>
      </c>
    </row>
    <row r="21" spans="1:27" ht="27.95" x14ac:dyDescent="0.3">
      <c r="A21" s="3" t="s">
        <v>35</v>
      </c>
      <c r="B21" s="4">
        <v>1</v>
      </c>
      <c r="C21" s="4">
        <v>2</v>
      </c>
      <c r="D21" s="4">
        <v>3</v>
      </c>
      <c r="E21" s="4">
        <v>4</v>
      </c>
      <c r="F21" s="4">
        <v>5</v>
      </c>
      <c r="G21" s="4">
        <v>6</v>
      </c>
      <c r="H21" s="4">
        <v>7</v>
      </c>
      <c r="I21" s="4">
        <v>8</v>
      </c>
      <c r="J21" s="4">
        <v>9</v>
      </c>
      <c r="K21" s="4">
        <v>10</v>
      </c>
      <c r="L21" s="4">
        <v>11</v>
      </c>
      <c r="M21" s="4">
        <v>12</v>
      </c>
      <c r="O21" s="3" t="s">
        <v>35</v>
      </c>
      <c r="P21" s="4">
        <v>1</v>
      </c>
      <c r="Q21" s="4">
        <v>2</v>
      </c>
      <c r="R21" s="4">
        <v>3</v>
      </c>
      <c r="S21" s="4">
        <v>4</v>
      </c>
      <c r="T21" s="4">
        <v>5</v>
      </c>
      <c r="U21" s="4">
        <v>6</v>
      </c>
      <c r="V21" s="4">
        <v>7</v>
      </c>
      <c r="W21" s="4">
        <v>8</v>
      </c>
      <c r="X21" s="4">
        <v>9</v>
      </c>
      <c r="Y21" s="4">
        <v>10</v>
      </c>
      <c r="Z21" s="4">
        <v>11</v>
      </c>
      <c r="AA21" s="4">
        <v>12</v>
      </c>
    </row>
    <row r="22" spans="1:27" x14ac:dyDescent="0.3">
      <c r="A22" s="4" t="s">
        <v>25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O22" s="4" t="s">
        <v>25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3">
      <c r="A23" s="4" t="s">
        <v>27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O23" s="4" t="s">
        <v>27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3">
      <c r="A24" s="4" t="s">
        <v>28</v>
      </c>
      <c r="B24" s="2">
        <f>B14*1000/6.666</f>
        <v>54.319643232530495</v>
      </c>
      <c r="C24" s="2">
        <f t="shared" ref="C24:M24" si="8">C14*1000/6.666</f>
        <v>73.607377823767578</v>
      </c>
      <c r="D24" s="2">
        <f t="shared" si="8"/>
        <v>59.958582249237679</v>
      </c>
      <c r="E24" s="2">
        <f t="shared" si="8"/>
        <v>170.55868159965368</v>
      </c>
      <c r="F24" s="2">
        <f t="shared" si="8"/>
        <v>131.08610848270337</v>
      </c>
      <c r="G24" s="2">
        <f t="shared" si="8"/>
        <v>51.628331429102062</v>
      </c>
      <c r="H24" s="2">
        <f t="shared" si="8"/>
        <v>20.486009132287357</v>
      </c>
      <c r="I24" s="2">
        <f t="shared" si="8"/>
        <v>66.110152085645524</v>
      </c>
      <c r="J24" s="2">
        <f t="shared" si="8"/>
        <v>770.27266179695596</v>
      </c>
      <c r="K24" s="2">
        <f t="shared" si="8"/>
        <v>810.45010229099466</v>
      </c>
      <c r="L24" s="2">
        <f t="shared" si="8"/>
        <v>738.6177086804405</v>
      </c>
      <c r="M24" s="2">
        <f t="shared" si="8"/>
        <v>719.45813179412869</v>
      </c>
      <c r="O24" s="4" t="s">
        <v>28</v>
      </c>
      <c r="P24" s="2">
        <v>54.319643232530503</v>
      </c>
      <c r="Q24" s="2">
        <v>73.607377823767578</v>
      </c>
      <c r="R24" s="2">
        <v>59.958582249237679</v>
      </c>
      <c r="S24" s="2">
        <v>170.55868159965368</v>
      </c>
      <c r="T24" s="2">
        <v>131.08610848270337</v>
      </c>
      <c r="U24" s="2">
        <v>51.628331429102062</v>
      </c>
      <c r="V24" s="2">
        <v>20.486009132287357</v>
      </c>
      <c r="W24" s="2">
        <v>66.110152085645524</v>
      </c>
      <c r="X24" s="2">
        <v>770.27266179695596</v>
      </c>
      <c r="Y24" s="2">
        <v>810.45010229099466</v>
      </c>
      <c r="Z24" s="2">
        <v>738.6177086804405</v>
      </c>
      <c r="AA24" s="2">
        <v>719.45813179412869</v>
      </c>
    </row>
    <row r="25" spans="1:27" x14ac:dyDescent="0.3">
      <c r="A25" s="4" t="s">
        <v>29</v>
      </c>
      <c r="B25" s="2">
        <f t="shared" ref="B25:M25" si="9">B15*1000/6.666</f>
        <v>106.47982913707199</v>
      </c>
      <c r="C25" s="2">
        <f t="shared" si="9"/>
        <v>145.88832340155975</v>
      </c>
      <c r="D25" s="2">
        <f t="shared" si="9"/>
        <v>124.99861749875809</v>
      </c>
      <c r="E25" s="2">
        <f t="shared" si="9"/>
        <v>67.007256020121673</v>
      </c>
      <c r="F25" s="2">
        <f t="shared" si="9"/>
        <v>95.009714546269876</v>
      </c>
      <c r="G25" s="2">
        <f t="shared" si="9"/>
        <v>65.084890446244216</v>
      </c>
      <c r="H25" s="2">
        <f t="shared" si="9"/>
        <v>165.17605799279684</v>
      </c>
      <c r="I25" s="2">
        <f t="shared" si="9"/>
        <v>22.023901591389318</v>
      </c>
      <c r="J25" s="2">
        <f t="shared" si="9"/>
        <v>124.35782897413229</v>
      </c>
      <c r="K25" s="2">
        <f t="shared" si="9"/>
        <v>104.81377897304486</v>
      </c>
      <c r="L25" s="2">
        <f t="shared" si="9"/>
        <v>104.30114815334422</v>
      </c>
      <c r="M25" s="2">
        <f t="shared" si="9"/>
        <v>101.35352094006547</v>
      </c>
      <c r="O25" s="4" t="s">
        <v>29</v>
      </c>
      <c r="P25" s="2">
        <v>106.47982913707199</v>
      </c>
      <c r="Q25" s="2">
        <v>145.88832340155975</v>
      </c>
      <c r="R25" s="2">
        <v>124.99861749875809</v>
      </c>
      <c r="S25" s="2">
        <v>67.007256020121673</v>
      </c>
      <c r="T25" s="2">
        <v>95.009714546269876</v>
      </c>
      <c r="U25" s="2">
        <v>65.084890446244216</v>
      </c>
      <c r="V25" s="2">
        <v>165.17605799279684</v>
      </c>
      <c r="W25" s="2">
        <v>22.023901591389318</v>
      </c>
      <c r="X25" s="2">
        <v>124.35782897413229</v>
      </c>
      <c r="Y25" s="2">
        <v>104.81377897304486</v>
      </c>
      <c r="Z25" s="2">
        <v>104.30114815334422</v>
      </c>
      <c r="AA25" s="2">
        <v>101.35352094006547</v>
      </c>
    </row>
    <row r="26" spans="1:27" x14ac:dyDescent="0.3">
      <c r="A26" s="4" t="s">
        <v>30</v>
      </c>
      <c r="B26" s="2">
        <f t="shared" ref="B26:M26" si="10">B16*1000/6.666</f>
        <v>202.91850209325744</v>
      </c>
      <c r="C26" s="2">
        <f t="shared" si="10"/>
        <v>120.51309782637738</v>
      </c>
      <c r="D26" s="2">
        <f t="shared" si="10"/>
        <v>90.524194873889158</v>
      </c>
      <c r="E26" s="2">
        <f t="shared" si="10"/>
        <v>126.21611569554716</v>
      </c>
      <c r="F26" s="2">
        <f t="shared" si="10"/>
        <v>60.022661101700265</v>
      </c>
      <c r="G26" s="2">
        <f t="shared" si="10"/>
        <v>-29.879968903301858</v>
      </c>
      <c r="H26" s="2">
        <f t="shared" si="10"/>
        <v>15.103385525430495</v>
      </c>
      <c r="I26" s="2">
        <f t="shared" si="10"/>
        <v>-23.408004804581108</v>
      </c>
      <c r="J26" s="2">
        <f t="shared" si="10"/>
        <v>14.526675853267259</v>
      </c>
      <c r="K26" s="2">
        <f t="shared" si="10"/>
        <v>87.961040775385882</v>
      </c>
      <c r="L26" s="2">
        <f t="shared" si="10"/>
        <v>94.433004874106643</v>
      </c>
      <c r="M26" s="2">
        <f t="shared" si="10"/>
        <v>62.713972905128699</v>
      </c>
      <c r="O26" s="4" t="s">
        <v>30</v>
      </c>
      <c r="P26" s="2">
        <v>202.91850209325744</v>
      </c>
      <c r="Q26" s="2">
        <v>120.51309782637738</v>
      </c>
      <c r="R26" s="2">
        <v>90.524194873889158</v>
      </c>
      <c r="S26" s="2">
        <v>126.21611569554716</v>
      </c>
      <c r="T26" s="2">
        <v>60.022661101700265</v>
      </c>
      <c r="U26" s="2">
        <v>-29.879968903301858</v>
      </c>
      <c r="V26" s="2">
        <v>15.103385525430495</v>
      </c>
      <c r="W26" s="2">
        <v>-23.408004804581108</v>
      </c>
      <c r="X26" s="2">
        <v>14.526675853267259</v>
      </c>
      <c r="Y26" s="2">
        <v>87.961040775385882</v>
      </c>
      <c r="Z26" s="2">
        <v>94.433004874106643</v>
      </c>
      <c r="AA26" s="2">
        <v>62.713972905128699</v>
      </c>
    </row>
    <row r="27" spans="1:27" x14ac:dyDescent="0.3">
      <c r="A27" s="4" t="s">
        <v>31</v>
      </c>
      <c r="B27" s="2">
        <f t="shared" ref="B27:M27" si="11">B17*1000/6.666</f>
        <v>1632.5177005334554</v>
      </c>
      <c r="C27" s="2">
        <f t="shared" si="11"/>
        <v>1239.137625265666</v>
      </c>
      <c r="D27" s="2">
        <f t="shared" si="11"/>
        <v>1551.9065041355273</v>
      </c>
      <c r="E27" s="2">
        <f t="shared" si="11"/>
        <v>650.76560195424099</v>
      </c>
      <c r="F27" s="2">
        <f t="shared" si="11"/>
        <v>808.27142130726679</v>
      </c>
      <c r="G27" s="2">
        <f t="shared" si="11"/>
        <v>808.01510589741645</v>
      </c>
      <c r="H27" s="2">
        <f t="shared" si="11"/>
        <v>1248.044585757965</v>
      </c>
      <c r="I27" s="2">
        <f t="shared" si="11"/>
        <v>746.69164409072596</v>
      </c>
      <c r="J27" s="2">
        <f t="shared" si="11"/>
        <v>998.20114000635897</v>
      </c>
      <c r="K27" s="2">
        <f t="shared" si="11"/>
        <v>706.70644015407493</v>
      </c>
      <c r="L27" s="2">
        <f t="shared" si="11"/>
        <v>1173.1364072292072</v>
      </c>
      <c r="M27" s="2">
        <f t="shared" si="11"/>
        <v>814.55114884859984</v>
      </c>
      <c r="O27" s="4" t="s">
        <v>31</v>
      </c>
      <c r="P27" s="2">
        <v>1632.5177005334554</v>
      </c>
      <c r="Q27" s="2">
        <v>1239.137625265666</v>
      </c>
      <c r="R27" s="2">
        <v>1551.9065041355273</v>
      </c>
      <c r="S27" s="2">
        <v>650.76560195424099</v>
      </c>
      <c r="T27" s="2">
        <v>808.27142130726679</v>
      </c>
      <c r="U27" s="2">
        <v>808.01510589741645</v>
      </c>
      <c r="V27" s="2">
        <v>1248.044585757965</v>
      </c>
      <c r="W27" s="2">
        <v>746.69164409072596</v>
      </c>
      <c r="X27" s="2">
        <v>998.20114000635897</v>
      </c>
      <c r="Y27" s="2">
        <v>706.70644015407493</v>
      </c>
      <c r="Z27" s="2">
        <v>1173.1364072292072</v>
      </c>
      <c r="AA27" s="2">
        <v>814.55114884859984</v>
      </c>
    </row>
    <row r="28" spans="1:27" x14ac:dyDescent="0.3">
      <c r="A28" s="4" t="s">
        <v>32</v>
      </c>
      <c r="B28" s="2">
        <f t="shared" ref="B28:M28" si="12">B18*1000/6.666</f>
        <v>1725.1757211943486</v>
      </c>
      <c r="C28" s="2">
        <f t="shared" si="12"/>
        <v>1799.1227169361673</v>
      </c>
      <c r="D28" s="2">
        <f t="shared" si="12"/>
        <v>1559.1474144637991</v>
      </c>
      <c r="E28" s="2">
        <f t="shared" si="12"/>
        <v>1383.315043306475</v>
      </c>
      <c r="F28" s="2">
        <f t="shared" si="12"/>
        <v>444.68801243457818</v>
      </c>
      <c r="G28" s="2">
        <f t="shared" si="12"/>
        <v>191.12799324014242</v>
      </c>
      <c r="H28" s="2">
        <f t="shared" si="12"/>
        <v>427.70711653199402</v>
      </c>
      <c r="I28" s="2">
        <f t="shared" si="12"/>
        <v>212.27401455279437</v>
      </c>
      <c r="J28" s="2">
        <f t="shared" si="12"/>
        <v>-80.822656611054313</v>
      </c>
      <c r="K28" s="2">
        <f t="shared" si="12"/>
        <v>-72.556484643381268</v>
      </c>
      <c r="L28" s="2">
        <f t="shared" si="12"/>
        <v>-52.820198084906103</v>
      </c>
      <c r="M28" s="2">
        <f t="shared" si="12"/>
        <v>-0.46777562297685804</v>
      </c>
      <c r="O28" s="4" t="s">
        <v>32</v>
      </c>
      <c r="P28" s="2">
        <v>1725.1757211943486</v>
      </c>
      <c r="Q28" s="2">
        <v>1799.1227169361673</v>
      </c>
      <c r="R28" s="2">
        <v>1559.1474144637991</v>
      </c>
      <c r="S28" s="2">
        <v>1383.315043306475</v>
      </c>
      <c r="T28" s="2">
        <v>444.68801243457818</v>
      </c>
      <c r="U28" s="2">
        <v>191.12799324014242</v>
      </c>
      <c r="V28" s="2">
        <v>427.70711653199402</v>
      </c>
      <c r="W28" s="2">
        <v>212.27401455279437</v>
      </c>
      <c r="X28" s="2">
        <v>-80.822656611054313</v>
      </c>
      <c r="Y28" s="2">
        <v>-72.556484643381268</v>
      </c>
      <c r="Z28" s="2">
        <v>-52.820198084906103</v>
      </c>
      <c r="AA28" s="2">
        <v>-0.46777562297685804</v>
      </c>
    </row>
    <row r="29" spans="1:27" x14ac:dyDescent="0.3">
      <c r="A29" s="4" t="s">
        <v>33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O29" s="4" t="s">
        <v>33</v>
      </c>
      <c r="P29" s="2">
        <v>-9.4388149677382955</v>
      </c>
      <c r="Q29" s="2">
        <v>18.051012738709254</v>
      </c>
      <c r="R29" s="2">
        <v>-1.1085641476026749</v>
      </c>
      <c r="S29" s="2">
        <v>2.5439304427644815</v>
      </c>
      <c r="T29" s="2">
        <v>5.811951918356149</v>
      </c>
      <c r="U29" s="2">
        <v>-3.7357970985685243</v>
      </c>
      <c r="V29" s="2">
        <v>-19.306958246975878</v>
      </c>
      <c r="W29" s="2">
        <v>-33.468384641206434</v>
      </c>
      <c r="X29" s="2">
        <v>-10.464076607139603</v>
      </c>
      <c r="Y29" s="2">
        <v>27.02205208347069</v>
      </c>
      <c r="Z29" s="2">
        <v>11.13049667275043</v>
      </c>
      <c r="AA29" s="2">
        <v>12.988783394165297</v>
      </c>
    </row>
    <row r="30" spans="1:27" x14ac:dyDescent="0.3">
      <c r="B30" s="7" t="s">
        <v>36</v>
      </c>
    </row>
    <row r="31" spans="1:27" x14ac:dyDescent="0.3">
      <c r="B31" s="7" t="s">
        <v>37</v>
      </c>
    </row>
    <row r="35" spans="1:16" x14ac:dyDescent="0.3">
      <c r="B35" s="9" t="s">
        <v>38</v>
      </c>
      <c r="C35" s="9"/>
      <c r="D35" s="9"/>
      <c r="E35" s="9"/>
      <c r="F35" s="9"/>
      <c r="G35" s="9" t="s">
        <v>39</v>
      </c>
      <c r="H35" s="9"/>
      <c r="I35" s="9"/>
      <c r="J35" s="9"/>
      <c r="K35" s="9"/>
      <c r="L35" s="9" t="s">
        <v>40</v>
      </c>
      <c r="M35" s="9"/>
      <c r="N35" s="9"/>
      <c r="O35" s="9"/>
      <c r="P35" s="9"/>
    </row>
    <row r="36" spans="1:16" x14ac:dyDescent="0.3"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41</v>
      </c>
      <c r="H36" t="s">
        <v>42</v>
      </c>
      <c r="I36" t="s">
        <v>43</v>
      </c>
      <c r="J36" t="s">
        <v>44</v>
      </c>
      <c r="K36" t="s">
        <v>45</v>
      </c>
      <c r="L36" t="s">
        <v>41</v>
      </c>
      <c r="M36" t="s">
        <v>42</v>
      </c>
      <c r="N36" t="s">
        <v>43</v>
      </c>
      <c r="O36" t="s">
        <v>44</v>
      </c>
      <c r="P36" t="s">
        <v>45</v>
      </c>
    </row>
    <row r="37" spans="1:16" x14ac:dyDescent="0.3">
      <c r="B37" s="2">
        <v>-55.313594701297589</v>
      </c>
      <c r="C37" s="2">
        <v>0.25257349178673449</v>
      </c>
      <c r="D37" s="2">
        <v>102.98854785369325</v>
      </c>
      <c r="E37" s="2">
        <v>1625.9384402218889</v>
      </c>
      <c r="F37" s="2">
        <v>1724.6468913363854</v>
      </c>
      <c r="G37" s="2">
        <v>26.465606152897763</v>
      </c>
      <c r="H37" s="2">
        <v>-11.966522462220752</v>
      </c>
      <c r="I37" s="2">
        <v>-49.238178277237999</v>
      </c>
      <c r="J37" s="2">
        <v>747.87010918055773</v>
      </c>
      <c r="K37" s="2">
        <v>360.5452463702868</v>
      </c>
      <c r="L37" s="2">
        <v>707.39008738878988</v>
      </c>
      <c r="M37" s="2">
        <v>19.297980034625223</v>
      </c>
      <c r="N37" s="2">
        <v>-97.704983457938084</v>
      </c>
      <c r="O37" s="2">
        <v>950.2019550335084</v>
      </c>
      <c r="P37" s="2">
        <v>-199.28048501974334</v>
      </c>
    </row>
    <row r="38" spans="1:16" x14ac:dyDescent="0.3">
      <c r="B38" s="2">
        <v>-34.766399828916285</v>
      </c>
      <c r="C38" s="2">
        <v>42.234383613097371</v>
      </c>
      <c r="D38" s="2">
        <v>15.202193681326619</v>
      </c>
      <c r="E38" s="2">
        <v>1206.8712331735539</v>
      </c>
      <c r="F38" s="2">
        <v>1803.4225155314948</v>
      </c>
      <c r="G38" s="2">
        <v>-58.180645148606608</v>
      </c>
      <c r="H38" s="2">
        <v>-43.845392912061513</v>
      </c>
      <c r="I38" s="2">
        <v>-145.01131583853689</v>
      </c>
      <c r="J38" s="2">
        <v>747.59705675700434</v>
      </c>
      <c r="K38" s="2">
        <v>90.428136370244232</v>
      </c>
      <c r="L38" s="2">
        <v>750.19105478076017</v>
      </c>
      <c r="M38" s="2">
        <v>-1.5222672613093251</v>
      </c>
      <c r="N38" s="2">
        <v>-19.475464109934851</v>
      </c>
      <c r="O38" s="2">
        <v>639.67308634758638</v>
      </c>
      <c r="P38" s="2">
        <v>-190.47454436015133</v>
      </c>
    </row>
    <row r="39" spans="1:16" x14ac:dyDescent="0.3">
      <c r="B39" s="2">
        <v>-49.306441383126312</v>
      </c>
      <c r="C39" s="2">
        <v>19.980611093508319</v>
      </c>
      <c r="D39" s="2">
        <v>-16.744939874402451</v>
      </c>
      <c r="E39" s="2">
        <v>1540.063453014395</v>
      </c>
      <c r="F39" s="2">
        <v>1547.7771839797742</v>
      </c>
      <c r="G39" s="2">
        <v>-91.356514610325263</v>
      </c>
      <c r="H39" s="2">
        <v>62.781578485478676</v>
      </c>
      <c r="I39" s="2">
        <v>-97.090615504943301</v>
      </c>
      <c r="J39" s="2">
        <v>1216.3598048920292</v>
      </c>
      <c r="K39" s="2">
        <v>342.45552330988465</v>
      </c>
      <c r="L39" s="2">
        <v>673.66811307996466</v>
      </c>
      <c r="M39" s="2">
        <v>-2.0683721084158049</v>
      </c>
      <c r="N39" s="2">
        <v>-12.58089041521554</v>
      </c>
      <c r="O39" s="2">
        <v>1136.5602341085948</v>
      </c>
      <c r="P39" s="2">
        <v>-169.44950774655189</v>
      </c>
    </row>
    <row r="40" spans="1:16" x14ac:dyDescent="0.3">
      <c r="B40" s="2">
        <v>68.515679380096714</v>
      </c>
      <c r="C40" s="2">
        <v>-41.797499735412217</v>
      </c>
      <c r="D40" s="2">
        <v>21.277610105386209</v>
      </c>
      <c r="E40" s="2"/>
      <c r="F40" s="2">
        <v>1360.4632214222513</v>
      </c>
      <c r="G40" s="2">
        <v>-42.753183217848544</v>
      </c>
      <c r="H40" s="2">
        <v>-89.718200069005832</v>
      </c>
      <c r="I40" s="2">
        <v>-138.11674214381759</v>
      </c>
      <c r="J40" s="2">
        <v>682.26926442189176</v>
      </c>
      <c r="K40" s="2">
        <v>112.95496131338652</v>
      </c>
      <c r="L40" s="2">
        <v>653.25744441936001</v>
      </c>
      <c r="M40" s="2">
        <v>-5.2084749792780638</v>
      </c>
      <c r="N40" s="2">
        <v>-46.37112782992898</v>
      </c>
      <c r="O40" s="2">
        <v>754.5598935576121</v>
      </c>
      <c r="P40" s="2">
        <v>-113.67855023580263</v>
      </c>
    </row>
    <row r="41" spans="1:16" x14ac:dyDescent="0.3">
      <c r="A41" t="s">
        <v>46</v>
      </c>
      <c r="B41">
        <f>AVERAGE(B37:B40)</f>
        <v>-17.717689133310863</v>
      </c>
      <c r="C41">
        <f t="shared" ref="C41:P41" si="13">AVERAGE(C37:C40)</f>
        <v>5.1675171157450528</v>
      </c>
      <c r="D41">
        <f t="shared" si="13"/>
        <v>30.680852941500909</v>
      </c>
      <c r="E41">
        <f t="shared" si="13"/>
        <v>1457.624375469946</v>
      </c>
      <c r="F41">
        <f t="shared" si="13"/>
        <v>1609.0774530674764</v>
      </c>
      <c r="G41">
        <f t="shared" si="13"/>
        <v>-41.456184205970665</v>
      </c>
      <c r="H41">
        <f t="shared" si="13"/>
        <v>-20.687134239452355</v>
      </c>
      <c r="I41">
        <f t="shared" si="13"/>
        <v>-107.36421294113394</v>
      </c>
      <c r="J41">
        <f t="shared" si="13"/>
        <v>848.52405881287075</v>
      </c>
      <c r="K41">
        <f t="shared" si="13"/>
        <v>226.59596684095055</v>
      </c>
      <c r="L41">
        <f t="shared" si="13"/>
        <v>696.12667491721868</v>
      </c>
      <c r="M41">
        <f t="shared" si="13"/>
        <v>2.6247164214055076</v>
      </c>
      <c r="N41">
        <f t="shared" si="13"/>
        <v>-44.033116453254365</v>
      </c>
      <c r="O41">
        <f t="shared" si="13"/>
        <v>870.24879226182554</v>
      </c>
      <c r="P41">
        <f t="shared" si="13"/>
        <v>-168.22077184056229</v>
      </c>
    </row>
    <row r="42" spans="1:16" x14ac:dyDescent="0.3">
      <c r="A42" t="s">
        <v>47</v>
      </c>
      <c r="B42">
        <f>STDEV(B37:B40)</f>
        <v>58.132474474911753</v>
      </c>
      <c r="C42">
        <f t="shared" ref="C42:P42" si="14">STDEV(C37:C40)</f>
        <v>35.698972085027698</v>
      </c>
      <c r="D42">
        <f t="shared" si="14"/>
        <v>51.008556262844102</v>
      </c>
      <c r="E42">
        <f t="shared" si="14"/>
        <v>221.36278398955938</v>
      </c>
      <c r="F42">
        <f t="shared" si="14"/>
        <v>197.22496252816256</v>
      </c>
      <c r="G42">
        <f t="shared" si="14"/>
        <v>49.61452200138045</v>
      </c>
      <c r="H42">
        <f t="shared" si="14"/>
        <v>64.147403345830185</v>
      </c>
      <c r="I42">
        <f t="shared" si="14"/>
        <v>44.148254472700266</v>
      </c>
      <c r="J42">
        <f t="shared" si="14"/>
        <v>247.15802642045756</v>
      </c>
      <c r="K42">
        <f t="shared" si="14"/>
        <v>144.70867574086134</v>
      </c>
      <c r="L42">
        <f t="shared" si="14"/>
        <v>42.394887875034939</v>
      </c>
      <c r="M42">
        <f t="shared" si="14"/>
        <v>11.23356815752239</v>
      </c>
      <c r="N42">
        <f t="shared" si="14"/>
        <v>38.637013412569161</v>
      </c>
      <c r="O42">
        <f t="shared" si="14"/>
        <v>218.98506017301915</v>
      </c>
      <c r="P42">
        <f t="shared" si="14"/>
        <v>38.454734878104837</v>
      </c>
    </row>
    <row r="45" spans="1:16" x14ac:dyDescent="0.3">
      <c r="B45" s="9" t="s">
        <v>38</v>
      </c>
      <c r="C45" s="9"/>
      <c r="D45" s="9"/>
      <c r="E45" s="9"/>
      <c r="F45" s="9"/>
      <c r="G45" s="9" t="s">
        <v>39</v>
      </c>
      <c r="H45" s="9"/>
      <c r="I45" s="9"/>
      <c r="J45" s="9"/>
      <c r="K45" s="9"/>
      <c r="L45" s="9" t="s">
        <v>40</v>
      </c>
      <c r="M45" s="9"/>
      <c r="N45" s="9"/>
      <c r="O45" s="9"/>
      <c r="P45" s="9"/>
    </row>
    <row r="46" spans="1:16" x14ac:dyDescent="0.3">
      <c r="B46" t="s">
        <v>41</v>
      </c>
      <c r="C46" t="s">
        <v>42</v>
      </c>
      <c r="D46" t="s">
        <v>43</v>
      </c>
      <c r="E46" t="s">
        <v>44</v>
      </c>
      <c r="F46" t="s">
        <v>45</v>
      </c>
      <c r="G46" t="s">
        <v>41</v>
      </c>
      <c r="H46" t="s">
        <v>42</v>
      </c>
      <c r="I46" t="s">
        <v>43</v>
      </c>
      <c r="J46" t="s">
        <v>44</v>
      </c>
      <c r="K46" t="s">
        <v>45</v>
      </c>
      <c r="L46" t="s">
        <v>41</v>
      </c>
      <c r="M46" t="s">
        <v>42</v>
      </c>
      <c r="N46" t="s">
        <v>43</v>
      </c>
      <c r="O46" t="s">
        <v>44</v>
      </c>
      <c r="P46" t="s">
        <v>45</v>
      </c>
    </row>
    <row r="47" spans="1:16" x14ac:dyDescent="0.3">
      <c r="B47" s="2">
        <v>54.319643232530503</v>
      </c>
      <c r="C47" s="2">
        <v>106.47982913707199</v>
      </c>
      <c r="D47" s="2">
        <v>202.91850209325744</v>
      </c>
      <c r="E47" s="2">
        <v>1632.5177005334554</v>
      </c>
      <c r="F47" s="2">
        <v>1725.1757211943486</v>
      </c>
      <c r="G47" s="2">
        <v>131.08610848270337</v>
      </c>
      <c r="H47" s="2">
        <v>95.009714546269876</v>
      </c>
      <c r="I47" s="2">
        <v>60.022661101700265</v>
      </c>
      <c r="J47" s="2">
        <v>808.27142130726679</v>
      </c>
      <c r="K47" s="2">
        <v>444.68801243457818</v>
      </c>
      <c r="L47" s="2">
        <v>-80.822656611054313</v>
      </c>
      <c r="M47" s="2">
        <v>124.35782897413229</v>
      </c>
      <c r="N47" s="2">
        <v>14.526675853267259</v>
      </c>
      <c r="O47" s="2">
        <v>998.20114000635897</v>
      </c>
      <c r="P47" s="2">
        <v>770.27266179695596</v>
      </c>
    </row>
    <row r="48" spans="1:16" x14ac:dyDescent="0.3">
      <c r="B48" s="2">
        <v>73.607377823767578</v>
      </c>
      <c r="C48" s="2">
        <v>145.88832340155975</v>
      </c>
      <c r="D48" s="2">
        <v>120.51309782637738</v>
      </c>
      <c r="E48" s="2">
        <v>1239.137625265666</v>
      </c>
      <c r="F48" s="2">
        <v>1799.1227169361673</v>
      </c>
      <c r="G48" s="2">
        <v>51.628331429102062</v>
      </c>
      <c r="H48" s="2">
        <v>65.084890446244216</v>
      </c>
      <c r="I48" s="2"/>
      <c r="J48" s="2">
        <v>808.01510589741645</v>
      </c>
      <c r="K48" s="2">
        <v>191.12799324014242</v>
      </c>
      <c r="L48" s="2">
        <v>-72.556484643381268</v>
      </c>
      <c r="M48" s="2">
        <v>104.81377897304486</v>
      </c>
      <c r="N48" s="2">
        <v>87.961040775385882</v>
      </c>
      <c r="O48" s="2">
        <v>706.70644015407493</v>
      </c>
      <c r="P48" s="2">
        <v>810.45010229099466</v>
      </c>
    </row>
    <row r="49" spans="1:16" x14ac:dyDescent="0.3">
      <c r="B49" s="2">
        <v>59.958582249237679</v>
      </c>
      <c r="C49" s="2">
        <v>124.99861749875809</v>
      </c>
      <c r="D49" s="2">
        <v>90.524194873889158</v>
      </c>
      <c r="E49" s="2">
        <v>1551.9065041355273</v>
      </c>
      <c r="F49" s="2">
        <v>1559.1474144637991</v>
      </c>
      <c r="G49" s="2">
        <v>20.486009132287357</v>
      </c>
      <c r="H49" s="2">
        <v>165.17605799279684</v>
      </c>
      <c r="I49" s="2">
        <v>15.103385525430495</v>
      </c>
      <c r="J49" s="2">
        <v>1248.044585757965</v>
      </c>
      <c r="K49" s="2">
        <v>427.70711653199402</v>
      </c>
      <c r="L49" s="2">
        <v>-52.820198084906103</v>
      </c>
      <c r="M49" s="2">
        <v>104.30114815334422</v>
      </c>
      <c r="N49" s="2">
        <v>94.433004874106643</v>
      </c>
      <c r="O49" s="2">
        <v>1173.1364072292072</v>
      </c>
      <c r="P49" s="2">
        <v>738.6177086804405</v>
      </c>
    </row>
    <row r="50" spans="1:16" x14ac:dyDescent="0.3">
      <c r="B50" s="2">
        <v>170.55868159965368</v>
      </c>
      <c r="C50" s="2">
        <v>67.007256020121673</v>
      </c>
      <c r="D50" s="2">
        <v>126.21611569554716</v>
      </c>
      <c r="E50" s="2"/>
      <c r="F50" s="2">
        <v>1383.315043306475</v>
      </c>
      <c r="G50" s="2">
        <v>66.110152085645524</v>
      </c>
      <c r="H50" s="2">
        <v>22.023901591389318</v>
      </c>
      <c r="I50" s="2"/>
      <c r="J50" s="2">
        <v>746.69164409072596</v>
      </c>
      <c r="K50" s="2">
        <v>212.27401455279437</v>
      </c>
      <c r="L50" s="2">
        <v>-0.46777562297685804</v>
      </c>
      <c r="M50" s="2">
        <v>101.35352094006547</v>
      </c>
      <c r="N50" s="2">
        <v>62.713972905128699</v>
      </c>
      <c r="O50" s="2">
        <v>814.55114884859984</v>
      </c>
      <c r="P50" s="2">
        <v>719.45813179412869</v>
      </c>
    </row>
    <row r="51" spans="1:16" x14ac:dyDescent="0.3">
      <c r="A51" t="s">
        <v>46</v>
      </c>
      <c r="B51">
        <f>AVERAGE(B47:B50)</f>
        <v>89.611071226297355</v>
      </c>
      <c r="C51">
        <f t="shared" ref="C51:O51" si="15">AVERAGE(C47:C50)</f>
        <v>111.09350651437788</v>
      </c>
      <c r="D51">
        <f t="shared" si="15"/>
        <v>135.04297762226778</v>
      </c>
      <c r="E51">
        <f t="shared" si="15"/>
        <v>1474.5206099782163</v>
      </c>
      <c r="F51">
        <f t="shared" si="15"/>
        <v>1616.6902239751976</v>
      </c>
      <c r="G51">
        <f t="shared" si="15"/>
        <v>67.327650282434576</v>
      </c>
      <c r="H51">
        <f t="shared" si="15"/>
        <v>86.82364114417507</v>
      </c>
      <c r="I51">
        <f t="shared" si="15"/>
        <v>37.563023313565381</v>
      </c>
      <c r="J51">
        <f t="shared" si="15"/>
        <v>902.75568926334358</v>
      </c>
      <c r="K51">
        <f t="shared" si="15"/>
        <v>318.94928418987723</v>
      </c>
      <c r="L51">
        <v>5</v>
      </c>
      <c r="M51">
        <f t="shared" si="15"/>
        <v>108.70656926014672</v>
      </c>
      <c r="N51">
        <f t="shared" si="15"/>
        <v>64.908673601972126</v>
      </c>
      <c r="O51">
        <f t="shared" si="15"/>
        <v>923.14878405956028</v>
      </c>
      <c r="P51">
        <f>AVERAGE(P47:P50)</f>
        <v>759.69965114062995</v>
      </c>
    </row>
    <row r="52" spans="1:16" x14ac:dyDescent="0.3">
      <c r="A52" t="s">
        <v>48</v>
      </c>
      <c r="B52">
        <f>STDEV(B47:B50)</f>
        <v>54.569187948428556</v>
      </c>
      <c r="C52">
        <f t="shared" ref="C52:O52" si="16">STDEV(C47:C50)</f>
        <v>33.51076889242529</v>
      </c>
      <c r="D52">
        <f t="shared" si="16"/>
        <v>47.88193722746837</v>
      </c>
      <c r="E52">
        <f t="shared" si="16"/>
        <v>207.79413698494304</v>
      </c>
      <c r="F52">
        <f t="shared" si="16"/>
        <v>185.13586675147948</v>
      </c>
      <c r="G52">
        <f t="shared" si="16"/>
        <v>46.57335165103315</v>
      </c>
      <c r="H52">
        <f t="shared" si="16"/>
        <v>60.215425907819565</v>
      </c>
      <c r="I52">
        <f t="shared" si="16"/>
        <v>31.762724365967618</v>
      </c>
      <c r="J52">
        <f t="shared" si="16"/>
        <v>232.00823495860803</v>
      </c>
      <c r="K52">
        <f t="shared" si="16"/>
        <v>135.83861680753361</v>
      </c>
      <c r="L52">
        <f>STDEV(L47:L50)</f>
        <v>36.097614526557223</v>
      </c>
      <c r="M52">
        <f t="shared" si="16"/>
        <v>10.544995678514889</v>
      </c>
      <c r="N52">
        <f t="shared" si="16"/>
        <v>36.268720121080712</v>
      </c>
      <c r="O52">
        <f t="shared" si="16"/>
        <v>205.56215806083853</v>
      </c>
      <c r="P52">
        <f>STDEV(P47:P50)</f>
        <v>39.796252015794622</v>
      </c>
    </row>
  </sheetData>
  <mergeCells count="6">
    <mergeCell ref="B35:F35"/>
    <mergeCell ref="G35:K35"/>
    <mergeCell ref="L35:P35"/>
    <mergeCell ref="B45:F45"/>
    <mergeCell ref="G45:K45"/>
    <mergeCell ref="L45:P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Chll contamination</vt:lpstr>
      <vt:lpstr>SA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Nunn</dc:creator>
  <cp:lastModifiedBy>Garrett Nunn</cp:lastModifiedBy>
  <cp:lastPrinted>2022-03-25T20:25:10Z</cp:lastPrinted>
  <dcterms:created xsi:type="dcterms:W3CDTF">2015-06-05T18:17:20Z</dcterms:created>
  <dcterms:modified xsi:type="dcterms:W3CDTF">2023-05-31T21:12:57Z</dcterms:modified>
</cp:coreProperties>
</file>