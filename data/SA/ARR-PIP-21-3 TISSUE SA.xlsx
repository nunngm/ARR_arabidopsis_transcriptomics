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racellular SA/"/>
    </mc:Choice>
  </mc:AlternateContent>
  <xr:revisionPtr revIDLastSave="476" documentId="11_060720F1E1752934FAF631F9DA247A8AC2CEDC05" xr6:coauthVersionLast="47" xr6:coauthVersionMax="47" xr10:uidLastSave="{9F51C650-CAF7-468C-ADAC-94C92DD21FFE}"/>
  <bookViews>
    <workbookView xWindow="-107" yWindow="-107" windowWidth="20847" windowHeight="11111" activeTab="1" xr2:uid="{00000000-000D-0000-FFFF-FFFF00000000}"/>
  </bookViews>
  <sheets>
    <sheet name="Sheet1" sheetId="1" r:id="rId1"/>
    <sheet name="Sheet2" sheetId="2" r:id="rId2"/>
    <sheet name="Sheet2 (2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2" l="1"/>
  <c r="C60" i="2"/>
  <c r="E60" i="2"/>
  <c r="F60" i="2"/>
  <c r="G60" i="2"/>
  <c r="H60" i="2"/>
  <c r="I60" i="2"/>
  <c r="J60" i="2"/>
  <c r="K60" i="2"/>
  <c r="L60" i="2"/>
  <c r="M60" i="2"/>
  <c r="B60" i="2"/>
  <c r="C59" i="2"/>
  <c r="E59" i="2"/>
  <c r="F59" i="2"/>
  <c r="G59" i="2"/>
  <c r="H59" i="2"/>
  <c r="I59" i="2"/>
  <c r="J59" i="2"/>
  <c r="K59" i="2"/>
  <c r="L59" i="2"/>
  <c r="M59" i="2"/>
  <c r="B59" i="2"/>
  <c r="B56" i="2"/>
  <c r="E56" i="2"/>
  <c r="F56" i="2"/>
  <c r="G56" i="2"/>
  <c r="H56" i="2"/>
  <c r="I56" i="2"/>
  <c r="J56" i="2"/>
  <c r="K56" i="2"/>
  <c r="L56" i="2"/>
  <c r="M56" i="2"/>
  <c r="B57" i="2"/>
  <c r="C57" i="2"/>
  <c r="D57" i="2"/>
  <c r="E57" i="2"/>
  <c r="G57" i="2"/>
  <c r="H57" i="2"/>
  <c r="I57" i="2"/>
  <c r="K57" i="2"/>
  <c r="L57" i="2"/>
  <c r="M57" i="2"/>
  <c r="B58" i="2"/>
  <c r="C58" i="2"/>
  <c r="D58" i="2"/>
  <c r="E58" i="2"/>
  <c r="H58" i="2"/>
  <c r="I58" i="2"/>
  <c r="J58" i="2"/>
  <c r="K58" i="2"/>
  <c r="L58" i="2"/>
  <c r="M58" i="2"/>
  <c r="C55" i="2"/>
  <c r="D55" i="2"/>
  <c r="E55" i="2"/>
  <c r="F55" i="2"/>
  <c r="G55" i="2"/>
  <c r="H55" i="2"/>
  <c r="I55" i="2"/>
  <c r="J55" i="2"/>
  <c r="K55" i="2"/>
  <c r="L55" i="2"/>
  <c r="M55" i="2"/>
  <c r="M50" i="2"/>
  <c r="L50" i="2"/>
  <c r="K50" i="2"/>
  <c r="J50" i="2"/>
  <c r="I50" i="2"/>
  <c r="H50" i="2"/>
  <c r="G50" i="2"/>
  <c r="F50" i="2"/>
  <c r="E50" i="2"/>
  <c r="D50" i="2"/>
  <c r="C50" i="2"/>
  <c r="B50" i="2"/>
  <c r="M49" i="2"/>
  <c r="L49" i="2"/>
  <c r="K49" i="2"/>
  <c r="J49" i="2"/>
  <c r="I49" i="2"/>
  <c r="H49" i="2"/>
  <c r="G49" i="2"/>
  <c r="F49" i="2"/>
  <c r="E49" i="2"/>
  <c r="D49" i="2"/>
  <c r="C49" i="2"/>
  <c r="B49" i="2"/>
  <c r="C40" i="4"/>
  <c r="D40" i="4"/>
  <c r="E40" i="4"/>
  <c r="F40" i="4"/>
  <c r="G40" i="4"/>
  <c r="H40" i="4"/>
  <c r="I40" i="4"/>
  <c r="J40" i="4"/>
  <c r="K40" i="4"/>
  <c r="L40" i="4"/>
  <c r="M40" i="4"/>
  <c r="B40" i="4"/>
  <c r="C39" i="4"/>
  <c r="D39" i="4"/>
  <c r="E39" i="4"/>
  <c r="F39" i="4"/>
  <c r="G39" i="4"/>
  <c r="H39" i="4"/>
  <c r="I39" i="4"/>
  <c r="J39" i="4"/>
  <c r="K39" i="4"/>
  <c r="L39" i="4"/>
  <c r="M39" i="4"/>
  <c r="B39" i="4"/>
  <c r="D24" i="4"/>
  <c r="E24" i="4"/>
  <c r="F24" i="4"/>
  <c r="G24" i="4"/>
  <c r="J24" i="4"/>
  <c r="K24" i="4"/>
  <c r="L24" i="4"/>
  <c r="B24" i="4"/>
  <c r="C15" i="4"/>
  <c r="D14" i="4"/>
  <c r="E14" i="4"/>
  <c r="F14" i="4"/>
  <c r="G14" i="4"/>
  <c r="H14" i="4"/>
  <c r="I14" i="4"/>
  <c r="J14" i="4"/>
  <c r="K14" i="4"/>
  <c r="L14" i="4"/>
  <c r="B14" i="4"/>
  <c r="B27" i="4"/>
  <c r="J26" i="4"/>
  <c r="M17" i="4"/>
  <c r="M27" i="4" s="1"/>
  <c r="L17" i="4"/>
  <c r="L27" i="4" s="1"/>
  <c r="K17" i="4"/>
  <c r="K27" i="4" s="1"/>
  <c r="J17" i="4"/>
  <c r="J27" i="4" s="1"/>
  <c r="I17" i="4"/>
  <c r="I27" i="4" s="1"/>
  <c r="H17" i="4"/>
  <c r="H27" i="4" s="1"/>
  <c r="G17" i="4"/>
  <c r="G27" i="4" s="1"/>
  <c r="F17" i="4"/>
  <c r="F27" i="4" s="1"/>
  <c r="E17" i="4"/>
  <c r="E27" i="4" s="1"/>
  <c r="D17" i="4"/>
  <c r="D27" i="4" s="1"/>
  <c r="C17" i="4"/>
  <c r="C27" i="4" s="1"/>
  <c r="B17" i="4"/>
  <c r="M16" i="4"/>
  <c r="M26" i="4" s="1"/>
  <c r="L16" i="4"/>
  <c r="L26" i="4" s="1"/>
  <c r="K16" i="4"/>
  <c r="K26" i="4" s="1"/>
  <c r="J16" i="4"/>
  <c r="I16" i="4"/>
  <c r="I26" i="4" s="1"/>
  <c r="H16" i="4"/>
  <c r="H26" i="4" s="1"/>
  <c r="G16" i="4"/>
  <c r="G26" i="4" s="1"/>
  <c r="F16" i="4"/>
  <c r="F26" i="4" s="1"/>
  <c r="E16" i="4"/>
  <c r="E26" i="4" s="1"/>
  <c r="D16" i="4"/>
  <c r="D26" i="4" s="1"/>
  <c r="C16" i="4"/>
  <c r="C26" i="4" s="1"/>
  <c r="B16" i="4"/>
  <c r="B26" i="4" s="1"/>
  <c r="M15" i="4"/>
  <c r="M25" i="4" s="1"/>
  <c r="L15" i="4"/>
  <c r="L25" i="4" s="1"/>
  <c r="K15" i="4"/>
  <c r="K25" i="4" s="1"/>
  <c r="J15" i="4"/>
  <c r="J25" i="4" s="1"/>
  <c r="I15" i="4"/>
  <c r="H15" i="4"/>
  <c r="H25" i="4" s="1"/>
  <c r="G15" i="4"/>
  <c r="G25" i="4" s="1"/>
  <c r="F15" i="4"/>
  <c r="F25" i="4" s="1"/>
  <c r="E15" i="4"/>
  <c r="E25" i="4" s="1"/>
  <c r="D15" i="4"/>
  <c r="D25" i="4" s="1"/>
  <c r="B15" i="4"/>
  <c r="B25" i="4" s="1"/>
  <c r="M14" i="4"/>
  <c r="M24" i="4" s="1"/>
  <c r="C14" i="4"/>
  <c r="O4" i="4"/>
  <c r="O3" i="4"/>
  <c r="R22" i="4" s="1"/>
  <c r="C40" i="2"/>
  <c r="D40" i="2"/>
  <c r="E40" i="2"/>
  <c r="F40" i="2"/>
  <c r="G40" i="2"/>
  <c r="H40" i="2"/>
  <c r="I40" i="2"/>
  <c r="J40" i="2"/>
  <c r="K40" i="2"/>
  <c r="L40" i="2"/>
  <c r="M40" i="2"/>
  <c r="B40" i="2"/>
  <c r="C39" i="2"/>
  <c r="D39" i="2"/>
  <c r="E39" i="2"/>
  <c r="F39" i="2"/>
  <c r="G39" i="2"/>
  <c r="H39" i="2"/>
  <c r="I39" i="2"/>
  <c r="J39" i="2"/>
  <c r="K39" i="2"/>
  <c r="L39" i="2"/>
  <c r="M39" i="2"/>
  <c r="B39" i="2"/>
  <c r="E25" i="2"/>
  <c r="B16" i="2"/>
  <c r="B17" i="2"/>
  <c r="B15" i="2"/>
  <c r="D15" i="2"/>
  <c r="E15" i="2"/>
  <c r="F15" i="2"/>
  <c r="F25" i="2" s="1"/>
  <c r="G15" i="2"/>
  <c r="H15" i="2"/>
  <c r="I15" i="2"/>
  <c r="I25" i="2" s="1"/>
  <c r="J15" i="2"/>
  <c r="J25" i="2" s="1"/>
  <c r="K15" i="2"/>
  <c r="L15" i="2"/>
  <c r="M15" i="2"/>
  <c r="M25" i="2" s="1"/>
  <c r="C16" i="2"/>
  <c r="D16" i="2"/>
  <c r="E16" i="2"/>
  <c r="F16" i="2"/>
  <c r="F26" i="2" s="1"/>
  <c r="G16" i="2"/>
  <c r="G26" i="2" s="1"/>
  <c r="H16" i="2"/>
  <c r="I16" i="2"/>
  <c r="J16" i="2"/>
  <c r="K16" i="2"/>
  <c r="K26" i="2" s="1"/>
  <c r="L16" i="2"/>
  <c r="M16" i="2"/>
  <c r="C17" i="2"/>
  <c r="C27" i="2" s="1"/>
  <c r="D17" i="2"/>
  <c r="D27" i="2" s="1"/>
  <c r="E17" i="2"/>
  <c r="F17" i="2"/>
  <c r="G17" i="2"/>
  <c r="G27" i="2" s="1"/>
  <c r="H17" i="2"/>
  <c r="I17" i="2"/>
  <c r="J17" i="2"/>
  <c r="K17" i="2"/>
  <c r="K27" i="2" s="1"/>
  <c r="L17" i="2"/>
  <c r="L27" i="2" s="1"/>
  <c r="M17" i="2"/>
  <c r="D14" i="2"/>
  <c r="D24" i="2" s="1"/>
  <c r="E14" i="2"/>
  <c r="E24" i="2" s="1"/>
  <c r="F14" i="2"/>
  <c r="F24" i="2" s="1"/>
  <c r="G14" i="2"/>
  <c r="J14" i="2"/>
  <c r="J24" i="2" s="1"/>
  <c r="K14" i="2"/>
  <c r="M14" i="2"/>
  <c r="C14" i="2"/>
  <c r="O4" i="2"/>
  <c r="D25" i="2"/>
  <c r="L25" i="2"/>
  <c r="L26" i="2"/>
  <c r="M26" i="2"/>
  <c r="E27" i="2"/>
  <c r="H27" i="2"/>
  <c r="I27" i="2"/>
  <c r="R6" i="2"/>
  <c r="R10" i="2"/>
  <c r="R14" i="2"/>
  <c r="R18" i="2"/>
  <c r="R22" i="2"/>
  <c r="O3" i="2"/>
  <c r="R2" i="2" s="1"/>
  <c r="H25" i="2"/>
  <c r="H26" i="2"/>
  <c r="I26" i="2"/>
  <c r="M27" i="2"/>
  <c r="G25" i="2"/>
  <c r="K25" i="2"/>
  <c r="D26" i="2"/>
  <c r="E26" i="2"/>
  <c r="B27" i="2"/>
  <c r="C24" i="2"/>
  <c r="G24" i="2"/>
  <c r="K24" i="2"/>
  <c r="M24" i="2"/>
  <c r="AC4" i="1"/>
  <c r="D67" i="1"/>
  <c r="D70" i="1" s="1"/>
  <c r="B25" i="2"/>
  <c r="B26" i="2"/>
  <c r="C26" i="2"/>
  <c r="J26" i="2"/>
  <c r="F27" i="2"/>
  <c r="J27" i="2"/>
  <c r="D59" i="2" l="1"/>
  <c r="D60" i="2" s="1"/>
  <c r="N14" i="4"/>
  <c r="O14" i="4" s="1"/>
  <c r="R14" i="4"/>
  <c r="R4" i="4"/>
  <c r="R19" i="4"/>
  <c r="R12" i="4"/>
  <c r="R15" i="4"/>
  <c r="R8" i="4"/>
  <c r="R23" i="4"/>
  <c r="R2" i="4"/>
  <c r="R5" i="4"/>
  <c r="R9" i="4"/>
  <c r="R13" i="4"/>
  <c r="R16" i="4"/>
  <c r="R20" i="4"/>
  <c r="C24" i="4"/>
  <c r="R6" i="4"/>
  <c r="R10" i="4"/>
  <c r="R17" i="4"/>
  <c r="R21" i="4"/>
  <c r="R7" i="4"/>
  <c r="R11" i="4"/>
  <c r="R18" i="4"/>
  <c r="R21" i="2"/>
  <c r="R17" i="2"/>
  <c r="R13" i="2"/>
  <c r="R9" i="2"/>
  <c r="R5" i="2"/>
  <c r="R20" i="2"/>
  <c r="R16" i="2"/>
  <c r="R12" i="2"/>
  <c r="R8" i="2"/>
  <c r="R4" i="2"/>
  <c r="R23" i="2"/>
  <c r="R19" i="2"/>
  <c r="R15" i="2"/>
  <c r="R11" i="2"/>
  <c r="R7" i="2"/>
  <c r="N14" i="2"/>
  <c r="O14" i="2" s="1"/>
  <c r="D87" i="1"/>
  <c r="D83" i="1"/>
  <c r="D79" i="1"/>
  <c r="D75" i="1"/>
  <c r="D71" i="1"/>
  <c r="D68" i="1"/>
  <c r="D86" i="1"/>
  <c r="D82" i="1"/>
  <c r="D78" i="1"/>
  <c r="D74" i="1"/>
  <c r="D89" i="1"/>
  <c r="D85" i="1"/>
  <c r="D81" i="1"/>
  <c r="D77" i="1"/>
  <c r="D73" i="1"/>
  <c r="D69" i="1"/>
  <c r="D88" i="1"/>
  <c r="D84" i="1"/>
  <c r="D80" i="1"/>
  <c r="D76" i="1"/>
  <c r="D72" i="1"/>
  <c r="H66" i="1"/>
  <c r="F66" i="1"/>
  <c r="B66" i="1"/>
</calcChain>
</file>

<file path=xl/sharedStrings.xml><?xml version="1.0" encoding="utf-8"?>
<sst xmlns="http://schemas.openxmlformats.org/spreadsheetml/2006/main" count="249" uniqueCount="30">
  <si>
    <t>A</t>
  </si>
  <si>
    <t>low:Lum</t>
  </si>
  <si>
    <t>B</t>
  </si>
  <si>
    <t>C</t>
  </si>
  <si>
    <t>D</t>
  </si>
  <si>
    <t>E</t>
  </si>
  <si>
    <t>F</t>
  </si>
  <si>
    <t>G</t>
  </si>
  <si>
    <t>H</t>
  </si>
  <si>
    <t>high:Lum</t>
  </si>
  <si>
    <t>Plate 1</t>
  </si>
  <si>
    <t>Plate 2</t>
  </si>
  <si>
    <t>Plate 1 read 2</t>
  </si>
  <si>
    <t>plate 2 read 2</t>
  </si>
  <si>
    <t>p1r1</t>
  </si>
  <si>
    <t>p1r1 high</t>
  </si>
  <si>
    <t>p1r2 low</t>
  </si>
  <si>
    <t>p1r2 high</t>
  </si>
  <si>
    <t>Number * 0.008</t>
  </si>
  <si>
    <t>Col</t>
  </si>
  <si>
    <t>un</t>
  </si>
  <si>
    <t>ald1</t>
  </si>
  <si>
    <t>fmo1</t>
  </si>
  <si>
    <t>avg</t>
  </si>
  <si>
    <t>stdev</t>
  </si>
  <si>
    <t>Free SA</t>
  </si>
  <si>
    <t>Total SA</t>
  </si>
  <si>
    <t>SAG</t>
  </si>
  <si>
    <t>Untreated</t>
  </si>
  <si>
    <t>12 hpi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</si>
</sst>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46850393700788"/>
                  <c:y val="1.86089238845144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Sheet1!$C$43:$C$64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xVal>
          <c:yVal>
            <c:numRef>
              <c:f>Sheet1!$D$43:$D$64</c:f>
              <c:numCache>
                <c:formatCode>General</c:formatCode>
                <c:ptCount val="22"/>
                <c:pt idx="0">
                  <c:v>24754</c:v>
                </c:pt>
                <c:pt idx="1">
                  <c:v>19926</c:v>
                </c:pt>
                <c:pt idx="2">
                  <c:v>17821</c:v>
                </c:pt>
                <c:pt idx="3">
                  <c:v>16084</c:v>
                </c:pt>
                <c:pt idx="4">
                  <c:v>14611</c:v>
                </c:pt>
                <c:pt idx="5">
                  <c:v>11404</c:v>
                </c:pt>
                <c:pt idx="6">
                  <c:v>7582</c:v>
                </c:pt>
                <c:pt idx="7">
                  <c:v>4597</c:v>
                </c:pt>
                <c:pt idx="8">
                  <c:v>3021</c:v>
                </c:pt>
                <c:pt idx="9">
                  <c:v>2559</c:v>
                </c:pt>
                <c:pt idx="10">
                  <c:v>2130</c:v>
                </c:pt>
                <c:pt idx="11">
                  <c:v>23106</c:v>
                </c:pt>
                <c:pt idx="12">
                  <c:v>20538</c:v>
                </c:pt>
                <c:pt idx="13">
                  <c:v>17897</c:v>
                </c:pt>
                <c:pt idx="14">
                  <c:v>15251</c:v>
                </c:pt>
                <c:pt idx="15">
                  <c:v>13155</c:v>
                </c:pt>
                <c:pt idx="16">
                  <c:v>11133</c:v>
                </c:pt>
                <c:pt idx="17">
                  <c:v>7473</c:v>
                </c:pt>
                <c:pt idx="18">
                  <c:v>4392</c:v>
                </c:pt>
                <c:pt idx="19">
                  <c:v>3093</c:v>
                </c:pt>
                <c:pt idx="20">
                  <c:v>2791</c:v>
                </c:pt>
                <c:pt idx="21">
                  <c:v>2652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1-40BF-978D-5E967A70436F}"/>
            </c:ext>
          </c:extLst>
        </c:ser>
        <c:ser>
          <c:idx val="1"/>
          <c:order val="1"/>
          <c:tx>
            <c:v>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706036745406826E-3"/>
                  <c:y val="0.238934091571886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Sheet1!$G$43:$G$64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xVal>
          <c:yVal>
            <c:numRef>
              <c:f>Sheet1!$H$43:$H$64</c:f>
              <c:numCache>
                <c:formatCode>General</c:formatCode>
                <c:ptCount val="22"/>
                <c:pt idx="0">
                  <c:v>11842</c:v>
                </c:pt>
                <c:pt idx="1">
                  <c:v>9184</c:v>
                </c:pt>
                <c:pt idx="2">
                  <c:v>9365</c:v>
                </c:pt>
                <c:pt idx="3">
                  <c:v>8857</c:v>
                </c:pt>
                <c:pt idx="4">
                  <c:v>7607</c:v>
                </c:pt>
                <c:pt idx="5">
                  <c:v>6170</c:v>
                </c:pt>
                <c:pt idx="6">
                  <c:v>4195</c:v>
                </c:pt>
                <c:pt idx="7">
                  <c:v>2170</c:v>
                </c:pt>
                <c:pt idx="8">
                  <c:v>1247</c:v>
                </c:pt>
                <c:pt idx="9">
                  <c:v>1199</c:v>
                </c:pt>
                <c:pt idx="10">
                  <c:v>1102</c:v>
                </c:pt>
                <c:pt idx="11">
                  <c:v>12601</c:v>
                </c:pt>
                <c:pt idx="12">
                  <c:v>10619</c:v>
                </c:pt>
                <c:pt idx="13">
                  <c:v>9210</c:v>
                </c:pt>
                <c:pt idx="14">
                  <c:v>7912</c:v>
                </c:pt>
                <c:pt idx="15">
                  <c:v>7383</c:v>
                </c:pt>
                <c:pt idx="16">
                  <c:v>6440</c:v>
                </c:pt>
                <c:pt idx="17">
                  <c:v>4373</c:v>
                </c:pt>
                <c:pt idx="18">
                  <c:v>2362</c:v>
                </c:pt>
                <c:pt idx="19">
                  <c:v>1654</c:v>
                </c:pt>
                <c:pt idx="20">
                  <c:v>1204</c:v>
                </c:pt>
                <c:pt idx="21">
                  <c:v>1053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91-40BF-978D-5E967A704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955864"/>
        <c:axId val="566948320"/>
      </c:scatterChart>
      <c:valAx>
        <c:axId val="566955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48320"/>
        <c:crosses val="autoZero"/>
        <c:crossBetween val="midCat"/>
      </c:valAx>
      <c:valAx>
        <c:axId val="56694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55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82720909886264"/>
                  <c:y val="3.03003791192767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Sheet1!$A$43:$A$64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xVal>
          <c:yVal>
            <c:numRef>
              <c:f>Sheet1!$B$43:$B$64</c:f>
              <c:numCache>
                <c:formatCode>General</c:formatCode>
                <c:ptCount val="22"/>
                <c:pt idx="0">
                  <c:v>1140</c:v>
                </c:pt>
                <c:pt idx="1">
                  <c:v>931</c:v>
                </c:pt>
                <c:pt idx="2">
                  <c:v>887</c:v>
                </c:pt>
                <c:pt idx="3">
                  <c:v>816</c:v>
                </c:pt>
                <c:pt idx="4">
                  <c:v>711</c:v>
                </c:pt>
                <c:pt idx="5">
                  <c:v>572</c:v>
                </c:pt>
                <c:pt idx="6">
                  <c:v>391</c:v>
                </c:pt>
                <c:pt idx="7">
                  <c:v>236</c:v>
                </c:pt>
                <c:pt idx="8">
                  <c:v>127</c:v>
                </c:pt>
                <c:pt idx="9">
                  <c:v>107</c:v>
                </c:pt>
                <c:pt idx="10">
                  <c:v>110</c:v>
                </c:pt>
                <c:pt idx="11">
                  <c:v>1202</c:v>
                </c:pt>
                <c:pt idx="12">
                  <c:v>1019</c:v>
                </c:pt>
                <c:pt idx="13">
                  <c:v>948</c:v>
                </c:pt>
                <c:pt idx="14">
                  <c:v>771</c:v>
                </c:pt>
                <c:pt idx="15">
                  <c:v>666</c:v>
                </c:pt>
                <c:pt idx="16">
                  <c:v>498</c:v>
                </c:pt>
                <c:pt idx="17">
                  <c:v>373</c:v>
                </c:pt>
                <c:pt idx="18">
                  <c:v>228</c:v>
                </c:pt>
                <c:pt idx="19">
                  <c:v>160</c:v>
                </c:pt>
                <c:pt idx="20">
                  <c:v>142</c:v>
                </c:pt>
                <c:pt idx="21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A-4BB7-B54B-AE06D293A78D}"/>
            </c:ext>
          </c:extLst>
        </c:ser>
        <c:ser>
          <c:idx val="1"/>
          <c:order val="1"/>
          <c:tx>
            <c:v>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728346456692912E-2"/>
                  <c:y val="0.205851924759405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Sheet1!$E$43:$E$64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xVal>
          <c:yVal>
            <c:numRef>
              <c:f>Sheet1!$F$43:$F$64</c:f>
              <c:numCache>
                <c:formatCode>General</c:formatCode>
                <c:ptCount val="22"/>
                <c:pt idx="0">
                  <c:v>506</c:v>
                </c:pt>
                <c:pt idx="1">
                  <c:v>392</c:v>
                </c:pt>
                <c:pt idx="2">
                  <c:v>383</c:v>
                </c:pt>
                <c:pt idx="3">
                  <c:v>391</c:v>
                </c:pt>
                <c:pt idx="4">
                  <c:v>322</c:v>
                </c:pt>
                <c:pt idx="5">
                  <c:v>265</c:v>
                </c:pt>
                <c:pt idx="6">
                  <c:v>167</c:v>
                </c:pt>
                <c:pt idx="7">
                  <c:v>106</c:v>
                </c:pt>
                <c:pt idx="8">
                  <c:v>57</c:v>
                </c:pt>
                <c:pt idx="9">
                  <c:v>58</c:v>
                </c:pt>
                <c:pt idx="10">
                  <c:v>39</c:v>
                </c:pt>
                <c:pt idx="11">
                  <c:v>564</c:v>
                </c:pt>
                <c:pt idx="12">
                  <c:v>514</c:v>
                </c:pt>
                <c:pt idx="13">
                  <c:v>419</c:v>
                </c:pt>
                <c:pt idx="14">
                  <c:v>344</c:v>
                </c:pt>
                <c:pt idx="15">
                  <c:v>318</c:v>
                </c:pt>
                <c:pt idx="16">
                  <c:v>283</c:v>
                </c:pt>
                <c:pt idx="17">
                  <c:v>163</c:v>
                </c:pt>
                <c:pt idx="18">
                  <c:v>114</c:v>
                </c:pt>
                <c:pt idx="19">
                  <c:v>63</c:v>
                </c:pt>
                <c:pt idx="20">
                  <c:v>50</c:v>
                </c:pt>
                <c:pt idx="21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BA-4BB7-B54B-AE06D293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533648"/>
        <c:axId val="601532336"/>
      </c:scatterChart>
      <c:valAx>
        <c:axId val="6015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32336"/>
        <c:crosses val="autoZero"/>
        <c:crossBetween val="midCat"/>
      </c:valAx>
      <c:valAx>
        <c:axId val="60153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3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530052493438314"/>
                  <c:y val="5.489938757655293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Sheet1!$D$68:$D$89</c:f>
              <c:numCache>
                <c:formatCode>General</c:formatCode>
                <c:ptCount val="22"/>
                <c:pt idx="0">
                  <c:v>38409.594312003348</c:v>
                </c:pt>
                <c:pt idx="1">
                  <c:v>30918.218318695108</c:v>
                </c:pt>
                <c:pt idx="2">
                  <c:v>27651.990798828941</c:v>
                </c:pt>
                <c:pt idx="3">
                  <c:v>24956.771225428693</c:v>
                </c:pt>
                <c:pt idx="4">
                  <c:v>22671.187787536597</c:v>
                </c:pt>
                <c:pt idx="5">
                  <c:v>17695.039732329569</c:v>
                </c:pt>
                <c:pt idx="6">
                  <c:v>11764.625679631954</c:v>
                </c:pt>
                <c:pt idx="7">
                  <c:v>7132.9443747386031</c:v>
                </c:pt>
                <c:pt idx="8">
                  <c:v>4687.5407779171892</c:v>
                </c:pt>
                <c:pt idx="9">
                  <c:v>3970.6775407779173</c:v>
                </c:pt>
                <c:pt idx="10">
                  <c:v>3305.0188205771642</c:v>
                </c:pt>
                <c:pt idx="11">
                  <c:v>35852.471769134252</c:v>
                </c:pt>
                <c:pt idx="12">
                  <c:v>31867.829360100375</c:v>
                </c:pt>
                <c:pt idx="13">
                  <c:v>27769.916352990382</c:v>
                </c:pt>
                <c:pt idx="14">
                  <c:v>23664.245085738185</c:v>
                </c:pt>
                <c:pt idx="15">
                  <c:v>20411.982434127982</c:v>
                </c:pt>
                <c:pt idx="16">
                  <c:v>17274.542032622336</c:v>
                </c:pt>
                <c:pt idx="17">
                  <c:v>11595.495608531995</c:v>
                </c:pt>
                <c:pt idx="18">
                  <c:v>6814.855708908407</c:v>
                </c:pt>
                <c:pt idx="19">
                  <c:v>4799.2597239648685</c:v>
                </c:pt>
                <c:pt idx="20">
                  <c:v>4330.660811375993</c:v>
                </c:pt>
                <c:pt idx="21">
                  <c:v>4114.9811794228353</c:v>
                </c:pt>
              </c:numCache>
            </c:numRef>
          </c:xVal>
          <c:yVal>
            <c:numRef>
              <c:f>Sheet1!$C$68:$C$89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6-4E09-AAE0-9EBEF8636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86232"/>
        <c:axId val="596278688"/>
      </c:scatterChart>
      <c:valAx>
        <c:axId val="59628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78688"/>
        <c:crosses val="autoZero"/>
        <c:crossBetween val="midCat"/>
      </c:valAx>
      <c:valAx>
        <c:axId val="59627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8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123512685914263"/>
                  <c:y val="2.273148148148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Sheet2!$Q$2:$Q$23</c:f>
              <c:numCache>
                <c:formatCode>General</c:formatCode>
                <c:ptCount val="22"/>
                <c:pt idx="0">
                  <c:v>11842</c:v>
                </c:pt>
                <c:pt idx="2">
                  <c:v>9365</c:v>
                </c:pt>
                <c:pt idx="3">
                  <c:v>8857</c:v>
                </c:pt>
                <c:pt idx="4">
                  <c:v>7607</c:v>
                </c:pt>
                <c:pt idx="5">
                  <c:v>6170</c:v>
                </c:pt>
                <c:pt idx="6">
                  <c:v>4195</c:v>
                </c:pt>
                <c:pt idx="7">
                  <c:v>2170</c:v>
                </c:pt>
                <c:pt idx="8">
                  <c:v>1247</c:v>
                </c:pt>
                <c:pt idx="9">
                  <c:v>1199</c:v>
                </c:pt>
                <c:pt idx="10">
                  <c:v>1102</c:v>
                </c:pt>
                <c:pt idx="11">
                  <c:v>12601</c:v>
                </c:pt>
                <c:pt idx="12">
                  <c:v>10619</c:v>
                </c:pt>
                <c:pt idx="13">
                  <c:v>9210</c:v>
                </c:pt>
                <c:pt idx="14">
                  <c:v>7912</c:v>
                </c:pt>
                <c:pt idx="15">
                  <c:v>7383</c:v>
                </c:pt>
                <c:pt idx="16">
                  <c:v>6440</c:v>
                </c:pt>
                <c:pt idx="17">
                  <c:v>4373</c:v>
                </c:pt>
                <c:pt idx="18">
                  <c:v>2362</c:v>
                </c:pt>
                <c:pt idx="19">
                  <c:v>1654</c:v>
                </c:pt>
                <c:pt idx="20">
                  <c:v>1204</c:v>
                </c:pt>
                <c:pt idx="21">
                  <c:v>1053</c:v>
                </c:pt>
              </c:numCache>
            </c:numRef>
          </c:xVal>
          <c:yVal>
            <c:numRef>
              <c:f>Sheet2!$P$2:$P$23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C-4FC6-A380-7D9ECCA643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843088363954507"/>
                  <c:y val="0.286620370370370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Sheet2!$R$2:$R$23</c:f>
              <c:numCache>
                <c:formatCode>General</c:formatCode>
                <c:ptCount val="22"/>
                <c:pt idx="0">
                  <c:v>17763</c:v>
                </c:pt>
                <c:pt idx="2">
                  <c:v>14047.5</c:v>
                </c:pt>
                <c:pt idx="3">
                  <c:v>13285.5</c:v>
                </c:pt>
                <c:pt idx="4">
                  <c:v>11410.5</c:v>
                </c:pt>
                <c:pt idx="5">
                  <c:v>9255</c:v>
                </c:pt>
                <c:pt idx="6">
                  <c:v>6292.5</c:v>
                </c:pt>
                <c:pt idx="7">
                  <c:v>3255</c:v>
                </c:pt>
                <c:pt idx="8">
                  <c:v>1870.5</c:v>
                </c:pt>
                <c:pt idx="9">
                  <c:v>1798.5</c:v>
                </c:pt>
                <c:pt idx="10">
                  <c:v>1653</c:v>
                </c:pt>
                <c:pt idx="11">
                  <c:v>18901.5</c:v>
                </c:pt>
                <c:pt idx="12">
                  <c:v>15928.5</c:v>
                </c:pt>
                <c:pt idx="13">
                  <c:v>13815</c:v>
                </c:pt>
                <c:pt idx="14">
                  <c:v>11868</c:v>
                </c:pt>
                <c:pt idx="15">
                  <c:v>11074.5</c:v>
                </c:pt>
                <c:pt idx="16">
                  <c:v>9660</c:v>
                </c:pt>
                <c:pt idx="17">
                  <c:v>6559.5</c:v>
                </c:pt>
                <c:pt idx="18">
                  <c:v>3543</c:v>
                </c:pt>
                <c:pt idx="19">
                  <c:v>2481</c:v>
                </c:pt>
                <c:pt idx="20">
                  <c:v>1806</c:v>
                </c:pt>
                <c:pt idx="21">
                  <c:v>1579.5</c:v>
                </c:pt>
              </c:numCache>
            </c:numRef>
          </c:xVal>
          <c:yVal>
            <c:numRef>
              <c:f>Sheet2!$P$2:$P$23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3C-4FC6-A380-7D9ECCA6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436008"/>
        <c:axId val="465434368"/>
      </c:scatterChart>
      <c:valAx>
        <c:axId val="46543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34368"/>
        <c:crosses val="autoZero"/>
        <c:crossBetween val="midCat"/>
      </c:valAx>
      <c:valAx>
        <c:axId val="46543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36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0581802274714"/>
          <c:y val="5.0925925925925923E-2"/>
          <c:w val="0.83595122484689399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Sheet2!$B$40:$E$40</c:f>
                <c:numCache>
                  <c:formatCode>General</c:formatCode>
                  <c:ptCount val="4"/>
                  <c:pt idx="0">
                    <c:v>56.059884275656316</c:v>
                  </c:pt>
                  <c:pt idx="1">
                    <c:v>335.21339339976151</c:v>
                  </c:pt>
                  <c:pt idx="2">
                    <c:v>1100.6703470392754</c:v>
                  </c:pt>
                  <c:pt idx="3">
                    <c:v>374.36806260962351</c:v>
                  </c:pt>
                </c:numCache>
              </c:numRef>
            </c:plus>
            <c:minus>
              <c:numRef>
                <c:f>Sheet2!$B$40:$E$40</c:f>
                <c:numCache>
                  <c:formatCode>General</c:formatCode>
                  <c:ptCount val="4"/>
                  <c:pt idx="0">
                    <c:v>56.059884275656316</c:v>
                  </c:pt>
                  <c:pt idx="1">
                    <c:v>335.21339339976151</c:v>
                  </c:pt>
                  <c:pt idx="2">
                    <c:v>1100.6703470392754</c:v>
                  </c:pt>
                  <c:pt idx="3">
                    <c:v>374.36806260962351</c:v>
                  </c:pt>
                </c:numCache>
              </c:numRef>
            </c:minus>
          </c:errBars>
          <c:val>
            <c:numRef>
              <c:f>Sheet2!$B$39:$E$39</c:f>
              <c:numCache>
                <c:formatCode>General</c:formatCode>
                <c:ptCount val="4"/>
                <c:pt idx="0">
                  <c:v>376.38750000000005</c:v>
                </c:pt>
                <c:pt idx="1">
                  <c:v>409.99583333333339</c:v>
                </c:pt>
                <c:pt idx="2">
                  <c:v>3274.7593750000001</c:v>
                </c:pt>
                <c:pt idx="3">
                  <c:v>1687.34375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A0-4946-8BD2-D879FB681ACD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Sheet2!$F$40:$I$40</c:f>
                <c:numCache>
                  <c:formatCode>General</c:formatCode>
                  <c:ptCount val="4"/>
                  <c:pt idx="0">
                    <c:v>1.6351844314939314</c:v>
                  </c:pt>
                  <c:pt idx="1">
                    <c:v>23.411516708306973</c:v>
                  </c:pt>
                  <c:pt idx="2">
                    <c:v>169.39263757336846</c:v>
                  </c:pt>
                  <c:pt idx="3">
                    <c:v>663.36188404650579</c:v>
                  </c:pt>
                </c:numCache>
              </c:numRef>
            </c:plus>
            <c:minus>
              <c:numRef>
                <c:f>Sheet2!$F$40:$I$40</c:f>
                <c:numCache>
                  <c:formatCode>General</c:formatCode>
                  <c:ptCount val="4"/>
                  <c:pt idx="0">
                    <c:v>1.6351844314939314</c:v>
                  </c:pt>
                  <c:pt idx="1">
                    <c:v>23.411516708306973</c:v>
                  </c:pt>
                  <c:pt idx="2">
                    <c:v>169.39263757336846</c:v>
                  </c:pt>
                  <c:pt idx="3">
                    <c:v>663.36188404650579</c:v>
                  </c:pt>
                </c:numCache>
              </c:numRef>
            </c:minus>
          </c:errBars>
          <c:val>
            <c:numRef>
              <c:f>Sheet2!$F$39:$I$39</c:f>
              <c:numCache>
                <c:formatCode>General</c:formatCode>
                <c:ptCount val="4"/>
                <c:pt idx="0">
                  <c:v>148.60624999999999</c:v>
                </c:pt>
                <c:pt idx="1">
                  <c:v>-29.533333333333299</c:v>
                </c:pt>
                <c:pt idx="2">
                  <c:v>860.74062499999991</c:v>
                </c:pt>
                <c:pt idx="3">
                  <c:v>1894.4281249999999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8A0-4946-8BD2-D879FB681ACD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Sheet2!$J$40:$M$40</c:f>
                <c:numCache>
                  <c:formatCode>General</c:formatCode>
                  <c:ptCount val="4"/>
                  <c:pt idx="0">
                    <c:v>222.61789444490606</c:v>
                  </c:pt>
                  <c:pt idx="1">
                    <c:v>40.290404635957316</c:v>
                  </c:pt>
                  <c:pt idx="2">
                    <c:v>375.69863130240441</c:v>
                  </c:pt>
                  <c:pt idx="3">
                    <c:v>264.70627668543614</c:v>
                  </c:pt>
                </c:numCache>
              </c:numRef>
            </c:plus>
            <c:minus>
              <c:numRef>
                <c:f>Sheet2!$J$40:$M$40</c:f>
                <c:numCache>
                  <c:formatCode>General</c:formatCode>
                  <c:ptCount val="4"/>
                  <c:pt idx="0">
                    <c:v>222.61789444490606</c:v>
                  </c:pt>
                  <c:pt idx="1">
                    <c:v>40.290404635957316</c:v>
                  </c:pt>
                  <c:pt idx="2">
                    <c:v>375.69863130240441</c:v>
                  </c:pt>
                  <c:pt idx="3">
                    <c:v>264.70627668543614</c:v>
                  </c:pt>
                </c:numCache>
              </c:numRef>
            </c:minus>
          </c:errBars>
          <c:val>
            <c:numRef>
              <c:f>Sheet2!$J$39:$M$39</c:f>
              <c:numCache>
                <c:formatCode>General</c:formatCode>
                <c:ptCount val="4"/>
                <c:pt idx="0">
                  <c:v>345.24583333333339</c:v>
                </c:pt>
                <c:pt idx="1">
                  <c:v>475.94062500000007</c:v>
                </c:pt>
                <c:pt idx="2">
                  <c:v>2010.3999999999999</c:v>
                </c:pt>
                <c:pt idx="3">
                  <c:v>2382.25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8A0-4946-8BD2-D879FB681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0581802274714"/>
          <c:y val="5.0925925925925923E-2"/>
          <c:w val="0.83595122484689399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Sheet2!$B$50:$E$50</c:f>
                <c:numCache>
                  <c:formatCode>General</c:formatCode>
                  <c:ptCount val="4"/>
                  <c:pt idx="0">
                    <c:v>94.58586734858099</c:v>
                  </c:pt>
                  <c:pt idx="1">
                    <c:v>492.93937655489896</c:v>
                  </c:pt>
                  <c:pt idx="2">
                    <c:v>1674.4762945594855</c:v>
                  </c:pt>
                  <c:pt idx="3">
                    <c:v>448.81748823702935</c:v>
                  </c:pt>
                </c:numCache>
              </c:numRef>
            </c:plus>
            <c:minus>
              <c:numRef>
                <c:f>Sheet2!$B$50:$E$50</c:f>
                <c:numCache>
                  <c:formatCode>General</c:formatCode>
                  <c:ptCount val="4"/>
                  <c:pt idx="0">
                    <c:v>94.58586734858099</c:v>
                  </c:pt>
                  <c:pt idx="1">
                    <c:v>492.93937655489896</c:v>
                  </c:pt>
                  <c:pt idx="2">
                    <c:v>1674.4762945594855</c:v>
                  </c:pt>
                  <c:pt idx="3">
                    <c:v>448.81748823702935</c:v>
                  </c:pt>
                </c:numCache>
              </c:numRef>
            </c:minus>
          </c:errBars>
          <c:val>
            <c:numRef>
              <c:f>Sheet2!$B$49:$E$49</c:f>
              <c:numCache>
                <c:formatCode>General</c:formatCode>
                <c:ptCount val="4"/>
                <c:pt idx="0">
                  <c:v>628.29583333333335</c:v>
                </c:pt>
                <c:pt idx="1">
                  <c:v>1215.6708333333336</c:v>
                </c:pt>
                <c:pt idx="2">
                  <c:v>5341.7875000000004</c:v>
                </c:pt>
                <c:pt idx="3">
                  <c:v>3920.640625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C4-482B-811C-6DB5E714D3D9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Sheet2!$F$50:$I$50</c:f>
                <c:numCache>
                  <c:formatCode>General</c:formatCode>
                  <c:ptCount val="4"/>
                  <c:pt idx="0">
                    <c:v>108.24920936489539</c:v>
                  </c:pt>
                  <c:pt idx="1">
                    <c:v>152.77092140549289</c:v>
                  </c:pt>
                  <c:pt idx="2">
                    <c:v>272.66535732163334</c:v>
                  </c:pt>
                  <c:pt idx="3">
                    <c:v>1455.2789167086407</c:v>
                  </c:pt>
                </c:numCache>
              </c:numRef>
            </c:plus>
            <c:minus>
              <c:numRef>
                <c:f>Sheet2!$F$50:$I$50</c:f>
                <c:numCache>
                  <c:formatCode>General</c:formatCode>
                  <c:ptCount val="4"/>
                  <c:pt idx="0">
                    <c:v>108.24920936489539</c:v>
                  </c:pt>
                  <c:pt idx="1">
                    <c:v>152.77092140549289</c:v>
                  </c:pt>
                  <c:pt idx="2">
                    <c:v>272.66535732163334</c:v>
                  </c:pt>
                  <c:pt idx="3">
                    <c:v>1455.2789167086407</c:v>
                  </c:pt>
                </c:numCache>
              </c:numRef>
            </c:minus>
          </c:errBars>
          <c:val>
            <c:numRef>
              <c:f>Sheet2!$F$49:$I$49</c:f>
              <c:numCache>
                <c:formatCode>General</c:formatCode>
                <c:ptCount val="4"/>
                <c:pt idx="0">
                  <c:v>206.88124999999999</c:v>
                </c:pt>
                <c:pt idx="1">
                  <c:v>274.32916666666659</c:v>
                </c:pt>
                <c:pt idx="2">
                  <c:v>1825.8625</c:v>
                </c:pt>
                <c:pt idx="3">
                  <c:v>5179.9124999999995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C4-482B-811C-6DB5E714D3D9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Sheet2!$J$50:$M$50</c:f>
                <c:numCache>
                  <c:formatCode>General</c:formatCode>
                  <c:ptCount val="4"/>
                  <c:pt idx="0">
                    <c:v>72.191988316456047</c:v>
                  </c:pt>
                  <c:pt idx="1">
                    <c:v>130.56508249999033</c:v>
                  </c:pt>
                  <c:pt idx="2">
                    <c:v>1197.8520533516457</c:v>
                  </c:pt>
                  <c:pt idx="3">
                    <c:v>1223.1198420677733</c:v>
                  </c:pt>
                </c:numCache>
              </c:numRef>
            </c:plus>
            <c:minus>
              <c:numRef>
                <c:f>Sheet2!$J$50:$M$50</c:f>
                <c:numCache>
                  <c:formatCode>General</c:formatCode>
                  <c:ptCount val="4"/>
                  <c:pt idx="0">
                    <c:v>72.191988316456047</c:v>
                  </c:pt>
                  <c:pt idx="1">
                    <c:v>130.56508249999033</c:v>
                  </c:pt>
                  <c:pt idx="2">
                    <c:v>1197.8520533516457</c:v>
                  </c:pt>
                  <c:pt idx="3">
                    <c:v>1223.1198420677733</c:v>
                  </c:pt>
                </c:numCache>
              </c:numRef>
            </c:minus>
          </c:errBars>
          <c:val>
            <c:numRef>
              <c:f>Sheet2!$J$49:$M$49</c:f>
              <c:numCache>
                <c:formatCode>General</c:formatCode>
                <c:ptCount val="4"/>
                <c:pt idx="0">
                  <c:v>587.90416666666681</c:v>
                </c:pt>
                <c:pt idx="1">
                  <c:v>690.77187500000002</c:v>
                </c:pt>
                <c:pt idx="2">
                  <c:v>3921.6812499999996</c:v>
                </c:pt>
                <c:pt idx="3">
                  <c:v>4952.4781250000005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C4-482B-811C-6DB5E714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0581802274714"/>
          <c:y val="5.0925925925925923E-2"/>
          <c:w val="0.83595122484689399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Sheet2!$B$60:$E$60</c:f>
                <c:numCache>
                  <c:formatCode>General</c:formatCode>
                  <c:ptCount val="4"/>
                  <c:pt idx="0">
                    <c:v>59.9496267132293</c:v>
                  </c:pt>
                  <c:pt idx="1">
                    <c:v>185.09517343563212</c:v>
                  </c:pt>
                  <c:pt idx="2">
                    <c:v>499.12379604592627</c:v>
                  </c:pt>
                  <c:pt idx="3">
                    <c:v>511.0704916654571</c:v>
                  </c:pt>
                </c:numCache>
              </c:numRef>
            </c:plus>
            <c:minus>
              <c:numRef>
                <c:f>Sheet2!$B$60:$E$60</c:f>
                <c:numCache>
                  <c:formatCode>General</c:formatCode>
                  <c:ptCount val="4"/>
                  <c:pt idx="0">
                    <c:v>59.9496267132293</c:v>
                  </c:pt>
                  <c:pt idx="1">
                    <c:v>185.09517343563212</c:v>
                  </c:pt>
                  <c:pt idx="2">
                    <c:v>499.12379604592627</c:v>
                  </c:pt>
                  <c:pt idx="3">
                    <c:v>511.0704916654571</c:v>
                  </c:pt>
                </c:numCache>
              </c:numRef>
            </c:minus>
          </c:errBars>
          <c:val>
            <c:numRef>
              <c:f>Sheet2!$B$59:$E$59</c:f>
              <c:numCache>
                <c:formatCode>General</c:formatCode>
                <c:ptCount val="4"/>
                <c:pt idx="0">
                  <c:v>251.9083333333333</c:v>
                </c:pt>
                <c:pt idx="1">
                  <c:v>805.67500000000018</c:v>
                </c:pt>
                <c:pt idx="2">
                  <c:v>2067.0281250000007</c:v>
                </c:pt>
                <c:pt idx="3">
                  <c:v>2233.296875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30-459C-B16A-BBE51246035A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Sheet2!$F$60:$I$60</c:f>
                <c:numCache>
                  <c:formatCode>General</c:formatCode>
                  <c:ptCount val="4"/>
                  <c:pt idx="0">
                    <c:v>77.699999999999932</c:v>
                  </c:pt>
                  <c:pt idx="1">
                    <c:v>106.11595269640955</c:v>
                  </c:pt>
                  <c:pt idx="2">
                    <c:v>162.5512737316968</c:v>
                  </c:pt>
                  <c:pt idx="3">
                    <c:v>708.86023086663215</c:v>
                  </c:pt>
                </c:numCache>
              </c:numRef>
            </c:plus>
            <c:minus>
              <c:numRef>
                <c:f>Sheet2!$F$60:$I$60</c:f>
                <c:numCache>
                  <c:formatCode>General</c:formatCode>
                  <c:ptCount val="4"/>
                  <c:pt idx="0">
                    <c:v>77.699999999999932</c:v>
                  </c:pt>
                  <c:pt idx="1">
                    <c:v>106.11595269640955</c:v>
                  </c:pt>
                  <c:pt idx="2">
                    <c:v>162.5512737316968</c:v>
                  </c:pt>
                  <c:pt idx="3">
                    <c:v>708.86023086663215</c:v>
                  </c:pt>
                </c:numCache>
              </c:numRef>
            </c:minus>
          </c:errBars>
          <c:val>
            <c:numRef>
              <c:f>Sheet2!$F$59:$I$59</c:f>
              <c:numCache>
                <c:formatCode>General</c:formatCode>
                <c:ptCount val="4"/>
                <c:pt idx="0">
                  <c:v>58.275000000000006</c:v>
                </c:pt>
                <c:pt idx="1">
                  <c:v>303.8624999999999</c:v>
                </c:pt>
                <c:pt idx="2">
                  <c:v>965.12187500000005</c:v>
                </c:pt>
                <c:pt idx="3">
                  <c:v>3285.484375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30-459C-B16A-BBE51246035A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Sheet2!$J$60:$M$60</c:f>
                <c:numCache>
                  <c:formatCode>General</c:formatCode>
                  <c:ptCount val="4"/>
                  <c:pt idx="0">
                    <c:v>202.22389029379181</c:v>
                  </c:pt>
                  <c:pt idx="1">
                    <c:v>120.46704570778891</c:v>
                  </c:pt>
                  <c:pt idx="2">
                    <c:v>732.85927092216241</c:v>
                  </c:pt>
                  <c:pt idx="3">
                    <c:v>877.1728212779243</c:v>
                  </c:pt>
                </c:numCache>
              </c:numRef>
            </c:plus>
            <c:minus>
              <c:numRef>
                <c:f>Sheet2!$J$60:$M$60</c:f>
                <c:numCache>
                  <c:formatCode>General</c:formatCode>
                  <c:ptCount val="4"/>
                  <c:pt idx="0">
                    <c:v>202.22389029379181</c:v>
                  </c:pt>
                  <c:pt idx="1">
                    <c:v>120.46704570778891</c:v>
                  </c:pt>
                  <c:pt idx="2">
                    <c:v>732.85927092216241</c:v>
                  </c:pt>
                  <c:pt idx="3">
                    <c:v>877.1728212779243</c:v>
                  </c:pt>
                </c:numCache>
              </c:numRef>
            </c:minus>
          </c:errBars>
          <c:val>
            <c:numRef>
              <c:f>Sheet2!$J$59:$M$59</c:f>
              <c:numCache>
                <c:formatCode>General</c:formatCode>
                <c:ptCount val="4"/>
                <c:pt idx="0">
                  <c:v>242.65833333333342</c:v>
                </c:pt>
                <c:pt idx="1">
                  <c:v>214.83125000000004</c:v>
                </c:pt>
                <c:pt idx="2">
                  <c:v>1911.28125</c:v>
                </c:pt>
                <c:pt idx="3">
                  <c:v>2570.2281250000001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30-459C-B16A-BBE51246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0581802274714"/>
          <c:y val="5.0925925925925923E-2"/>
          <c:w val="0.83595122484689399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Sheet2!$B$40:$E$40</c15:sqref>
                    </c15:fullRef>
                  </c:ext>
                </c:extLst>
                <c:f>Sheet2!$B$40:$D$40</c:f>
                <c:numCache>
                  <c:formatCode>General</c:formatCode>
                  <c:ptCount val="3"/>
                  <c:pt idx="0">
                    <c:v>56.059884275656316</c:v>
                  </c:pt>
                  <c:pt idx="1">
                    <c:v>335.21339339976151</c:v>
                  </c:pt>
                  <c:pt idx="2">
                    <c:v>1100.6703470392754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Sheet2!$B$40:$E$40</c15:sqref>
                    </c15:fullRef>
                  </c:ext>
                </c:extLst>
                <c:f>Sheet2!$B$40:$D$40</c:f>
                <c:numCache>
                  <c:formatCode>General</c:formatCode>
                  <c:ptCount val="3"/>
                  <c:pt idx="0">
                    <c:v>56.059884275656316</c:v>
                  </c:pt>
                  <c:pt idx="1">
                    <c:v>335.21339339976151</c:v>
                  </c:pt>
                  <c:pt idx="2">
                    <c:v>1100.6703470392754</c:v>
                  </c:pt>
                </c:numCache>
              </c:numRef>
            </c:minus>
          </c:errBar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Sheet2!$B$39:$E$39</c15:sqref>
                  </c15:fullRef>
                </c:ext>
              </c:extLst>
              <c:f>Sheet2!$B$39:$D$39</c:f>
              <c:numCache>
                <c:formatCode>General</c:formatCode>
                <c:ptCount val="3"/>
                <c:pt idx="0">
                  <c:v>376.38750000000005</c:v>
                </c:pt>
                <c:pt idx="1">
                  <c:v>409.99583333333339</c:v>
                </c:pt>
                <c:pt idx="2">
                  <c:v>3274.7593750000001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D-47AA-8A12-CFD7E63BFDC5}"/>
            </c:ext>
          </c:extLst>
        </c:ser>
        <c:ser>
          <c:idx val="1"/>
          <c:order val="1"/>
          <c:tx>
            <c:v>ald1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Sheet2!$F$40:$I$40</c15:sqref>
                    </c15:fullRef>
                  </c:ext>
                </c:extLst>
                <c:f>Sheet2!$F$40:$H$40</c:f>
                <c:numCache>
                  <c:formatCode>General</c:formatCode>
                  <c:ptCount val="3"/>
                  <c:pt idx="0">
                    <c:v>1.6351844314939314</c:v>
                  </c:pt>
                  <c:pt idx="1">
                    <c:v>23.411516708306973</c:v>
                  </c:pt>
                  <c:pt idx="2">
                    <c:v>169.39263757336846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Sheet2!$F$40:$I$40</c15:sqref>
                    </c15:fullRef>
                  </c:ext>
                </c:extLst>
                <c:f>Sheet2!$F$40:$H$40</c:f>
                <c:numCache>
                  <c:formatCode>General</c:formatCode>
                  <c:ptCount val="3"/>
                  <c:pt idx="0">
                    <c:v>1.6351844314939314</c:v>
                  </c:pt>
                  <c:pt idx="1">
                    <c:v>23.411516708306973</c:v>
                  </c:pt>
                  <c:pt idx="2">
                    <c:v>169.39263757336846</c:v>
                  </c:pt>
                </c:numCache>
              </c:numRef>
            </c:minus>
          </c:errBar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Sheet2!$F$39:$I$39</c15:sqref>
                  </c15:fullRef>
                </c:ext>
              </c:extLst>
              <c:f>Sheet2!$F$39:$H$39</c:f>
              <c:numCache>
                <c:formatCode>General</c:formatCode>
                <c:ptCount val="3"/>
                <c:pt idx="0">
                  <c:v>148.60624999999999</c:v>
                </c:pt>
                <c:pt idx="1">
                  <c:v>-29.533333333333299</c:v>
                </c:pt>
                <c:pt idx="2">
                  <c:v>860.74062499999991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D-47AA-8A12-CFD7E63BFDC5}"/>
            </c:ext>
          </c:extLst>
        </c:ser>
        <c:ser>
          <c:idx val="2"/>
          <c:order val="2"/>
          <c:tx>
            <c:v>fmo1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Sheet2!$J$40:$M$40</c15:sqref>
                    </c15:fullRef>
                  </c:ext>
                </c:extLst>
                <c:f>Sheet2!$J$40:$L$40</c:f>
                <c:numCache>
                  <c:formatCode>General</c:formatCode>
                  <c:ptCount val="3"/>
                  <c:pt idx="0">
                    <c:v>222.61789444490606</c:v>
                  </c:pt>
                  <c:pt idx="1">
                    <c:v>40.290404635957316</c:v>
                  </c:pt>
                  <c:pt idx="2">
                    <c:v>375.69863130240441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Sheet2!$J$40:$M$40</c15:sqref>
                    </c15:fullRef>
                  </c:ext>
                </c:extLst>
                <c:f>Sheet2!$J$40:$L$40</c:f>
                <c:numCache>
                  <c:formatCode>General</c:formatCode>
                  <c:ptCount val="3"/>
                  <c:pt idx="0">
                    <c:v>222.61789444490606</c:v>
                  </c:pt>
                  <c:pt idx="1">
                    <c:v>40.290404635957316</c:v>
                  </c:pt>
                  <c:pt idx="2">
                    <c:v>375.69863130240441</c:v>
                  </c:pt>
                </c:numCache>
              </c:numRef>
            </c:minus>
          </c:errBar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Sheet2!$J$39:$M$39</c15:sqref>
                  </c15:fullRef>
                </c:ext>
              </c:extLst>
              <c:f>Sheet2!$J$39:$L$39</c:f>
              <c:numCache>
                <c:formatCode>General</c:formatCode>
                <c:ptCount val="3"/>
                <c:pt idx="0">
                  <c:v>345.24583333333339</c:v>
                </c:pt>
                <c:pt idx="1">
                  <c:v>475.94062500000007</c:v>
                </c:pt>
                <c:pt idx="2">
                  <c:v>2010.3999999999999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D-47AA-8A12-CFD7E63BF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123512685914263"/>
                  <c:y val="2.27314814814814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'Sheet2 (2)'!$Q$2:$Q$23</c:f>
              <c:numCache>
                <c:formatCode>General</c:formatCode>
                <c:ptCount val="22"/>
                <c:pt idx="0">
                  <c:v>11842</c:v>
                </c:pt>
                <c:pt idx="2">
                  <c:v>9365</c:v>
                </c:pt>
                <c:pt idx="3">
                  <c:v>8857</c:v>
                </c:pt>
                <c:pt idx="4">
                  <c:v>7607</c:v>
                </c:pt>
                <c:pt idx="5">
                  <c:v>6170</c:v>
                </c:pt>
                <c:pt idx="6">
                  <c:v>4195</c:v>
                </c:pt>
                <c:pt idx="7">
                  <c:v>2170</c:v>
                </c:pt>
                <c:pt idx="8">
                  <c:v>1247</c:v>
                </c:pt>
                <c:pt idx="9">
                  <c:v>1199</c:v>
                </c:pt>
                <c:pt idx="10">
                  <c:v>1102</c:v>
                </c:pt>
                <c:pt idx="11">
                  <c:v>12601</c:v>
                </c:pt>
                <c:pt idx="12">
                  <c:v>10619</c:v>
                </c:pt>
                <c:pt idx="13">
                  <c:v>9210</c:v>
                </c:pt>
                <c:pt idx="14">
                  <c:v>7912</c:v>
                </c:pt>
                <c:pt idx="15">
                  <c:v>7383</c:v>
                </c:pt>
                <c:pt idx="16">
                  <c:v>6440</c:v>
                </c:pt>
                <c:pt idx="17">
                  <c:v>4373</c:v>
                </c:pt>
                <c:pt idx="18">
                  <c:v>2362</c:v>
                </c:pt>
                <c:pt idx="19">
                  <c:v>1654</c:v>
                </c:pt>
                <c:pt idx="20">
                  <c:v>1204</c:v>
                </c:pt>
                <c:pt idx="21">
                  <c:v>1053</c:v>
                </c:pt>
              </c:numCache>
            </c:numRef>
          </c:xVal>
          <c:yVal>
            <c:numRef>
              <c:f>'Sheet2 (2)'!$P$2:$P$23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D-43F2-80F7-4EE9BB9244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843088363954507"/>
                  <c:y val="0.286620370370370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'Sheet2 (2)'!$R$2:$R$23</c:f>
              <c:numCache>
                <c:formatCode>General</c:formatCode>
                <c:ptCount val="22"/>
                <c:pt idx="0">
                  <c:v>22618.69346956908</c:v>
                </c:pt>
                <c:pt idx="2">
                  <c:v>17887.524433585073</c:v>
                </c:pt>
                <c:pt idx="3">
                  <c:v>16917.224122612173</c:v>
                </c:pt>
                <c:pt idx="4">
                  <c:v>14529.674144824523</c:v>
                </c:pt>
                <c:pt idx="5">
                  <c:v>11784.94669035984</c:v>
                </c:pt>
                <c:pt idx="6">
                  <c:v>8012.6177254553531</c:v>
                </c:pt>
                <c:pt idx="7">
                  <c:v>4144.7867614393599</c:v>
                </c:pt>
                <c:pt idx="8">
                  <c:v>2381.8198578409597</c:v>
                </c:pt>
                <c:pt idx="9">
                  <c:v>2290.1379386939138</c:v>
                </c:pt>
                <c:pt idx="10">
                  <c:v>2104.8640604175921</c:v>
                </c:pt>
                <c:pt idx="11">
                  <c:v>24068.413816081742</c:v>
                </c:pt>
                <c:pt idx="12">
                  <c:v>20282.714571301643</c:v>
                </c:pt>
                <c:pt idx="13">
                  <c:v>17591.468236339406</c:v>
                </c:pt>
                <c:pt idx="14">
                  <c:v>15112.23633940471</c:v>
                </c:pt>
                <c:pt idx="15">
                  <c:v>14101.825188804976</c:v>
                </c:pt>
                <c:pt idx="16">
                  <c:v>12300.657485561973</c:v>
                </c:pt>
                <c:pt idx="17">
                  <c:v>8352.6048422923141</c:v>
                </c:pt>
                <c:pt idx="18">
                  <c:v>4511.5144380275433</c:v>
                </c:pt>
                <c:pt idx="19">
                  <c:v>3159.2061306086184</c:v>
                </c:pt>
                <c:pt idx="20">
                  <c:v>2299.6881386050645</c:v>
                </c:pt>
                <c:pt idx="21">
                  <c:v>2011.2721012883162</c:v>
                </c:pt>
              </c:numCache>
            </c:numRef>
          </c:xVal>
          <c:yVal>
            <c:numRef>
              <c:f>'Sheet2 (2)'!$P$2:$P$23</c:f>
              <c:numCache>
                <c:formatCode>General</c:formatCode>
                <c:ptCount val="22"/>
                <c:pt idx="0">
                  <c:v>64</c:v>
                </c:pt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  <c:pt idx="7">
                  <c:v>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  <c:pt idx="11">
                  <c:v>64</c:v>
                </c:pt>
                <c:pt idx="12">
                  <c:v>56</c:v>
                </c:pt>
                <c:pt idx="13">
                  <c:v>48</c:v>
                </c:pt>
                <c:pt idx="14">
                  <c:v>40</c:v>
                </c:pt>
                <c:pt idx="15">
                  <c:v>32</c:v>
                </c:pt>
                <c:pt idx="16">
                  <c:v>24</c:v>
                </c:pt>
                <c:pt idx="17">
                  <c:v>16</c:v>
                </c:pt>
                <c:pt idx="18">
                  <c:v>8</c:v>
                </c:pt>
                <c:pt idx="19">
                  <c:v>3.2</c:v>
                </c:pt>
                <c:pt idx="20">
                  <c:v>1.6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1D-43F2-80F7-4EE9BB924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436008"/>
        <c:axId val="465434368"/>
      </c:scatterChart>
      <c:valAx>
        <c:axId val="46543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34368"/>
        <c:crosses val="autoZero"/>
        <c:crossBetween val="midCat"/>
      </c:valAx>
      <c:valAx>
        <c:axId val="46543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36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'Sheet2 (2)'!$B$40:$E$40</c:f>
                <c:numCache>
                  <c:formatCode>General</c:formatCode>
                  <c:ptCount val="4"/>
                  <c:pt idx="0">
                    <c:v>306.65493917227212</c:v>
                  </c:pt>
                  <c:pt idx="1">
                    <c:v>492.93937655489896</c:v>
                  </c:pt>
                  <c:pt idx="2">
                    <c:v>1674.4762945594855</c:v>
                  </c:pt>
                  <c:pt idx="3">
                    <c:v>448.81748823702935</c:v>
                  </c:pt>
                </c:numCache>
              </c:numRef>
            </c:plus>
            <c:minus>
              <c:numRef>
                <c:f>'Sheet2 (2)'!$B$40:$E$40</c:f>
                <c:numCache>
                  <c:formatCode>General</c:formatCode>
                  <c:ptCount val="4"/>
                  <c:pt idx="0">
                    <c:v>306.65493917227212</c:v>
                  </c:pt>
                  <c:pt idx="1">
                    <c:v>492.93937655489896</c:v>
                  </c:pt>
                  <c:pt idx="2">
                    <c:v>1674.4762945594855</c:v>
                  </c:pt>
                  <c:pt idx="3">
                    <c:v>448.81748823702935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'Sheet2 (2)'!$B$39:$E$39</c:f>
              <c:numCache>
                <c:formatCode>General</c:formatCode>
                <c:ptCount val="4"/>
                <c:pt idx="0">
                  <c:v>776.68124999999998</c:v>
                </c:pt>
                <c:pt idx="1">
                  <c:v>1215.6708333333336</c:v>
                </c:pt>
                <c:pt idx="2">
                  <c:v>5341.7875000000004</c:v>
                </c:pt>
                <c:pt idx="3">
                  <c:v>3920.640625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2-498B-A40F-C9DE471BAC6F}"/>
            </c:ext>
          </c:extLst>
        </c:ser>
        <c:ser>
          <c:idx val="1"/>
          <c:order val="1"/>
          <c:tx>
            <c:v>ald1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'Sheet2 (2)'!$F$40:$I$40</c:f>
                <c:numCache>
                  <c:formatCode>General</c:formatCode>
                  <c:ptCount val="4"/>
                  <c:pt idx="0">
                    <c:v>108.24920936489539</c:v>
                  </c:pt>
                  <c:pt idx="1">
                    <c:v>152.77092140549289</c:v>
                  </c:pt>
                  <c:pt idx="2">
                    <c:v>272.66535732163334</c:v>
                  </c:pt>
                  <c:pt idx="3">
                    <c:v>1455.2789167086407</c:v>
                  </c:pt>
                </c:numCache>
              </c:numRef>
            </c:plus>
            <c:minus>
              <c:numRef>
                <c:f>'Sheet2 (2)'!$F$40:$I$40</c:f>
                <c:numCache>
                  <c:formatCode>General</c:formatCode>
                  <c:ptCount val="4"/>
                  <c:pt idx="0">
                    <c:v>108.24920936489539</c:v>
                  </c:pt>
                  <c:pt idx="1">
                    <c:v>152.77092140549289</c:v>
                  </c:pt>
                  <c:pt idx="2">
                    <c:v>272.66535732163334</c:v>
                  </c:pt>
                  <c:pt idx="3">
                    <c:v>1455.2789167086407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'Sheet2 (2)'!$F$39:$I$39</c:f>
              <c:numCache>
                <c:formatCode>General</c:formatCode>
                <c:ptCount val="4"/>
                <c:pt idx="0">
                  <c:v>206.88124999999999</c:v>
                </c:pt>
                <c:pt idx="1">
                  <c:v>274.32916666666659</c:v>
                </c:pt>
                <c:pt idx="2">
                  <c:v>1825.8625</c:v>
                </c:pt>
                <c:pt idx="3">
                  <c:v>5179.9124999999995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2-498B-A40F-C9DE471BAC6F}"/>
            </c:ext>
          </c:extLst>
        </c:ser>
        <c:ser>
          <c:idx val="2"/>
          <c:order val="2"/>
          <c:tx>
            <c:v>fmo1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'Sheet2 (2)'!$J$40:$M$40</c:f>
                <c:numCache>
                  <c:formatCode>General</c:formatCode>
                  <c:ptCount val="4"/>
                  <c:pt idx="0">
                    <c:v>99.070317712029109</c:v>
                  </c:pt>
                  <c:pt idx="1">
                    <c:v>130.56508249999033</c:v>
                  </c:pt>
                  <c:pt idx="2">
                    <c:v>1197.8520533516457</c:v>
                  </c:pt>
                  <c:pt idx="3">
                    <c:v>1223.1198420677733</c:v>
                  </c:pt>
                </c:numCache>
              </c:numRef>
            </c:plus>
            <c:minus>
              <c:numRef>
                <c:f>'Sheet2 (2)'!$J$40:$M$40</c:f>
                <c:numCache>
                  <c:formatCode>General</c:formatCode>
                  <c:ptCount val="4"/>
                  <c:pt idx="0">
                    <c:v>99.070317712029109</c:v>
                  </c:pt>
                  <c:pt idx="1">
                    <c:v>130.56508249999033</c:v>
                  </c:pt>
                  <c:pt idx="2">
                    <c:v>1197.8520533516457</c:v>
                  </c:pt>
                  <c:pt idx="3">
                    <c:v>1223.1198420677733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'Sheet2 (2)'!$J$39:$M$39</c:f>
              <c:numCache>
                <c:formatCode>General</c:formatCode>
                <c:ptCount val="4"/>
                <c:pt idx="0">
                  <c:v>548.09062500000016</c:v>
                </c:pt>
                <c:pt idx="1">
                  <c:v>690.77187500000002</c:v>
                </c:pt>
                <c:pt idx="2">
                  <c:v>3921.6812499999996</c:v>
                </c:pt>
                <c:pt idx="3">
                  <c:v>4952.4781250000005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2-498B-A40F-C9DE471BA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435776"/>
        <c:axId val="573556824"/>
      </c:barChart>
      <c:catAx>
        <c:axId val="57443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56824"/>
        <c:crosses val="autoZero"/>
        <c:auto val="1"/>
        <c:lblAlgn val="ctr"/>
        <c:lblOffset val="100"/>
        <c:noMultiLvlLbl val="0"/>
      </c:catAx>
      <c:valAx>
        <c:axId val="57355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3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40</xdr:row>
      <xdr:rowOff>33337</xdr:rowOff>
    </xdr:from>
    <xdr:to>
      <xdr:col>20</xdr:col>
      <xdr:colOff>38100</xdr:colOff>
      <xdr:row>54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48E3D-3980-487B-B9B6-AA08D9663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442912</xdr:colOff>
      <xdr:row>54</xdr:row>
      <xdr:rowOff>119062</xdr:rowOff>
    </xdr:from>
    <xdr:to>
      <xdr:col>20</xdr:col>
      <xdr:colOff>138112</xdr:colOff>
      <xdr:row>69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42C94-E7B5-493E-B4B8-4C676AD5C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376237</xdr:colOff>
      <xdr:row>68</xdr:row>
      <xdr:rowOff>157162</xdr:rowOff>
    </xdr:from>
    <xdr:to>
      <xdr:col>20</xdr:col>
      <xdr:colOff>71437</xdr:colOff>
      <xdr:row>83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489341-58A3-4C6E-8CA9-50058BD27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147637</xdr:colOff>
      <xdr:row>1</xdr:row>
      <xdr:rowOff>4762</xdr:rowOff>
    </xdr:from>
    <xdr:to>
      <xdr:col>27</xdr:col>
      <xdr:colOff>452437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08546-D24F-4C68-952F-7B7D1B467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128587</xdr:colOff>
      <xdr:row>25</xdr:row>
      <xdr:rowOff>90487</xdr:rowOff>
    </xdr:from>
    <xdr:to>
      <xdr:col>21</xdr:col>
      <xdr:colOff>433387</xdr:colOff>
      <xdr:row>39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E942D7-117E-42B8-95C5-8F7301AD1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95250</xdr:colOff>
      <xdr:row>40</xdr:row>
      <xdr:rowOff>19050</xdr:rowOff>
    </xdr:from>
    <xdr:to>
      <xdr:col>21</xdr:col>
      <xdr:colOff>400050</xdr:colOff>
      <xdr:row>54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C5BF72-FC20-49B3-9DB6-43232D9B5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71437</xdr:colOff>
      <xdr:row>54</xdr:row>
      <xdr:rowOff>119062</xdr:rowOff>
    </xdr:from>
    <xdr:to>
      <xdr:col>21</xdr:col>
      <xdr:colOff>376237</xdr:colOff>
      <xdr:row>69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B7156F-133D-4752-83B3-0DA3E51BA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30</xdr:col>
      <xdr:colOff>304800</xdr:colOff>
      <xdr:row>40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E895ED-3E6B-4E47-A598-3AC988D3B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gfw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0.20759</cdr:x>
      <cdr:y>0.84716</cdr:y>
    </cdr:from>
    <cdr:to>
      <cdr:x>0.28647</cdr:x>
      <cdr:y>0.93011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49086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0.41452</cdr:x>
      <cdr:y>0.84716</cdr:y>
    </cdr:from>
    <cdr:to>
      <cdr:x>0.4934</cdr:x>
      <cdr:y>0.93011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1895201" y="2323925"/>
          <a:ext cx="360639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0.83844</cdr:x>
      <cdr:y>0.84716</cdr:y>
    </cdr:from>
    <cdr:to>
      <cdr:x>0.91732</cdr:x>
      <cdr:y>0.93011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3833332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  <cdr:relSizeAnchor xmlns:cdr="http://schemas.openxmlformats.org/drawingml/2006/chartDrawing">
    <cdr:from>
      <cdr:x>0.61794</cdr:x>
      <cdr:y>0.84716</cdr:y>
    </cdr:from>
    <cdr:to>
      <cdr:x>0.69682</cdr:x>
      <cdr:y>0.93011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2825206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Tota;l</a:t>
          </a:r>
          <a:r>
            <a:rPr lang="en-CA" sz="1100" b="1" baseline="0"/>
            <a:t> </a:t>
          </a:r>
          <a:r>
            <a:rPr lang="en-CA" sz="1100" b="1"/>
            <a:t>SA (ng</a:t>
          </a:r>
          <a:r>
            <a:rPr lang="en-CA" sz="1100" b="1" baseline="0"/>
            <a:t> gfw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0.20759</cdr:x>
      <cdr:y>0.84716</cdr:y>
    </cdr:from>
    <cdr:to>
      <cdr:x>0.28647</cdr:x>
      <cdr:y>0.93011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49086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0.41452</cdr:x>
      <cdr:y>0.84716</cdr:y>
    </cdr:from>
    <cdr:to>
      <cdr:x>0.4934</cdr:x>
      <cdr:y>0.93011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1895201" y="2323925"/>
          <a:ext cx="360639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0.83844</cdr:x>
      <cdr:y>0.84716</cdr:y>
    </cdr:from>
    <cdr:to>
      <cdr:x>0.91732</cdr:x>
      <cdr:y>0.93011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3833332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  <cdr:relSizeAnchor xmlns:cdr="http://schemas.openxmlformats.org/drawingml/2006/chartDrawing">
    <cdr:from>
      <cdr:x>0.61794</cdr:x>
      <cdr:y>0.84716</cdr:y>
    </cdr:from>
    <cdr:to>
      <cdr:x>0.69682</cdr:x>
      <cdr:y>0.93011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2825206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SAG (ng</a:t>
          </a:r>
          <a:r>
            <a:rPr lang="en-CA" sz="1100" b="1" baseline="0"/>
            <a:t> gfw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0.20759</cdr:x>
      <cdr:y>0.84716</cdr:y>
    </cdr:from>
    <cdr:to>
      <cdr:x>0.28647</cdr:x>
      <cdr:y>0.93011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49086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0.41452</cdr:x>
      <cdr:y>0.84716</cdr:y>
    </cdr:from>
    <cdr:to>
      <cdr:x>0.4934</cdr:x>
      <cdr:y>0.93011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1895201" y="2323925"/>
          <a:ext cx="360639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0.83844</cdr:x>
      <cdr:y>0.84716</cdr:y>
    </cdr:from>
    <cdr:to>
      <cdr:x>0.91732</cdr:x>
      <cdr:y>0.93011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3833332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  <cdr:relSizeAnchor xmlns:cdr="http://schemas.openxmlformats.org/drawingml/2006/chartDrawing">
    <cdr:from>
      <cdr:x>0.61794</cdr:x>
      <cdr:y>0.84716</cdr:y>
    </cdr:from>
    <cdr:to>
      <cdr:x>0.69682</cdr:x>
      <cdr:y>0.93011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2825206" y="2323925"/>
          <a:ext cx="360640" cy="227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gfw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0.22981</cdr:x>
      <cdr:y>0.84716</cdr:y>
    </cdr:from>
    <cdr:to>
      <cdr:x>0.30869</cdr:x>
      <cdr:y>0.93011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1050701" y="2248617"/>
          <a:ext cx="360640" cy="220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0.52285</cdr:x>
      <cdr:y>0.85912</cdr:y>
    </cdr:from>
    <cdr:to>
      <cdr:x>0.60173</cdr:x>
      <cdr:y>0.94207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390485" y="2280367"/>
          <a:ext cx="360640" cy="220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0.80266</cdr:x>
      <cdr:y>0.85673</cdr:y>
    </cdr:from>
    <cdr:to>
      <cdr:x>0.88154</cdr:x>
      <cdr:y>0.93968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37E47B1-7B79-4259-9F1F-66AFA0118839}"/>
            </a:ext>
          </a:extLst>
        </cdr:cNvPr>
        <cdr:cNvSpPr txBox="1"/>
      </cdr:nvSpPr>
      <cdr:spPr>
        <a:xfrm xmlns:a="http://schemas.openxmlformats.org/drawingml/2006/main">
          <a:off x="3669772" y="2274017"/>
          <a:ext cx="360639" cy="220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147637</xdr:colOff>
      <xdr:row>1</xdr:row>
      <xdr:rowOff>4762</xdr:rowOff>
    </xdr:from>
    <xdr:to>
      <xdr:col>27</xdr:col>
      <xdr:colOff>452437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D66B8-2F3A-4E47-A289-627B62FC7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138112</xdr:colOff>
      <xdr:row>46</xdr:row>
      <xdr:rowOff>119062</xdr:rowOff>
    </xdr:from>
    <xdr:to>
      <xdr:col>12</xdr:col>
      <xdr:colOff>442912</xdr:colOff>
      <xdr:row>61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D980B-81A7-47EE-811D-D3E9808F7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"/>
  <sheetViews>
    <sheetView topLeftCell="F40" workbookViewId="0">
      <selection activeCell="O31" sqref="O31:AA39"/>
    </sheetView>
  </sheetViews>
  <sheetFormatPr defaultRowHeight="14" x14ac:dyDescent="0.3"/>
  <cols>
    <col min="4" max="4" width="11.5" bestFit="1" customWidth="1"/>
  </cols>
  <sheetData>
    <row r="1" spans="1:29" x14ac:dyDescent="0.3">
      <c r="A1" s="1" t="s">
        <v>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1" t="s">
        <v>10</v>
      </c>
      <c r="P1" s="2">
        <v>1</v>
      </c>
      <c r="Q1" s="2">
        <v>2</v>
      </c>
      <c r="R1" s="2">
        <v>3</v>
      </c>
      <c r="S1" s="2">
        <v>4</v>
      </c>
      <c r="T1" s="2">
        <v>5</v>
      </c>
      <c r="U1" s="2">
        <v>6</v>
      </c>
      <c r="V1" s="2">
        <v>7</v>
      </c>
      <c r="W1" s="2">
        <v>8</v>
      </c>
      <c r="X1" s="2">
        <v>9</v>
      </c>
      <c r="Y1" s="2">
        <v>10</v>
      </c>
      <c r="Z1" s="2">
        <v>11</v>
      </c>
      <c r="AA1" s="2">
        <v>12</v>
      </c>
    </row>
    <row r="2" spans="1:29" x14ac:dyDescent="0.3">
      <c r="A2" s="2" t="s">
        <v>0</v>
      </c>
      <c r="B2" s="3">
        <v>1406</v>
      </c>
      <c r="C2" s="3">
        <v>1140</v>
      </c>
      <c r="D2" s="3">
        <v>931</v>
      </c>
      <c r="E2" s="3">
        <v>887</v>
      </c>
      <c r="F2" s="3">
        <v>816</v>
      </c>
      <c r="G2" s="3">
        <v>711</v>
      </c>
      <c r="H2" s="3">
        <v>572</v>
      </c>
      <c r="I2" s="3">
        <v>391</v>
      </c>
      <c r="J2" s="3">
        <v>236</v>
      </c>
      <c r="K2" s="3">
        <v>127</v>
      </c>
      <c r="L2" s="3">
        <v>107</v>
      </c>
      <c r="M2" s="3">
        <v>110</v>
      </c>
      <c r="N2" s="4" t="s">
        <v>1</v>
      </c>
      <c r="O2" s="2" t="s">
        <v>0</v>
      </c>
      <c r="P2" s="3">
        <v>25801</v>
      </c>
      <c r="Q2" s="3">
        <v>24754</v>
      </c>
      <c r="R2" s="3">
        <v>19926</v>
      </c>
      <c r="S2" s="3">
        <v>17821</v>
      </c>
      <c r="T2" s="3">
        <v>16084</v>
      </c>
      <c r="U2" s="3">
        <v>14611</v>
      </c>
      <c r="V2" s="3">
        <v>11404</v>
      </c>
      <c r="W2" s="3">
        <v>7582</v>
      </c>
      <c r="X2" s="3">
        <v>4597</v>
      </c>
      <c r="Y2" s="3">
        <v>3021</v>
      </c>
      <c r="Z2" s="3">
        <v>2559</v>
      </c>
      <c r="AA2" s="3">
        <v>2130</v>
      </c>
      <c r="AB2" s="4" t="s">
        <v>9</v>
      </c>
    </row>
    <row r="3" spans="1:29" x14ac:dyDescent="0.3">
      <c r="A3" s="2" t="s">
        <v>2</v>
      </c>
      <c r="B3" s="3">
        <v>1589</v>
      </c>
      <c r="C3" s="3">
        <v>1202</v>
      </c>
      <c r="D3" s="3">
        <v>1019</v>
      </c>
      <c r="E3" s="3">
        <v>948</v>
      </c>
      <c r="F3" s="3">
        <v>771</v>
      </c>
      <c r="G3" s="3">
        <v>666</v>
      </c>
      <c r="H3" s="3">
        <v>498</v>
      </c>
      <c r="I3" s="3">
        <v>373</v>
      </c>
      <c r="J3" s="3">
        <v>228</v>
      </c>
      <c r="K3" s="3">
        <v>160</v>
      </c>
      <c r="L3" s="3">
        <v>142</v>
      </c>
      <c r="M3" s="3">
        <v>119</v>
      </c>
      <c r="N3" s="4" t="s">
        <v>1</v>
      </c>
      <c r="O3" s="2" t="s">
        <v>2</v>
      </c>
      <c r="P3" s="3">
        <v>29354</v>
      </c>
      <c r="Q3" s="3">
        <v>23106</v>
      </c>
      <c r="R3" s="3">
        <v>20538</v>
      </c>
      <c r="S3" s="3">
        <v>17897</v>
      </c>
      <c r="T3" s="3">
        <v>15251</v>
      </c>
      <c r="U3" s="3">
        <v>13155</v>
      </c>
      <c r="V3" s="3">
        <v>11133</v>
      </c>
      <c r="W3" s="3">
        <v>7473</v>
      </c>
      <c r="X3" s="3">
        <v>4392</v>
      </c>
      <c r="Y3" s="3">
        <v>3093</v>
      </c>
      <c r="Z3" s="3">
        <v>2791</v>
      </c>
      <c r="AA3" s="3">
        <v>2652</v>
      </c>
      <c r="AB3" s="4" t="s">
        <v>9</v>
      </c>
    </row>
    <row r="4" spans="1:29" x14ac:dyDescent="0.3">
      <c r="A4" s="2" t="s">
        <v>3</v>
      </c>
      <c r="B4" s="3">
        <v>383</v>
      </c>
      <c r="C4" s="3">
        <v>254</v>
      </c>
      <c r="D4" s="3">
        <v>213</v>
      </c>
      <c r="E4" s="3">
        <v>225</v>
      </c>
      <c r="F4" s="3">
        <v>181</v>
      </c>
      <c r="G4" s="3">
        <v>144</v>
      </c>
      <c r="H4" s="3">
        <v>94</v>
      </c>
      <c r="I4" s="3">
        <v>76</v>
      </c>
      <c r="J4" s="3">
        <v>216</v>
      </c>
      <c r="K4" s="3">
        <v>199</v>
      </c>
      <c r="L4" s="3">
        <v>273</v>
      </c>
      <c r="M4" s="3">
        <v>189</v>
      </c>
      <c r="N4" s="4" t="s">
        <v>1</v>
      </c>
      <c r="O4" s="2" t="s">
        <v>3</v>
      </c>
      <c r="P4" s="3"/>
      <c r="Q4" s="3">
        <v>5031</v>
      </c>
      <c r="R4" s="3">
        <v>4220</v>
      </c>
      <c r="S4" s="3">
        <v>4335</v>
      </c>
      <c r="T4" s="3">
        <v>4156</v>
      </c>
      <c r="U4" s="3">
        <v>2970</v>
      </c>
      <c r="V4" s="3">
        <v>1719</v>
      </c>
      <c r="W4" s="3">
        <v>1852</v>
      </c>
      <c r="X4" s="3">
        <v>4897</v>
      </c>
      <c r="Y4" s="3">
        <v>3834</v>
      </c>
      <c r="Z4" s="3"/>
      <c r="AA4" s="3">
        <v>4086</v>
      </c>
      <c r="AB4" s="4" t="s">
        <v>9</v>
      </c>
      <c r="AC4">
        <f>AVERAGE(P4:AA4)</f>
        <v>3710</v>
      </c>
    </row>
    <row r="5" spans="1:29" x14ac:dyDescent="0.3">
      <c r="A5" s="2" t="s">
        <v>4</v>
      </c>
      <c r="B5" s="3">
        <v>197</v>
      </c>
      <c r="C5" s="3">
        <v>131</v>
      </c>
      <c r="D5" s="3">
        <v>298</v>
      </c>
      <c r="E5" s="3">
        <v>193</v>
      </c>
      <c r="F5" s="3">
        <v>128</v>
      </c>
      <c r="G5" s="3">
        <v>166</v>
      </c>
      <c r="H5" s="3">
        <v>166</v>
      </c>
      <c r="I5" s="3">
        <v>127</v>
      </c>
      <c r="J5" s="3">
        <v>219</v>
      </c>
      <c r="K5" s="3">
        <v>217</v>
      </c>
      <c r="L5" s="3">
        <v>240</v>
      </c>
      <c r="M5" s="3">
        <v>256</v>
      </c>
      <c r="N5" s="4" t="s">
        <v>1</v>
      </c>
      <c r="O5" s="2" t="s">
        <v>4</v>
      </c>
      <c r="P5" s="3">
        <v>3978</v>
      </c>
      <c r="Q5" s="3">
        <v>2479</v>
      </c>
      <c r="R5" s="3">
        <v>5546</v>
      </c>
      <c r="S5" s="3">
        <v>3461</v>
      </c>
      <c r="T5" s="3">
        <v>3046</v>
      </c>
      <c r="U5" s="3">
        <v>3450</v>
      </c>
      <c r="V5" s="3">
        <v>3219</v>
      </c>
      <c r="W5" s="3">
        <v>2890</v>
      </c>
      <c r="X5" s="3">
        <v>4542</v>
      </c>
      <c r="Y5" s="3">
        <v>4648</v>
      </c>
      <c r="Z5" s="3">
        <v>5053</v>
      </c>
      <c r="AA5" s="3">
        <v>4966</v>
      </c>
      <c r="AB5" s="4" t="s">
        <v>9</v>
      </c>
    </row>
    <row r="6" spans="1:29" x14ac:dyDescent="0.3">
      <c r="A6" s="2" t="s">
        <v>5</v>
      </c>
      <c r="B6" s="3">
        <v>671</v>
      </c>
      <c r="C6" s="3">
        <v>504</v>
      </c>
      <c r="D6" s="3">
        <v>879</v>
      </c>
      <c r="E6" s="3">
        <v>609</v>
      </c>
      <c r="F6" s="3">
        <v>260</v>
      </c>
      <c r="G6" s="3">
        <v>289</v>
      </c>
      <c r="H6" s="3">
        <v>289</v>
      </c>
      <c r="I6" s="3">
        <v>284</v>
      </c>
      <c r="J6" s="3">
        <v>311</v>
      </c>
      <c r="K6" s="3">
        <v>463</v>
      </c>
      <c r="L6" s="3">
        <v>394</v>
      </c>
      <c r="M6" s="3">
        <v>320</v>
      </c>
      <c r="N6" s="4" t="s">
        <v>1</v>
      </c>
      <c r="O6" s="2" t="s">
        <v>5</v>
      </c>
      <c r="P6" s="3">
        <v>14216</v>
      </c>
      <c r="Q6" s="3">
        <v>10227</v>
      </c>
      <c r="R6" s="3">
        <v>19563</v>
      </c>
      <c r="S6" s="3">
        <v>12219</v>
      </c>
      <c r="T6" s="3">
        <v>5238</v>
      </c>
      <c r="U6" s="3">
        <v>5555</v>
      </c>
      <c r="V6" s="3">
        <v>6356</v>
      </c>
      <c r="W6" s="3">
        <v>5945</v>
      </c>
      <c r="X6" s="3">
        <v>7745</v>
      </c>
      <c r="Y6" s="3">
        <v>10140</v>
      </c>
      <c r="Z6" s="3">
        <v>8000</v>
      </c>
      <c r="AA6" s="3">
        <v>6092</v>
      </c>
      <c r="AB6" s="4" t="s">
        <v>9</v>
      </c>
    </row>
    <row r="7" spans="1:29" x14ac:dyDescent="0.3">
      <c r="A7" s="2" t="s">
        <v>6</v>
      </c>
      <c r="B7" s="3">
        <v>374</v>
      </c>
      <c r="C7" s="3">
        <v>357</v>
      </c>
      <c r="D7" s="3">
        <v>325</v>
      </c>
      <c r="E7" s="3">
        <v>303</v>
      </c>
      <c r="F7" s="3">
        <v>297</v>
      </c>
      <c r="G7" s="3">
        <v>340</v>
      </c>
      <c r="H7" s="3">
        <v>517</v>
      </c>
      <c r="I7" s="3">
        <v>402</v>
      </c>
      <c r="J7" s="3">
        <v>361</v>
      </c>
      <c r="K7" s="3">
        <v>324</v>
      </c>
      <c r="L7" s="3">
        <v>417</v>
      </c>
      <c r="M7" s="3">
        <v>418</v>
      </c>
      <c r="N7" s="4" t="s">
        <v>1</v>
      </c>
      <c r="O7" s="2" t="s">
        <v>6</v>
      </c>
      <c r="P7" s="3">
        <v>8392</v>
      </c>
      <c r="Q7" s="3">
        <v>8766</v>
      </c>
      <c r="R7" s="3">
        <v>7378</v>
      </c>
      <c r="S7" s="3">
        <v>8332</v>
      </c>
      <c r="T7" s="3">
        <v>6630</v>
      </c>
      <c r="U7" s="3">
        <v>7535</v>
      </c>
      <c r="V7" s="3">
        <v>11128</v>
      </c>
      <c r="W7" s="3">
        <v>8578</v>
      </c>
      <c r="X7" s="3">
        <v>8725</v>
      </c>
      <c r="Y7" s="3">
        <v>7087</v>
      </c>
      <c r="Z7" s="3">
        <v>9540</v>
      </c>
      <c r="AA7" s="3">
        <v>8400</v>
      </c>
      <c r="AB7" s="4" t="s">
        <v>9</v>
      </c>
    </row>
    <row r="8" spans="1:29" x14ac:dyDescent="0.3">
      <c r="A8" s="2" t="s">
        <v>7</v>
      </c>
      <c r="B8" s="3">
        <v>325</v>
      </c>
      <c r="C8" s="3">
        <v>361</v>
      </c>
      <c r="D8" s="3">
        <v>336</v>
      </c>
      <c r="E8" s="3">
        <v>336</v>
      </c>
      <c r="F8" s="3">
        <v>392</v>
      </c>
      <c r="G8" s="3">
        <v>329</v>
      </c>
      <c r="H8" s="3">
        <v>359</v>
      </c>
      <c r="I8" s="3">
        <v>318</v>
      </c>
      <c r="J8" s="3">
        <v>2</v>
      </c>
      <c r="K8" s="3">
        <v>1</v>
      </c>
      <c r="L8" s="3">
        <v>2</v>
      </c>
      <c r="M8" s="3">
        <v>1</v>
      </c>
      <c r="N8" s="4" t="s">
        <v>1</v>
      </c>
      <c r="O8" s="2" t="s">
        <v>7</v>
      </c>
      <c r="P8" s="3">
        <v>7394</v>
      </c>
      <c r="Q8" s="3">
        <v>7528</v>
      </c>
      <c r="R8" s="3">
        <v>8106</v>
      </c>
      <c r="S8" s="3">
        <v>7647</v>
      </c>
      <c r="T8" s="3">
        <v>7647</v>
      </c>
      <c r="U8" s="3">
        <v>7306</v>
      </c>
      <c r="V8" s="3">
        <v>7840</v>
      </c>
      <c r="W8" s="3">
        <v>7467</v>
      </c>
      <c r="X8" s="3">
        <v>21</v>
      </c>
      <c r="Y8" s="3">
        <v>19</v>
      </c>
      <c r="Z8" s="3">
        <v>11</v>
      </c>
      <c r="AA8" s="3">
        <v>50</v>
      </c>
      <c r="AB8" s="4" t="s">
        <v>9</v>
      </c>
    </row>
    <row r="9" spans="1:29" x14ac:dyDescent="0.3">
      <c r="A9" s="2" t="s">
        <v>8</v>
      </c>
      <c r="B9" s="3">
        <v>1</v>
      </c>
      <c r="C9" s="3">
        <v>3</v>
      </c>
      <c r="D9" s="3">
        <v>1</v>
      </c>
      <c r="E9" s="3">
        <v>2</v>
      </c>
      <c r="F9" s="3">
        <v>2</v>
      </c>
      <c r="G9" s="3">
        <v>1</v>
      </c>
      <c r="H9" s="3">
        <v>3</v>
      </c>
      <c r="I9" s="3">
        <v>2</v>
      </c>
      <c r="J9" s="3">
        <v>1</v>
      </c>
      <c r="K9" s="3">
        <v>2</v>
      </c>
      <c r="L9" s="3">
        <v>1</v>
      </c>
      <c r="M9" s="3">
        <v>1</v>
      </c>
      <c r="N9" s="4" t="s">
        <v>1</v>
      </c>
      <c r="O9" s="2" t="s">
        <v>8</v>
      </c>
      <c r="P9" s="3">
        <v>39</v>
      </c>
      <c r="Q9" s="3">
        <v>19</v>
      </c>
      <c r="R9" s="3">
        <v>53</v>
      </c>
      <c r="S9" s="3">
        <v>55</v>
      </c>
      <c r="T9" s="3">
        <v>40</v>
      </c>
      <c r="U9" s="3">
        <v>13</v>
      </c>
      <c r="V9" s="3">
        <v>38</v>
      </c>
      <c r="W9" s="3">
        <v>14</v>
      </c>
      <c r="X9" s="3">
        <v>56</v>
      </c>
      <c r="Y9" s="3">
        <v>5</v>
      </c>
      <c r="Z9" s="3">
        <v>48</v>
      </c>
      <c r="AA9" s="3">
        <v>27</v>
      </c>
      <c r="AB9" s="4" t="s">
        <v>9</v>
      </c>
    </row>
    <row r="11" spans="1:29" x14ac:dyDescent="0.3">
      <c r="A11" s="1" t="s">
        <v>11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O11" s="1" t="s">
        <v>11</v>
      </c>
      <c r="P11" s="2">
        <v>1</v>
      </c>
      <c r="Q11" s="2">
        <v>2</v>
      </c>
      <c r="R11" s="2">
        <v>3</v>
      </c>
      <c r="S11" s="2">
        <v>4</v>
      </c>
      <c r="T11" s="2">
        <v>5</v>
      </c>
      <c r="U11" s="2">
        <v>6</v>
      </c>
      <c r="V11" s="2">
        <v>7</v>
      </c>
      <c r="W11" s="2">
        <v>8</v>
      </c>
      <c r="X11" s="2">
        <v>9</v>
      </c>
      <c r="Y11" s="2">
        <v>10</v>
      </c>
      <c r="Z11" s="2">
        <v>11</v>
      </c>
      <c r="AA11" s="2">
        <v>12</v>
      </c>
    </row>
    <row r="12" spans="1:29" x14ac:dyDescent="0.3">
      <c r="A12" s="2" t="s">
        <v>0</v>
      </c>
      <c r="B12" s="3">
        <v>915</v>
      </c>
      <c r="C12" s="3">
        <v>906</v>
      </c>
      <c r="D12" s="3">
        <v>830</v>
      </c>
      <c r="E12" s="3">
        <v>815</v>
      </c>
      <c r="F12" s="3">
        <v>742</v>
      </c>
      <c r="G12" s="3">
        <v>663</v>
      </c>
      <c r="H12" s="3">
        <v>550</v>
      </c>
      <c r="I12" s="3">
        <v>421</v>
      </c>
      <c r="J12" s="3">
        <v>212</v>
      </c>
      <c r="K12" s="3">
        <v>122</v>
      </c>
      <c r="L12" s="3">
        <v>77</v>
      </c>
      <c r="M12" s="3">
        <v>77</v>
      </c>
      <c r="N12" s="4" t="s">
        <v>1</v>
      </c>
      <c r="O12" s="2" t="s">
        <v>0</v>
      </c>
      <c r="P12" s="3">
        <v>21955</v>
      </c>
      <c r="Q12" s="3">
        <v>19626</v>
      </c>
      <c r="R12" s="3">
        <v>18095</v>
      </c>
      <c r="S12" s="3">
        <v>17449</v>
      </c>
      <c r="T12" s="3">
        <v>14705</v>
      </c>
      <c r="U12" s="3">
        <v>13547</v>
      </c>
      <c r="V12" s="3">
        <v>11580</v>
      </c>
      <c r="W12" s="3">
        <v>7531</v>
      </c>
      <c r="X12" s="3">
        <v>4231</v>
      </c>
      <c r="Y12" s="3">
        <v>2120</v>
      </c>
      <c r="Z12" s="3">
        <v>1696</v>
      </c>
      <c r="AA12" s="3">
        <v>1256</v>
      </c>
      <c r="AB12" s="4" t="s">
        <v>9</v>
      </c>
    </row>
    <row r="13" spans="1:29" x14ac:dyDescent="0.3">
      <c r="A13" s="2" t="s">
        <v>2</v>
      </c>
      <c r="B13" s="3">
        <v>1146</v>
      </c>
      <c r="C13" s="3">
        <v>1015</v>
      </c>
      <c r="D13" s="3">
        <v>904</v>
      </c>
      <c r="E13" s="3">
        <v>861</v>
      </c>
      <c r="F13" s="3">
        <v>724</v>
      </c>
      <c r="G13" s="3">
        <v>667</v>
      </c>
      <c r="H13" s="3">
        <v>568</v>
      </c>
      <c r="I13" s="3">
        <v>396</v>
      </c>
      <c r="J13" s="3">
        <v>237</v>
      </c>
      <c r="K13" s="3">
        <v>127</v>
      </c>
      <c r="L13" s="3">
        <v>103</v>
      </c>
      <c r="M13" s="3">
        <v>76</v>
      </c>
      <c r="N13" s="4" t="s">
        <v>1</v>
      </c>
      <c r="O13" s="2" t="s">
        <v>2</v>
      </c>
      <c r="P13" s="3">
        <v>23778</v>
      </c>
      <c r="Q13" s="3">
        <v>19777</v>
      </c>
      <c r="R13" s="3">
        <v>17272</v>
      </c>
      <c r="S13" s="3">
        <v>17070</v>
      </c>
      <c r="T13" s="3">
        <v>15247</v>
      </c>
      <c r="U13" s="3">
        <v>13322</v>
      </c>
      <c r="V13" s="3">
        <v>10860</v>
      </c>
      <c r="W13" s="3">
        <v>7875</v>
      </c>
      <c r="X13" s="3">
        <v>4569</v>
      </c>
      <c r="Y13" s="3">
        <v>2782</v>
      </c>
      <c r="Z13" s="3">
        <v>2033</v>
      </c>
      <c r="AA13" s="3">
        <v>1641</v>
      </c>
      <c r="AB13" s="4" t="s">
        <v>9</v>
      </c>
    </row>
    <row r="14" spans="1:29" x14ac:dyDescent="0.3">
      <c r="A14" s="2" t="s">
        <v>3</v>
      </c>
      <c r="B14" s="3">
        <v>302</v>
      </c>
      <c r="C14" s="3">
        <v>237</v>
      </c>
      <c r="D14" s="3">
        <v>221</v>
      </c>
      <c r="E14" s="3">
        <v>235</v>
      </c>
      <c r="F14" s="3">
        <v>154</v>
      </c>
      <c r="G14" s="3">
        <v>170</v>
      </c>
      <c r="H14" s="3">
        <v>89</v>
      </c>
      <c r="I14" s="3">
        <v>113</v>
      </c>
      <c r="J14" s="3">
        <v>219</v>
      </c>
      <c r="K14" s="3">
        <v>209</v>
      </c>
      <c r="L14" s="3">
        <v>179</v>
      </c>
      <c r="M14" s="3">
        <v>151</v>
      </c>
      <c r="N14" s="4" t="s">
        <v>1</v>
      </c>
      <c r="O14" s="2" t="s">
        <v>3</v>
      </c>
      <c r="P14" s="3">
        <v>6009</v>
      </c>
      <c r="Q14" s="3">
        <v>4279</v>
      </c>
      <c r="R14" s="3">
        <v>4574</v>
      </c>
      <c r="S14" s="3">
        <v>4353</v>
      </c>
      <c r="T14" s="3">
        <v>2807</v>
      </c>
      <c r="U14" s="3">
        <v>3258</v>
      </c>
      <c r="V14" s="3">
        <v>1689</v>
      </c>
      <c r="W14" s="3">
        <v>1731</v>
      </c>
      <c r="X14" s="3">
        <v>4314</v>
      </c>
      <c r="Y14" s="3">
        <v>3662</v>
      </c>
      <c r="Z14" s="3">
        <v>3372</v>
      </c>
      <c r="AA14" s="3">
        <v>3332</v>
      </c>
      <c r="AB14" s="4" t="s">
        <v>9</v>
      </c>
    </row>
    <row r="15" spans="1:29" x14ac:dyDescent="0.3">
      <c r="A15" s="2" t="s">
        <v>4</v>
      </c>
      <c r="B15" s="3">
        <v>250</v>
      </c>
      <c r="C15" s="3">
        <v>163</v>
      </c>
      <c r="D15" s="3">
        <v>334</v>
      </c>
      <c r="E15" s="3">
        <v>226</v>
      </c>
      <c r="F15" s="3">
        <v>135</v>
      </c>
      <c r="G15" s="3">
        <v>193</v>
      </c>
      <c r="H15" s="3">
        <v>189</v>
      </c>
      <c r="I15" s="3">
        <v>138</v>
      </c>
      <c r="J15" s="3">
        <v>202</v>
      </c>
      <c r="K15" s="3">
        <v>200</v>
      </c>
      <c r="L15" s="3">
        <v>205</v>
      </c>
      <c r="M15" s="3">
        <v>235</v>
      </c>
      <c r="N15" s="4" t="s">
        <v>1</v>
      </c>
      <c r="O15" s="2" t="s">
        <v>4</v>
      </c>
      <c r="P15" s="3">
        <v>4935</v>
      </c>
      <c r="Q15" s="3">
        <v>3222</v>
      </c>
      <c r="R15" s="3">
        <v>7323</v>
      </c>
      <c r="S15" s="3">
        <v>4331</v>
      </c>
      <c r="T15" s="3">
        <v>2432</v>
      </c>
      <c r="U15" s="3">
        <v>4226</v>
      </c>
      <c r="V15" s="3">
        <v>3486</v>
      </c>
      <c r="W15" s="3">
        <v>3586</v>
      </c>
      <c r="X15" s="3">
        <v>4478</v>
      </c>
      <c r="Y15" s="3">
        <v>4472</v>
      </c>
      <c r="Z15" s="3">
        <v>4856</v>
      </c>
      <c r="AA15" s="3">
        <v>4545</v>
      </c>
      <c r="AB15" s="4" t="s">
        <v>9</v>
      </c>
    </row>
    <row r="16" spans="1:29" x14ac:dyDescent="0.3">
      <c r="A16" s="2" t="s">
        <v>5</v>
      </c>
      <c r="B16" s="3">
        <v>934</v>
      </c>
      <c r="C16" s="3">
        <v>645</v>
      </c>
      <c r="D16" s="3">
        <v>1181</v>
      </c>
      <c r="E16" s="3">
        <v>738</v>
      </c>
      <c r="F16" s="3">
        <v>319</v>
      </c>
      <c r="G16" s="3">
        <v>348</v>
      </c>
      <c r="H16" s="3">
        <v>398</v>
      </c>
      <c r="I16" s="3">
        <v>411</v>
      </c>
      <c r="J16" s="3">
        <v>489</v>
      </c>
      <c r="K16" s="3">
        <v>746</v>
      </c>
      <c r="L16" s="3">
        <v>579</v>
      </c>
      <c r="M16" s="3">
        <v>443</v>
      </c>
      <c r="N16" s="4" t="s">
        <v>1</v>
      </c>
      <c r="O16" s="2" t="s">
        <v>5</v>
      </c>
      <c r="P16" s="3">
        <v>18301</v>
      </c>
      <c r="Q16" s="3">
        <v>14278</v>
      </c>
      <c r="R16" s="3">
        <v>25738</v>
      </c>
      <c r="S16" s="3">
        <v>15947</v>
      </c>
      <c r="T16" s="3">
        <v>6441</v>
      </c>
      <c r="U16" s="3">
        <v>7190</v>
      </c>
      <c r="V16" s="3">
        <v>8155</v>
      </c>
      <c r="W16" s="3">
        <v>8583</v>
      </c>
      <c r="X16" s="3">
        <v>10473</v>
      </c>
      <c r="Y16" s="3">
        <v>17013</v>
      </c>
      <c r="Z16" s="3">
        <v>12915</v>
      </c>
      <c r="AA16" s="3">
        <v>9865</v>
      </c>
      <c r="AB16" s="4" t="s">
        <v>9</v>
      </c>
    </row>
    <row r="17" spans="1:28" x14ac:dyDescent="0.3">
      <c r="A17" s="2" t="s">
        <v>6</v>
      </c>
      <c r="B17" s="3">
        <v>661</v>
      </c>
      <c r="C17" s="3">
        <v>538</v>
      </c>
      <c r="D17" s="3">
        <v>532</v>
      </c>
      <c r="E17" s="3">
        <v>630</v>
      </c>
      <c r="F17" s="3">
        <v>527</v>
      </c>
      <c r="G17" s="3">
        <v>563</v>
      </c>
      <c r="H17" s="3">
        <v>928</v>
      </c>
      <c r="I17" s="3">
        <v>783</v>
      </c>
      <c r="J17" s="3">
        <v>575</v>
      </c>
      <c r="K17" s="3">
        <v>547</v>
      </c>
      <c r="L17" s="3">
        <v>821</v>
      </c>
      <c r="M17" s="3">
        <v>699</v>
      </c>
      <c r="N17" s="4" t="s">
        <v>1</v>
      </c>
      <c r="O17" s="2" t="s">
        <v>6</v>
      </c>
      <c r="P17" s="3">
        <v>14447</v>
      </c>
      <c r="Q17" s="3">
        <v>12360</v>
      </c>
      <c r="R17" s="3">
        <v>11789</v>
      </c>
      <c r="S17" s="3">
        <v>13126</v>
      </c>
      <c r="T17" s="3">
        <v>12411</v>
      </c>
      <c r="U17" s="3">
        <v>13943</v>
      </c>
      <c r="V17" s="3">
        <v>20299</v>
      </c>
      <c r="W17" s="3">
        <v>17857</v>
      </c>
      <c r="X17" s="3">
        <v>12180</v>
      </c>
      <c r="Y17" s="3">
        <v>12775</v>
      </c>
      <c r="Z17" s="3">
        <v>19566</v>
      </c>
      <c r="AA17" s="3">
        <v>15681</v>
      </c>
      <c r="AB17" s="4" t="s">
        <v>9</v>
      </c>
    </row>
    <row r="18" spans="1:28" x14ac:dyDescent="0.3">
      <c r="A18" s="2" t="s">
        <v>7</v>
      </c>
      <c r="B18" s="3">
        <v>226</v>
      </c>
      <c r="C18" s="3">
        <v>309</v>
      </c>
      <c r="D18" s="3">
        <v>307</v>
      </c>
      <c r="E18" s="3">
        <v>298</v>
      </c>
      <c r="F18" s="3">
        <v>304</v>
      </c>
      <c r="G18" s="3">
        <v>306</v>
      </c>
      <c r="H18" s="3">
        <v>290</v>
      </c>
      <c r="I18" s="3">
        <v>284</v>
      </c>
      <c r="J18" s="3">
        <v>2</v>
      </c>
      <c r="K18" s="3">
        <v>1</v>
      </c>
      <c r="L18" s="3">
        <v>3</v>
      </c>
      <c r="M18" s="3">
        <v>1</v>
      </c>
      <c r="N18" s="4" t="s">
        <v>1</v>
      </c>
      <c r="O18" s="2" t="s">
        <v>7</v>
      </c>
      <c r="P18" s="3">
        <v>5085</v>
      </c>
      <c r="Q18" s="3">
        <v>7112</v>
      </c>
      <c r="R18" s="3">
        <v>7024</v>
      </c>
      <c r="S18" s="3">
        <v>7059</v>
      </c>
      <c r="T18" s="3">
        <v>6872</v>
      </c>
      <c r="U18" s="3">
        <v>6690</v>
      </c>
      <c r="V18" s="3">
        <v>7140</v>
      </c>
      <c r="W18" s="3">
        <v>6635</v>
      </c>
      <c r="X18" s="3">
        <v>43</v>
      </c>
      <c r="Y18" s="3">
        <v>52</v>
      </c>
      <c r="Z18" s="3">
        <v>12</v>
      </c>
      <c r="AA18" s="3">
        <v>15</v>
      </c>
      <c r="AB18" s="4" t="s">
        <v>9</v>
      </c>
    </row>
    <row r="19" spans="1:28" x14ac:dyDescent="0.3">
      <c r="A19" s="2" t="s">
        <v>8</v>
      </c>
      <c r="B19" s="3">
        <v>2</v>
      </c>
      <c r="C19" s="3">
        <v>2</v>
      </c>
      <c r="D19" s="3">
        <v>2</v>
      </c>
      <c r="E19" s="3">
        <v>3</v>
      </c>
      <c r="F19" s="3">
        <v>2</v>
      </c>
      <c r="G19" s="3">
        <v>2</v>
      </c>
      <c r="H19" s="3">
        <v>3</v>
      </c>
      <c r="I19" s="3">
        <v>3</v>
      </c>
      <c r="J19" s="3">
        <v>3</v>
      </c>
      <c r="K19" s="3">
        <v>2</v>
      </c>
      <c r="L19" s="3">
        <v>4</v>
      </c>
      <c r="M19" s="3">
        <v>1</v>
      </c>
      <c r="N19" s="4" t="s">
        <v>1</v>
      </c>
      <c r="O19" s="2" t="s">
        <v>8</v>
      </c>
      <c r="P19" s="3">
        <v>2</v>
      </c>
      <c r="Q19" s="3">
        <v>37</v>
      </c>
      <c r="R19" s="3">
        <v>43</v>
      </c>
      <c r="S19" s="3">
        <v>87</v>
      </c>
      <c r="T19" s="3">
        <v>46</v>
      </c>
      <c r="U19" s="3">
        <v>7</v>
      </c>
      <c r="V19" s="3">
        <v>20</v>
      </c>
      <c r="W19" s="3">
        <v>33</v>
      </c>
      <c r="X19" s="3">
        <v>14</v>
      </c>
      <c r="Y19" s="3">
        <v>9</v>
      </c>
      <c r="Z19" s="3">
        <v>41</v>
      </c>
      <c r="AA19" s="3">
        <v>3</v>
      </c>
      <c r="AB19" s="4" t="s">
        <v>9</v>
      </c>
    </row>
    <row r="21" spans="1:28" ht="27.95" x14ac:dyDescent="0.3">
      <c r="A21" s="1" t="s">
        <v>12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O21" s="1" t="s">
        <v>12</v>
      </c>
      <c r="P21" s="2">
        <v>1</v>
      </c>
      <c r="Q21" s="2">
        <v>2</v>
      </c>
      <c r="R21" s="2">
        <v>3</v>
      </c>
      <c r="S21" s="2">
        <v>4</v>
      </c>
      <c r="T21" s="2">
        <v>5</v>
      </c>
      <c r="U21" s="2">
        <v>6</v>
      </c>
      <c r="V21" s="2">
        <v>7</v>
      </c>
      <c r="W21" s="2">
        <v>8</v>
      </c>
      <c r="X21" s="2">
        <v>9</v>
      </c>
      <c r="Y21" s="2">
        <v>10</v>
      </c>
      <c r="Z21" s="2">
        <v>11</v>
      </c>
      <c r="AA21" s="2">
        <v>12</v>
      </c>
    </row>
    <row r="22" spans="1:28" x14ac:dyDescent="0.3">
      <c r="A22" s="2" t="s">
        <v>0</v>
      </c>
      <c r="B22" s="3">
        <v>693</v>
      </c>
      <c r="C22" s="3">
        <v>506</v>
      </c>
      <c r="D22" s="3">
        <v>392</v>
      </c>
      <c r="E22" s="3">
        <v>383</v>
      </c>
      <c r="F22" s="3">
        <v>391</v>
      </c>
      <c r="G22" s="3">
        <v>322</v>
      </c>
      <c r="H22" s="3">
        <v>265</v>
      </c>
      <c r="I22" s="3">
        <v>167</v>
      </c>
      <c r="J22" s="3">
        <v>106</v>
      </c>
      <c r="K22" s="3">
        <v>57</v>
      </c>
      <c r="L22" s="3">
        <v>58</v>
      </c>
      <c r="M22" s="3">
        <v>39</v>
      </c>
      <c r="N22" s="4" t="s">
        <v>1</v>
      </c>
      <c r="O22" s="2" t="s">
        <v>0</v>
      </c>
      <c r="P22" s="3">
        <v>14661</v>
      </c>
      <c r="Q22" s="3">
        <v>11842</v>
      </c>
      <c r="R22" s="3">
        <v>9184</v>
      </c>
      <c r="S22" s="3">
        <v>9365</v>
      </c>
      <c r="T22" s="3">
        <v>8857</v>
      </c>
      <c r="U22" s="3">
        <v>7607</v>
      </c>
      <c r="V22" s="3">
        <v>6170</v>
      </c>
      <c r="W22" s="3">
        <v>4195</v>
      </c>
      <c r="X22" s="3">
        <v>2170</v>
      </c>
      <c r="Y22" s="3">
        <v>1247</v>
      </c>
      <c r="Z22" s="3">
        <v>1199</v>
      </c>
      <c r="AA22" s="3">
        <v>1102</v>
      </c>
      <c r="AB22" s="4" t="s">
        <v>9</v>
      </c>
    </row>
    <row r="23" spans="1:28" x14ac:dyDescent="0.3">
      <c r="A23" s="2" t="s">
        <v>2</v>
      </c>
      <c r="B23" s="3">
        <v>652</v>
      </c>
      <c r="C23" s="3">
        <v>564</v>
      </c>
      <c r="D23" s="3">
        <v>514</v>
      </c>
      <c r="E23" s="3">
        <v>419</v>
      </c>
      <c r="F23" s="3">
        <v>344</v>
      </c>
      <c r="G23" s="3">
        <v>318</v>
      </c>
      <c r="H23" s="3">
        <v>283</v>
      </c>
      <c r="I23" s="3">
        <v>163</v>
      </c>
      <c r="J23" s="3">
        <v>114</v>
      </c>
      <c r="K23" s="3">
        <v>63</v>
      </c>
      <c r="L23" s="3">
        <v>50</v>
      </c>
      <c r="M23" s="3">
        <v>43</v>
      </c>
      <c r="N23" s="4" t="s">
        <v>1</v>
      </c>
      <c r="O23" s="2" t="s">
        <v>2</v>
      </c>
      <c r="P23" s="3">
        <v>14931</v>
      </c>
      <c r="Q23" s="3">
        <v>12601</v>
      </c>
      <c r="R23" s="3">
        <v>10619</v>
      </c>
      <c r="S23" s="3">
        <v>9210</v>
      </c>
      <c r="T23" s="3">
        <v>7912</v>
      </c>
      <c r="U23" s="3">
        <v>7383</v>
      </c>
      <c r="V23" s="3">
        <v>6440</v>
      </c>
      <c r="W23" s="3">
        <v>4373</v>
      </c>
      <c r="X23" s="3">
        <v>2362</v>
      </c>
      <c r="Y23" s="3">
        <v>1654</v>
      </c>
      <c r="Z23" s="3">
        <v>1204</v>
      </c>
      <c r="AA23" s="3">
        <v>1053</v>
      </c>
      <c r="AB23" s="4" t="s">
        <v>9</v>
      </c>
    </row>
    <row r="24" spans="1:28" x14ac:dyDescent="0.3">
      <c r="A24" s="2" t="s">
        <v>3</v>
      </c>
      <c r="B24" s="3">
        <v>181</v>
      </c>
      <c r="C24" s="3">
        <v>138</v>
      </c>
      <c r="D24" s="3">
        <v>116</v>
      </c>
      <c r="E24" s="3">
        <v>124</v>
      </c>
      <c r="F24" s="3">
        <v>80</v>
      </c>
      <c r="G24" s="3">
        <v>63</v>
      </c>
      <c r="H24" s="3">
        <v>43</v>
      </c>
      <c r="I24" s="3">
        <v>50</v>
      </c>
      <c r="J24" s="3">
        <v>125</v>
      </c>
      <c r="K24" s="3">
        <v>106</v>
      </c>
      <c r="L24" s="3">
        <v>169</v>
      </c>
      <c r="M24" s="3">
        <v>100</v>
      </c>
      <c r="N24" s="4" t="s">
        <v>1</v>
      </c>
      <c r="O24" s="2" t="s">
        <v>3</v>
      </c>
      <c r="P24" s="3">
        <v>3532</v>
      </c>
      <c r="Q24" s="3">
        <v>2623</v>
      </c>
      <c r="R24" s="3">
        <v>2387</v>
      </c>
      <c r="S24" s="3">
        <v>2553</v>
      </c>
      <c r="T24" s="3">
        <v>2031</v>
      </c>
      <c r="U24" s="3">
        <v>2026</v>
      </c>
      <c r="V24" s="3">
        <v>867</v>
      </c>
      <c r="W24" s="3">
        <v>919</v>
      </c>
      <c r="X24" s="3">
        <v>2976</v>
      </c>
      <c r="Y24" s="3">
        <v>2028</v>
      </c>
      <c r="Z24" s="3">
        <v>3695</v>
      </c>
      <c r="AA24" s="3">
        <v>2357</v>
      </c>
      <c r="AB24" s="4" t="s">
        <v>9</v>
      </c>
    </row>
    <row r="25" spans="1:28" x14ac:dyDescent="0.3">
      <c r="A25" s="2" t="s">
        <v>4</v>
      </c>
      <c r="B25" s="3">
        <v>116</v>
      </c>
      <c r="C25" s="3">
        <v>62</v>
      </c>
      <c r="D25" s="3">
        <v>180</v>
      </c>
      <c r="E25" s="3">
        <v>110</v>
      </c>
      <c r="F25" s="3">
        <v>55</v>
      </c>
      <c r="G25" s="3">
        <v>74</v>
      </c>
      <c r="H25" s="3">
        <v>92</v>
      </c>
      <c r="I25" s="3">
        <v>71</v>
      </c>
      <c r="J25" s="3">
        <v>106</v>
      </c>
      <c r="K25" s="3">
        <v>123</v>
      </c>
      <c r="L25" s="3">
        <v>113</v>
      </c>
      <c r="M25" s="3">
        <v>129</v>
      </c>
      <c r="N25" s="4" t="s">
        <v>1</v>
      </c>
      <c r="O25" s="2" t="s">
        <v>4</v>
      </c>
      <c r="P25" s="3">
        <v>2076</v>
      </c>
      <c r="Q25" s="3">
        <v>1385</v>
      </c>
      <c r="R25" s="3">
        <v>3422</v>
      </c>
      <c r="S25" s="3">
        <v>2283</v>
      </c>
      <c r="T25" s="3">
        <v>1587</v>
      </c>
      <c r="U25" s="3">
        <v>1685</v>
      </c>
      <c r="V25" s="3">
        <v>1658</v>
      </c>
      <c r="W25" s="3">
        <v>1535</v>
      </c>
      <c r="X25" s="3">
        <v>2625</v>
      </c>
      <c r="Y25" s="3">
        <v>2765</v>
      </c>
      <c r="Z25" s="3">
        <v>2833</v>
      </c>
      <c r="AA25" s="3">
        <v>2722</v>
      </c>
      <c r="AB25" s="4" t="s">
        <v>9</v>
      </c>
    </row>
    <row r="26" spans="1:28" x14ac:dyDescent="0.3">
      <c r="A26" s="2" t="s">
        <v>5</v>
      </c>
      <c r="B26" s="3">
        <v>411</v>
      </c>
      <c r="C26" s="3">
        <v>269</v>
      </c>
      <c r="D26" s="3">
        <v>585</v>
      </c>
      <c r="E26" s="3">
        <v>323</v>
      </c>
      <c r="F26" s="3">
        <v>161</v>
      </c>
      <c r="G26" s="3">
        <v>167</v>
      </c>
      <c r="H26" s="3">
        <v>177</v>
      </c>
      <c r="I26" s="3">
        <v>159</v>
      </c>
      <c r="J26" s="3">
        <v>234</v>
      </c>
      <c r="K26" s="3">
        <v>327</v>
      </c>
      <c r="L26" s="3">
        <v>282</v>
      </c>
      <c r="M26" s="3">
        <v>182</v>
      </c>
      <c r="N26" s="4" t="s">
        <v>1</v>
      </c>
      <c r="O26" s="2" t="s">
        <v>5</v>
      </c>
      <c r="P26" s="3">
        <v>9064</v>
      </c>
      <c r="Q26" s="3">
        <v>6600</v>
      </c>
      <c r="R26" s="3">
        <v>12013</v>
      </c>
      <c r="S26" s="3">
        <v>7474</v>
      </c>
      <c r="T26" s="3">
        <v>3203</v>
      </c>
      <c r="U26" s="3">
        <v>3420</v>
      </c>
      <c r="V26" s="3">
        <v>4065</v>
      </c>
      <c r="W26" s="3">
        <v>3585</v>
      </c>
      <c r="X26" s="3">
        <v>5979</v>
      </c>
      <c r="Y26" s="3">
        <v>7039</v>
      </c>
      <c r="Z26" s="3">
        <v>6142</v>
      </c>
      <c r="AA26" s="3">
        <v>5056</v>
      </c>
      <c r="AB26" s="4" t="s">
        <v>9</v>
      </c>
    </row>
    <row r="27" spans="1:28" x14ac:dyDescent="0.3">
      <c r="A27" s="2" t="s">
        <v>6</v>
      </c>
      <c r="B27" s="3">
        <v>241</v>
      </c>
      <c r="C27" s="3">
        <v>276</v>
      </c>
      <c r="D27" s="3">
        <v>210</v>
      </c>
      <c r="E27" s="3">
        <v>245</v>
      </c>
      <c r="F27" s="3">
        <v>176</v>
      </c>
      <c r="G27" s="3">
        <v>208</v>
      </c>
      <c r="H27" s="3">
        <v>331</v>
      </c>
      <c r="I27" s="3">
        <v>278</v>
      </c>
      <c r="J27" s="3">
        <v>303</v>
      </c>
      <c r="K27" s="3">
        <v>242</v>
      </c>
      <c r="L27" s="3">
        <v>326</v>
      </c>
      <c r="M27" s="3">
        <v>292</v>
      </c>
      <c r="N27" s="4" t="s">
        <v>1</v>
      </c>
      <c r="O27" s="2" t="s">
        <v>6</v>
      </c>
      <c r="P27" s="3">
        <v>5620</v>
      </c>
      <c r="Q27" s="3">
        <v>6297</v>
      </c>
      <c r="R27" s="3">
        <v>4377</v>
      </c>
      <c r="S27" s="3">
        <v>5128</v>
      </c>
      <c r="T27" s="3">
        <v>4433</v>
      </c>
      <c r="U27" s="3">
        <v>4922</v>
      </c>
      <c r="V27" s="3">
        <v>7630</v>
      </c>
      <c r="W27" s="3">
        <v>6228</v>
      </c>
      <c r="X27" s="3">
        <v>6728</v>
      </c>
      <c r="Y27" s="3">
        <v>6118</v>
      </c>
      <c r="Z27" s="3">
        <v>7434</v>
      </c>
      <c r="AA27" s="3">
        <v>7152</v>
      </c>
      <c r="AB27" s="4" t="s">
        <v>9</v>
      </c>
    </row>
    <row r="28" spans="1:28" x14ac:dyDescent="0.3">
      <c r="A28" s="2" t="s">
        <v>7</v>
      </c>
      <c r="B28" s="3">
        <v>260</v>
      </c>
      <c r="C28" s="3">
        <v>274</v>
      </c>
      <c r="D28" s="3">
        <v>258</v>
      </c>
      <c r="E28" s="3">
        <v>283</v>
      </c>
      <c r="F28" s="3">
        <v>266</v>
      </c>
      <c r="G28" s="3">
        <v>255</v>
      </c>
      <c r="H28" s="3">
        <v>282</v>
      </c>
      <c r="I28" s="3">
        <v>277</v>
      </c>
      <c r="J28" s="3">
        <v>3</v>
      </c>
      <c r="K28" s="3">
        <v>2</v>
      </c>
      <c r="L28" s="3">
        <v>1</v>
      </c>
      <c r="M28" s="3">
        <v>1</v>
      </c>
      <c r="N28" s="4" t="s">
        <v>1</v>
      </c>
      <c r="O28" s="2" t="s">
        <v>7</v>
      </c>
      <c r="P28" s="3">
        <v>6747</v>
      </c>
      <c r="Q28" s="3">
        <v>6769</v>
      </c>
      <c r="R28" s="3">
        <v>5941</v>
      </c>
      <c r="S28" s="3">
        <v>6367</v>
      </c>
      <c r="T28" s="3">
        <v>6343</v>
      </c>
      <c r="U28" s="3">
        <v>6221</v>
      </c>
      <c r="V28" s="3">
        <v>6276</v>
      </c>
      <c r="W28" s="3">
        <v>5819</v>
      </c>
      <c r="X28" s="3">
        <v>9</v>
      </c>
      <c r="Y28" s="3">
        <v>37</v>
      </c>
      <c r="Z28" s="3">
        <v>42</v>
      </c>
      <c r="AA28" s="3">
        <v>56</v>
      </c>
      <c r="AB28" s="4" t="s">
        <v>9</v>
      </c>
    </row>
    <row r="29" spans="1:28" x14ac:dyDescent="0.3">
      <c r="A29" s="2" t="s">
        <v>8</v>
      </c>
      <c r="B29" s="3">
        <v>2</v>
      </c>
      <c r="C29" s="3">
        <v>2</v>
      </c>
      <c r="D29" s="3">
        <v>2</v>
      </c>
      <c r="E29" s="3">
        <v>4</v>
      </c>
      <c r="F29" s="3">
        <v>2</v>
      </c>
      <c r="G29" s="3">
        <v>1</v>
      </c>
      <c r="H29" s="3">
        <v>3</v>
      </c>
      <c r="I29" s="3">
        <v>1</v>
      </c>
      <c r="J29" s="3">
        <v>2</v>
      </c>
      <c r="K29" s="3">
        <v>3</v>
      </c>
      <c r="L29" s="3">
        <v>2</v>
      </c>
      <c r="M29" s="3">
        <v>2</v>
      </c>
      <c r="N29" s="4" t="s">
        <v>1</v>
      </c>
      <c r="O29" s="2" t="s">
        <v>8</v>
      </c>
      <c r="P29" s="3">
        <v>55</v>
      </c>
      <c r="Q29" s="3">
        <v>10</v>
      </c>
      <c r="R29" s="3">
        <v>64</v>
      </c>
      <c r="S29" s="3">
        <v>13</v>
      </c>
      <c r="T29" s="3">
        <v>15</v>
      </c>
      <c r="U29" s="3">
        <v>41</v>
      </c>
      <c r="V29" s="3">
        <v>24</v>
      </c>
      <c r="W29" s="3">
        <v>50</v>
      </c>
      <c r="X29" s="3">
        <v>21</v>
      </c>
      <c r="Y29" s="3">
        <v>25</v>
      </c>
      <c r="Z29" s="3">
        <v>66</v>
      </c>
      <c r="AA29" s="3">
        <v>48</v>
      </c>
      <c r="AB29" s="4" t="s">
        <v>9</v>
      </c>
    </row>
    <row r="31" spans="1:28" ht="27.95" x14ac:dyDescent="0.3">
      <c r="A31" s="1" t="s">
        <v>13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  <c r="O31" s="1" t="s">
        <v>13</v>
      </c>
      <c r="P31" s="2">
        <v>1</v>
      </c>
      <c r="Q31" s="2">
        <v>2</v>
      </c>
      <c r="R31" s="2">
        <v>3</v>
      </c>
      <c r="S31" s="2">
        <v>4</v>
      </c>
      <c r="T31" s="2">
        <v>5</v>
      </c>
      <c r="U31" s="2">
        <v>6</v>
      </c>
      <c r="V31" s="2">
        <v>7</v>
      </c>
      <c r="W31" s="2">
        <v>8</v>
      </c>
      <c r="X31" s="2">
        <v>9</v>
      </c>
      <c r="Y31" s="2">
        <v>10</v>
      </c>
      <c r="Z31" s="2">
        <v>11</v>
      </c>
      <c r="AA31" s="2">
        <v>12</v>
      </c>
    </row>
    <row r="32" spans="1:28" x14ac:dyDescent="0.3">
      <c r="A32" s="2" t="s">
        <v>0</v>
      </c>
      <c r="B32" s="3">
        <v>640</v>
      </c>
      <c r="C32" s="3">
        <v>550</v>
      </c>
      <c r="D32" s="3">
        <v>424</v>
      </c>
      <c r="E32" s="3">
        <v>444</v>
      </c>
      <c r="F32" s="3">
        <v>391</v>
      </c>
      <c r="G32" s="3">
        <v>356</v>
      </c>
      <c r="H32" s="3">
        <v>302</v>
      </c>
      <c r="I32" s="3">
        <v>215</v>
      </c>
      <c r="J32" s="3">
        <v>105</v>
      </c>
      <c r="K32" s="3">
        <v>73</v>
      </c>
      <c r="L32" s="3">
        <v>59</v>
      </c>
      <c r="M32" s="3">
        <v>45</v>
      </c>
      <c r="N32" s="4" t="s">
        <v>1</v>
      </c>
      <c r="O32" s="2" t="s">
        <v>0</v>
      </c>
      <c r="P32" s="3">
        <v>17002</v>
      </c>
      <c r="Q32" s="3">
        <v>14209</v>
      </c>
      <c r="R32" s="3">
        <v>12677</v>
      </c>
      <c r="S32" s="3">
        <v>12153</v>
      </c>
      <c r="T32" s="3">
        <v>10769</v>
      </c>
      <c r="U32" s="3">
        <v>9371</v>
      </c>
      <c r="V32" s="3">
        <v>7586</v>
      </c>
      <c r="W32" s="3">
        <v>5242</v>
      </c>
      <c r="X32" s="3">
        <v>3112</v>
      </c>
      <c r="Y32" s="3">
        <v>1868</v>
      </c>
      <c r="Z32" s="3">
        <v>1593</v>
      </c>
      <c r="AA32" s="3">
        <v>1185</v>
      </c>
      <c r="AB32" s="4" t="s">
        <v>9</v>
      </c>
    </row>
    <row r="33" spans="1:28" x14ac:dyDescent="0.3">
      <c r="A33" s="2" t="s">
        <v>2</v>
      </c>
      <c r="B33" s="3">
        <v>731</v>
      </c>
      <c r="C33" s="3">
        <v>592</v>
      </c>
      <c r="D33" s="3">
        <v>493</v>
      </c>
      <c r="E33" s="3">
        <v>468</v>
      </c>
      <c r="F33" s="3">
        <v>432</v>
      </c>
      <c r="G33" s="3">
        <v>362</v>
      </c>
      <c r="H33" s="3">
        <v>304</v>
      </c>
      <c r="I33" s="3">
        <v>233</v>
      </c>
      <c r="J33" s="3">
        <v>138</v>
      </c>
      <c r="K33" s="3">
        <v>75</v>
      </c>
      <c r="L33" s="3">
        <v>58</v>
      </c>
      <c r="M33" s="3">
        <v>49</v>
      </c>
      <c r="N33" s="4" t="s">
        <v>1</v>
      </c>
      <c r="O33" s="2" t="s">
        <v>2</v>
      </c>
      <c r="P33" s="3">
        <v>18033</v>
      </c>
      <c r="Q33" s="3">
        <v>13524</v>
      </c>
      <c r="R33" s="3">
        <v>12169</v>
      </c>
      <c r="S33" s="3">
        <v>11484</v>
      </c>
      <c r="T33" s="3">
        <v>10323</v>
      </c>
      <c r="U33" s="3">
        <v>8469</v>
      </c>
      <c r="V33" s="3">
        <v>7260</v>
      </c>
      <c r="W33" s="3">
        <v>6001</v>
      </c>
      <c r="X33" s="3">
        <v>3506</v>
      </c>
      <c r="Y33" s="3">
        <v>1588</v>
      </c>
      <c r="Z33" s="3">
        <v>1591</v>
      </c>
      <c r="AA33" s="3">
        <v>1066</v>
      </c>
      <c r="AB33" s="4" t="s">
        <v>9</v>
      </c>
    </row>
    <row r="34" spans="1:28" x14ac:dyDescent="0.3">
      <c r="A34" s="2" t="s">
        <v>3</v>
      </c>
      <c r="B34" s="3">
        <v>185</v>
      </c>
      <c r="C34" s="3">
        <v>145</v>
      </c>
      <c r="D34" s="3">
        <v>135</v>
      </c>
      <c r="E34" s="3">
        <v>127</v>
      </c>
      <c r="F34" s="3">
        <v>79</v>
      </c>
      <c r="G34" s="3">
        <v>91</v>
      </c>
      <c r="H34" s="3">
        <v>39</v>
      </c>
      <c r="I34" s="3">
        <v>55</v>
      </c>
      <c r="J34" s="3">
        <v>132</v>
      </c>
      <c r="K34" s="3">
        <v>122</v>
      </c>
      <c r="L34" s="3">
        <v>113</v>
      </c>
      <c r="M34" s="3">
        <v>123</v>
      </c>
      <c r="N34" s="4" t="s">
        <v>1</v>
      </c>
      <c r="O34" s="2" t="s">
        <v>3</v>
      </c>
      <c r="P34" s="3">
        <v>4349</v>
      </c>
      <c r="Q34" s="3">
        <v>3049</v>
      </c>
      <c r="R34" s="3">
        <v>2870</v>
      </c>
      <c r="S34" s="3">
        <v>3278</v>
      </c>
      <c r="T34" s="3">
        <v>1989</v>
      </c>
      <c r="U34" s="3">
        <v>2320</v>
      </c>
      <c r="V34" s="3">
        <v>1058</v>
      </c>
      <c r="W34" s="3">
        <v>1422</v>
      </c>
      <c r="X34" s="3">
        <v>3004</v>
      </c>
      <c r="Y34" s="3">
        <v>3120</v>
      </c>
      <c r="Z34" s="3">
        <v>2634</v>
      </c>
      <c r="AA34" s="3">
        <v>2811</v>
      </c>
      <c r="AB34" s="4" t="s">
        <v>9</v>
      </c>
    </row>
    <row r="35" spans="1:28" x14ac:dyDescent="0.3">
      <c r="A35" s="2" t="s">
        <v>4</v>
      </c>
      <c r="B35" s="3">
        <v>161</v>
      </c>
      <c r="C35" s="3">
        <v>94</v>
      </c>
      <c r="D35" s="3">
        <v>204</v>
      </c>
      <c r="E35" s="3">
        <v>134</v>
      </c>
      <c r="F35" s="3">
        <v>82</v>
      </c>
      <c r="G35" s="3">
        <v>110</v>
      </c>
      <c r="H35" s="3">
        <v>91</v>
      </c>
      <c r="I35" s="3">
        <v>89</v>
      </c>
      <c r="J35" s="3">
        <v>156</v>
      </c>
      <c r="K35" s="3">
        <v>145</v>
      </c>
      <c r="L35" s="3">
        <v>162</v>
      </c>
      <c r="M35" s="3">
        <v>158</v>
      </c>
      <c r="N35" s="4" t="s">
        <v>1</v>
      </c>
      <c r="O35" s="2" t="s">
        <v>4</v>
      </c>
      <c r="P35" s="3">
        <v>4015</v>
      </c>
      <c r="Q35" s="3">
        <v>2275</v>
      </c>
      <c r="R35" s="3">
        <v>5525</v>
      </c>
      <c r="S35" s="3">
        <v>3467</v>
      </c>
      <c r="T35" s="3">
        <v>1962</v>
      </c>
      <c r="U35" s="3">
        <v>2622</v>
      </c>
      <c r="V35" s="3">
        <v>2317</v>
      </c>
      <c r="W35" s="3">
        <v>1698</v>
      </c>
      <c r="X35" s="3">
        <v>3218</v>
      </c>
      <c r="Y35" s="3">
        <v>2803</v>
      </c>
      <c r="Z35" s="3">
        <v>3327</v>
      </c>
      <c r="AA35" s="3">
        <v>3455</v>
      </c>
      <c r="AB35" s="4" t="s">
        <v>9</v>
      </c>
    </row>
    <row r="36" spans="1:28" x14ac:dyDescent="0.3">
      <c r="A36" s="2" t="s">
        <v>5</v>
      </c>
      <c r="B36" s="3">
        <v>619</v>
      </c>
      <c r="C36" s="3">
        <v>407</v>
      </c>
      <c r="D36" s="3">
        <v>816</v>
      </c>
      <c r="E36" s="3">
        <v>528</v>
      </c>
      <c r="F36" s="3">
        <v>229</v>
      </c>
      <c r="G36" s="3">
        <v>248</v>
      </c>
      <c r="H36" s="3">
        <v>266</v>
      </c>
      <c r="I36" s="3">
        <v>288</v>
      </c>
      <c r="J36" s="3">
        <v>325</v>
      </c>
      <c r="K36" s="3">
        <v>592</v>
      </c>
      <c r="L36" s="3">
        <v>473</v>
      </c>
      <c r="M36" s="3">
        <v>364</v>
      </c>
      <c r="N36" s="4" t="s">
        <v>1</v>
      </c>
      <c r="O36" s="2" t="s">
        <v>5</v>
      </c>
      <c r="P36" s="3">
        <v>13702</v>
      </c>
      <c r="Q36" s="3">
        <v>10082</v>
      </c>
      <c r="R36" s="3">
        <v>18180</v>
      </c>
      <c r="S36" s="3">
        <v>11064</v>
      </c>
      <c r="T36" s="3">
        <v>4775</v>
      </c>
      <c r="U36" s="3">
        <v>5881</v>
      </c>
      <c r="V36" s="3">
        <v>6023</v>
      </c>
      <c r="W36" s="3">
        <v>5941</v>
      </c>
      <c r="X36" s="3">
        <v>8936</v>
      </c>
      <c r="Y36" s="3">
        <v>13745</v>
      </c>
      <c r="Z36" s="3">
        <v>10304</v>
      </c>
      <c r="AA36" s="3">
        <v>7761</v>
      </c>
      <c r="AB36" s="4" t="s">
        <v>9</v>
      </c>
    </row>
    <row r="37" spans="1:28" x14ac:dyDescent="0.3">
      <c r="A37" s="2" t="s">
        <v>6</v>
      </c>
      <c r="B37" s="3">
        <v>485</v>
      </c>
      <c r="C37" s="3">
        <v>377</v>
      </c>
      <c r="D37" s="3">
        <v>425</v>
      </c>
      <c r="E37" s="3">
        <v>486</v>
      </c>
      <c r="F37" s="3">
        <v>415</v>
      </c>
      <c r="G37" s="3">
        <v>452</v>
      </c>
      <c r="H37" s="3">
        <v>773</v>
      </c>
      <c r="I37" s="3">
        <v>628</v>
      </c>
      <c r="J37" s="3">
        <v>439</v>
      </c>
      <c r="K37" s="3">
        <v>450</v>
      </c>
      <c r="L37" s="3">
        <v>680</v>
      </c>
      <c r="M37" s="3">
        <v>590</v>
      </c>
      <c r="N37" s="4" t="s">
        <v>1</v>
      </c>
      <c r="O37" s="2" t="s">
        <v>6</v>
      </c>
      <c r="P37" s="3">
        <v>11495</v>
      </c>
      <c r="Q37" s="3">
        <v>9268</v>
      </c>
      <c r="R37" s="3">
        <v>9679</v>
      </c>
      <c r="S37" s="3">
        <v>10295</v>
      </c>
      <c r="T37" s="3">
        <v>9811</v>
      </c>
      <c r="U37" s="3">
        <v>10701</v>
      </c>
      <c r="V37" s="3">
        <v>16331</v>
      </c>
      <c r="W37" s="3">
        <v>14785</v>
      </c>
      <c r="X37" s="3">
        <v>10060</v>
      </c>
      <c r="Y37" s="3">
        <v>10659</v>
      </c>
      <c r="Z37" s="3">
        <v>15867</v>
      </c>
      <c r="AA37" s="3">
        <v>13075</v>
      </c>
      <c r="AB37" s="4" t="s">
        <v>9</v>
      </c>
    </row>
    <row r="38" spans="1:28" x14ac:dyDescent="0.3">
      <c r="A38" s="2" t="s">
        <v>7</v>
      </c>
      <c r="B38" s="3">
        <v>166</v>
      </c>
      <c r="C38" s="3">
        <v>252</v>
      </c>
      <c r="D38" s="3">
        <v>249</v>
      </c>
      <c r="E38" s="3">
        <v>238</v>
      </c>
      <c r="F38" s="3">
        <v>247</v>
      </c>
      <c r="G38" s="3">
        <v>251</v>
      </c>
      <c r="H38" s="3">
        <v>257</v>
      </c>
      <c r="I38" s="3">
        <v>261</v>
      </c>
      <c r="J38" s="3">
        <v>2</v>
      </c>
      <c r="K38" s="3">
        <v>3</v>
      </c>
      <c r="L38" s="3">
        <v>1</v>
      </c>
      <c r="M38" s="3">
        <v>2</v>
      </c>
      <c r="N38" s="4" t="s">
        <v>1</v>
      </c>
      <c r="O38" s="2" t="s">
        <v>7</v>
      </c>
      <c r="P38" s="3">
        <v>4049</v>
      </c>
      <c r="Q38" s="3">
        <v>6046</v>
      </c>
      <c r="R38" s="3">
        <v>6117</v>
      </c>
      <c r="S38" s="3">
        <v>5912</v>
      </c>
      <c r="T38" s="3">
        <v>6470</v>
      </c>
      <c r="U38" s="3">
        <v>5990</v>
      </c>
      <c r="V38" s="3">
        <v>6020</v>
      </c>
      <c r="W38" s="3">
        <v>5747</v>
      </c>
      <c r="X38" s="3">
        <v>106</v>
      </c>
      <c r="Y38" s="3">
        <v>14</v>
      </c>
      <c r="Z38" s="3">
        <v>3</v>
      </c>
      <c r="AA38" s="3">
        <v>76</v>
      </c>
      <c r="AB38" s="4" t="s">
        <v>9</v>
      </c>
    </row>
    <row r="39" spans="1:28" x14ac:dyDescent="0.3">
      <c r="A39" s="2" t="s">
        <v>8</v>
      </c>
      <c r="B39" s="3">
        <v>3</v>
      </c>
      <c r="C39" s="3">
        <v>3</v>
      </c>
      <c r="D39" s="3">
        <v>2</v>
      </c>
      <c r="E39" s="3">
        <v>1</v>
      </c>
      <c r="F39" s="3">
        <v>2</v>
      </c>
      <c r="G39" s="3">
        <v>2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2</v>
      </c>
      <c r="N39" s="4" t="s">
        <v>1</v>
      </c>
      <c r="O39" s="2" t="s">
        <v>8</v>
      </c>
      <c r="P39" s="3">
        <v>4</v>
      </c>
      <c r="Q39" s="3">
        <v>19</v>
      </c>
      <c r="R39" s="3">
        <v>18</v>
      </c>
      <c r="S39" s="3">
        <v>32</v>
      </c>
      <c r="T39" s="3">
        <v>33</v>
      </c>
      <c r="U39" s="3">
        <v>50</v>
      </c>
      <c r="V39" s="3">
        <v>12</v>
      </c>
      <c r="W39" s="3">
        <v>26</v>
      </c>
      <c r="X39" s="3">
        <v>11</v>
      </c>
      <c r="Y39" s="3">
        <v>34</v>
      </c>
      <c r="Z39" s="3">
        <v>38</v>
      </c>
      <c r="AA39" s="3">
        <v>12</v>
      </c>
      <c r="AB39" s="4" t="s">
        <v>9</v>
      </c>
    </row>
    <row r="42" spans="1:28" x14ac:dyDescent="0.3">
      <c r="A42" s="7" t="s">
        <v>14</v>
      </c>
      <c r="B42" s="7"/>
      <c r="C42" s="7" t="s">
        <v>15</v>
      </c>
      <c r="D42" s="7"/>
      <c r="E42" s="7" t="s">
        <v>16</v>
      </c>
      <c r="F42" s="7"/>
      <c r="G42" s="7" t="s">
        <v>17</v>
      </c>
      <c r="H42" s="7"/>
      <c r="I42" s="7"/>
      <c r="J42" s="7"/>
      <c r="K42" s="7"/>
      <c r="L42" s="7"/>
    </row>
    <row r="43" spans="1:28" x14ac:dyDescent="0.3">
      <c r="A43">
        <v>64</v>
      </c>
      <c r="B43" s="3">
        <v>1140</v>
      </c>
      <c r="C43">
        <v>64</v>
      </c>
      <c r="D43" s="3">
        <v>24754</v>
      </c>
      <c r="E43">
        <v>64</v>
      </c>
      <c r="F43" s="3">
        <v>506</v>
      </c>
      <c r="G43">
        <v>64</v>
      </c>
      <c r="H43" s="3">
        <v>11842</v>
      </c>
      <c r="L43" s="3"/>
    </row>
    <row r="44" spans="1:28" x14ac:dyDescent="0.3">
      <c r="A44">
        <v>56</v>
      </c>
      <c r="B44" s="3">
        <v>931</v>
      </c>
      <c r="C44">
        <v>56</v>
      </c>
      <c r="D44" s="3">
        <v>19926</v>
      </c>
      <c r="E44">
        <v>56</v>
      </c>
      <c r="F44" s="3">
        <v>392</v>
      </c>
      <c r="G44">
        <v>56</v>
      </c>
      <c r="H44" s="3">
        <v>9184</v>
      </c>
    </row>
    <row r="45" spans="1:28" x14ac:dyDescent="0.3">
      <c r="A45">
        <v>48</v>
      </c>
      <c r="B45" s="3">
        <v>887</v>
      </c>
      <c r="C45">
        <v>48</v>
      </c>
      <c r="D45" s="3">
        <v>17821</v>
      </c>
      <c r="E45">
        <v>48</v>
      </c>
      <c r="F45" s="3">
        <v>383</v>
      </c>
      <c r="G45">
        <v>48</v>
      </c>
      <c r="H45" s="3">
        <v>9365</v>
      </c>
    </row>
    <row r="46" spans="1:28" x14ac:dyDescent="0.3">
      <c r="A46">
        <v>40</v>
      </c>
      <c r="B46" s="3">
        <v>816</v>
      </c>
      <c r="C46">
        <v>40</v>
      </c>
      <c r="D46" s="3">
        <v>16084</v>
      </c>
      <c r="E46">
        <v>40</v>
      </c>
      <c r="F46" s="3">
        <v>391</v>
      </c>
      <c r="G46">
        <v>40</v>
      </c>
      <c r="H46" s="3">
        <v>8857</v>
      </c>
    </row>
    <row r="47" spans="1:28" x14ac:dyDescent="0.3">
      <c r="A47">
        <v>32</v>
      </c>
      <c r="B47" s="3">
        <v>711</v>
      </c>
      <c r="C47">
        <v>32</v>
      </c>
      <c r="D47" s="3">
        <v>14611</v>
      </c>
      <c r="E47">
        <v>32</v>
      </c>
      <c r="F47" s="3">
        <v>322</v>
      </c>
      <c r="G47">
        <v>32</v>
      </c>
      <c r="H47" s="3">
        <v>7607</v>
      </c>
    </row>
    <row r="48" spans="1:28" x14ac:dyDescent="0.3">
      <c r="A48">
        <v>24</v>
      </c>
      <c r="B48" s="3">
        <v>572</v>
      </c>
      <c r="C48">
        <v>24</v>
      </c>
      <c r="D48" s="3">
        <v>11404</v>
      </c>
      <c r="E48">
        <v>24</v>
      </c>
      <c r="F48" s="3">
        <v>265</v>
      </c>
      <c r="G48">
        <v>24</v>
      </c>
      <c r="H48" s="3">
        <v>6170</v>
      </c>
    </row>
    <row r="49" spans="1:12" x14ac:dyDescent="0.3">
      <c r="A49">
        <v>16</v>
      </c>
      <c r="B49" s="3">
        <v>391</v>
      </c>
      <c r="C49">
        <v>16</v>
      </c>
      <c r="D49" s="3">
        <v>7582</v>
      </c>
      <c r="E49">
        <v>16</v>
      </c>
      <c r="F49" s="3">
        <v>167</v>
      </c>
      <c r="G49">
        <v>16</v>
      </c>
      <c r="H49" s="3">
        <v>4195</v>
      </c>
    </row>
    <row r="50" spans="1:12" x14ac:dyDescent="0.3">
      <c r="A50">
        <v>8</v>
      </c>
      <c r="B50" s="3">
        <v>236</v>
      </c>
      <c r="C50">
        <v>8</v>
      </c>
      <c r="D50" s="3">
        <v>4597</v>
      </c>
      <c r="E50">
        <v>8</v>
      </c>
      <c r="F50" s="3">
        <v>106</v>
      </c>
      <c r="G50">
        <v>8</v>
      </c>
      <c r="H50" s="3">
        <v>2170</v>
      </c>
    </row>
    <row r="51" spans="1:12" x14ac:dyDescent="0.3">
      <c r="A51">
        <v>3.2</v>
      </c>
      <c r="B51" s="3">
        <v>127</v>
      </c>
      <c r="C51">
        <v>3.2</v>
      </c>
      <c r="D51" s="3">
        <v>3021</v>
      </c>
      <c r="E51">
        <v>3.2</v>
      </c>
      <c r="F51" s="3">
        <v>57</v>
      </c>
      <c r="G51">
        <v>3.2</v>
      </c>
      <c r="H51" s="3">
        <v>1247</v>
      </c>
    </row>
    <row r="52" spans="1:12" x14ac:dyDescent="0.3">
      <c r="A52">
        <v>1.6</v>
      </c>
      <c r="B52" s="3">
        <v>107</v>
      </c>
      <c r="C52">
        <v>1.6</v>
      </c>
      <c r="D52" s="3">
        <v>2559</v>
      </c>
      <c r="E52">
        <v>1.6</v>
      </c>
      <c r="F52" s="3">
        <v>58</v>
      </c>
      <c r="G52">
        <v>1.6</v>
      </c>
      <c r="H52" s="3">
        <v>1199</v>
      </c>
    </row>
    <row r="53" spans="1:12" x14ac:dyDescent="0.3">
      <c r="A53">
        <v>0</v>
      </c>
      <c r="B53" s="3">
        <v>110</v>
      </c>
      <c r="C53">
        <v>0</v>
      </c>
      <c r="D53" s="3">
        <v>2130</v>
      </c>
      <c r="E53">
        <v>0</v>
      </c>
      <c r="F53" s="3">
        <v>39</v>
      </c>
      <c r="G53">
        <v>0</v>
      </c>
      <c r="H53" s="3">
        <v>1102</v>
      </c>
    </row>
    <row r="54" spans="1:12" x14ac:dyDescent="0.3">
      <c r="A54">
        <v>64</v>
      </c>
      <c r="B54" s="3">
        <v>1202</v>
      </c>
      <c r="C54">
        <v>64</v>
      </c>
      <c r="D54" s="3">
        <v>23106</v>
      </c>
      <c r="E54">
        <v>64</v>
      </c>
      <c r="F54" s="3">
        <v>564</v>
      </c>
      <c r="G54">
        <v>64</v>
      </c>
      <c r="H54" s="3">
        <v>12601</v>
      </c>
      <c r="J54" s="3"/>
    </row>
    <row r="55" spans="1:12" x14ac:dyDescent="0.3">
      <c r="A55">
        <v>56</v>
      </c>
      <c r="B55" s="3">
        <v>1019</v>
      </c>
      <c r="C55">
        <v>56</v>
      </c>
      <c r="D55" s="3">
        <v>20538</v>
      </c>
      <c r="E55">
        <v>56</v>
      </c>
      <c r="F55" s="3">
        <v>514</v>
      </c>
      <c r="G55">
        <v>56</v>
      </c>
      <c r="H55" s="3">
        <v>10619</v>
      </c>
      <c r="J55" s="3"/>
      <c r="L55" s="3"/>
    </row>
    <row r="56" spans="1:12" x14ac:dyDescent="0.3">
      <c r="A56">
        <v>48</v>
      </c>
      <c r="B56" s="3">
        <v>948</v>
      </c>
      <c r="C56">
        <v>48</v>
      </c>
      <c r="D56" s="3">
        <v>17897</v>
      </c>
      <c r="E56">
        <v>48</v>
      </c>
      <c r="F56" s="3">
        <v>419</v>
      </c>
      <c r="G56">
        <v>48</v>
      </c>
      <c r="H56" s="3">
        <v>9210</v>
      </c>
      <c r="J56" s="3"/>
      <c r="L56" s="3"/>
    </row>
    <row r="57" spans="1:12" x14ac:dyDescent="0.3">
      <c r="A57">
        <v>40</v>
      </c>
      <c r="B57" s="3">
        <v>771</v>
      </c>
      <c r="C57">
        <v>40</v>
      </c>
      <c r="D57" s="3">
        <v>15251</v>
      </c>
      <c r="E57">
        <v>40</v>
      </c>
      <c r="F57" s="3">
        <v>344</v>
      </c>
      <c r="G57">
        <v>40</v>
      </c>
      <c r="H57" s="3">
        <v>7912</v>
      </c>
      <c r="J57" s="3"/>
      <c r="L57" s="3"/>
    </row>
    <row r="58" spans="1:12" x14ac:dyDescent="0.3">
      <c r="A58">
        <v>32</v>
      </c>
      <c r="B58" s="3">
        <v>666</v>
      </c>
      <c r="C58">
        <v>32</v>
      </c>
      <c r="D58" s="3">
        <v>13155</v>
      </c>
      <c r="E58">
        <v>32</v>
      </c>
      <c r="F58" s="3">
        <v>318</v>
      </c>
      <c r="G58">
        <v>32</v>
      </c>
      <c r="H58" s="3">
        <v>7383</v>
      </c>
      <c r="J58" s="3"/>
      <c r="L58" s="3"/>
    </row>
    <row r="59" spans="1:12" x14ac:dyDescent="0.3">
      <c r="A59">
        <v>24</v>
      </c>
      <c r="B59" s="3">
        <v>498</v>
      </c>
      <c r="C59">
        <v>24</v>
      </c>
      <c r="D59" s="3">
        <v>11133</v>
      </c>
      <c r="E59">
        <v>24</v>
      </c>
      <c r="F59" s="3">
        <v>283</v>
      </c>
      <c r="G59">
        <v>24</v>
      </c>
      <c r="H59" s="3">
        <v>6440</v>
      </c>
      <c r="J59" s="3"/>
      <c r="L59" s="3"/>
    </row>
    <row r="60" spans="1:12" x14ac:dyDescent="0.3">
      <c r="A60">
        <v>16</v>
      </c>
      <c r="B60" s="3">
        <v>373</v>
      </c>
      <c r="C60">
        <v>16</v>
      </c>
      <c r="D60" s="3">
        <v>7473</v>
      </c>
      <c r="E60">
        <v>16</v>
      </c>
      <c r="F60" s="3">
        <v>163</v>
      </c>
      <c r="G60">
        <v>16</v>
      </c>
      <c r="H60" s="3">
        <v>4373</v>
      </c>
      <c r="J60" s="3"/>
      <c r="L60" s="3"/>
    </row>
    <row r="61" spans="1:12" x14ac:dyDescent="0.3">
      <c r="A61">
        <v>8</v>
      </c>
      <c r="B61" s="3">
        <v>228</v>
      </c>
      <c r="C61">
        <v>8</v>
      </c>
      <c r="D61" s="3">
        <v>4392</v>
      </c>
      <c r="E61">
        <v>8</v>
      </c>
      <c r="F61" s="3">
        <v>114</v>
      </c>
      <c r="G61">
        <v>8</v>
      </c>
      <c r="H61" s="3">
        <v>2362</v>
      </c>
      <c r="J61" s="3"/>
      <c r="L61" s="3"/>
    </row>
    <row r="62" spans="1:12" x14ac:dyDescent="0.3">
      <c r="A62">
        <v>3.2</v>
      </c>
      <c r="B62" s="3">
        <v>160</v>
      </c>
      <c r="C62">
        <v>3.2</v>
      </c>
      <c r="D62" s="3">
        <v>3093</v>
      </c>
      <c r="E62">
        <v>3.2</v>
      </c>
      <c r="F62" s="3">
        <v>63</v>
      </c>
      <c r="G62">
        <v>3.2</v>
      </c>
      <c r="H62" s="3">
        <v>1654</v>
      </c>
      <c r="J62" s="3"/>
      <c r="L62" s="3"/>
    </row>
    <row r="63" spans="1:12" x14ac:dyDescent="0.3">
      <c r="A63">
        <v>1.6</v>
      </c>
      <c r="B63" s="3">
        <v>142</v>
      </c>
      <c r="C63">
        <v>1.6</v>
      </c>
      <c r="D63" s="3">
        <v>2791</v>
      </c>
      <c r="E63">
        <v>1.6</v>
      </c>
      <c r="F63" s="3">
        <v>50</v>
      </c>
      <c r="G63">
        <v>1.6</v>
      </c>
      <c r="H63" s="3">
        <v>1204</v>
      </c>
      <c r="J63" s="3"/>
      <c r="L63" s="3"/>
    </row>
    <row r="64" spans="1:12" x14ac:dyDescent="0.3">
      <c r="A64">
        <v>0</v>
      </c>
      <c r="B64" s="3">
        <v>119</v>
      </c>
      <c r="C64">
        <v>0</v>
      </c>
      <c r="D64" s="3">
        <v>2652</v>
      </c>
      <c r="E64">
        <v>0</v>
      </c>
      <c r="F64" s="3">
        <v>43</v>
      </c>
      <c r="G64">
        <v>0</v>
      </c>
      <c r="H64" s="3">
        <v>1053</v>
      </c>
      <c r="J64" s="3"/>
      <c r="L64" s="3"/>
    </row>
    <row r="66" spans="2:8" x14ac:dyDescent="0.3">
      <c r="B66">
        <f>AVERAGE(B4:M4)</f>
        <v>203.91666666666666</v>
      </c>
      <c r="D66">
        <v>3710</v>
      </c>
      <c r="F66">
        <f>AVERAGE(B24:M24)</f>
        <v>107.91666666666667</v>
      </c>
      <c r="H66">
        <f>AVERAGE(P24:AA24)</f>
        <v>2332.8333333333335</v>
      </c>
    </row>
    <row r="67" spans="2:8" x14ac:dyDescent="0.3">
      <c r="D67" s="5">
        <f>$D$66/((D64+D53)/2)</f>
        <v>1.5516520284399833</v>
      </c>
    </row>
    <row r="68" spans="2:8" x14ac:dyDescent="0.3">
      <c r="C68">
        <v>64</v>
      </c>
      <c r="D68">
        <f>D43*$D$67</f>
        <v>38409.594312003348</v>
      </c>
    </row>
    <row r="69" spans="2:8" x14ac:dyDescent="0.3">
      <c r="C69">
        <v>56</v>
      </c>
      <c r="D69">
        <f t="shared" ref="D69:D89" si="0">D44*$D$67</f>
        <v>30918.218318695108</v>
      </c>
    </row>
    <row r="70" spans="2:8" x14ac:dyDescent="0.3">
      <c r="C70">
        <v>48</v>
      </c>
      <c r="D70">
        <f t="shared" si="0"/>
        <v>27651.990798828941</v>
      </c>
    </row>
    <row r="71" spans="2:8" x14ac:dyDescent="0.3">
      <c r="C71">
        <v>40</v>
      </c>
      <c r="D71">
        <f t="shared" si="0"/>
        <v>24956.771225428693</v>
      </c>
    </row>
    <row r="72" spans="2:8" x14ac:dyDescent="0.3">
      <c r="C72">
        <v>32</v>
      </c>
      <c r="D72">
        <f t="shared" si="0"/>
        <v>22671.187787536597</v>
      </c>
    </row>
    <row r="73" spans="2:8" x14ac:dyDescent="0.3">
      <c r="C73">
        <v>24</v>
      </c>
      <c r="D73">
        <f t="shared" si="0"/>
        <v>17695.039732329569</v>
      </c>
    </row>
    <row r="74" spans="2:8" x14ac:dyDescent="0.3">
      <c r="C74">
        <v>16</v>
      </c>
      <c r="D74">
        <f t="shared" si="0"/>
        <v>11764.625679631954</v>
      </c>
    </row>
    <row r="75" spans="2:8" x14ac:dyDescent="0.3">
      <c r="C75">
        <v>8</v>
      </c>
      <c r="D75">
        <f t="shared" si="0"/>
        <v>7132.9443747386031</v>
      </c>
    </row>
    <row r="76" spans="2:8" x14ac:dyDescent="0.3">
      <c r="C76">
        <v>3.2</v>
      </c>
      <c r="D76">
        <f t="shared" si="0"/>
        <v>4687.5407779171892</v>
      </c>
    </row>
    <row r="77" spans="2:8" x14ac:dyDescent="0.3">
      <c r="C77">
        <v>1.6</v>
      </c>
      <c r="D77">
        <f t="shared" si="0"/>
        <v>3970.6775407779173</v>
      </c>
    </row>
    <row r="78" spans="2:8" x14ac:dyDescent="0.3">
      <c r="C78">
        <v>0</v>
      </c>
      <c r="D78">
        <f t="shared" si="0"/>
        <v>3305.0188205771642</v>
      </c>
    </row>
    <row r="79" spans="2:8" x14ac:dyDescent="0.3">
      <c r="C79">
        <v>64</v>
      </c>
      <c r="D79">
        <f t="shared" si="0"/>
        <v>35852.471769134252</v>
      </c>
    </row>
    <row r="80" spans="2:8" x14ac:dyDescent="0.3">
      <c r="C80">
        <v>56</v>
      </c>
      <c r="D80">
        <f t="shared" si="0"/>
        <v>31867.829360100375</v>
      </c>
    </row>
    <row r="81" spans="3:4" x14ac:dyDescent="0.3">
      <c r="C81">
        <v>48</v>
      </c>
      <c r="D81">
        <f t="shared" si="0"/>
        <v>27769.916352990382</v>
      </c>
    </row>
    <row r="82" spans="3:4" x14ac:dyDescent="0.3">
      <c r="C82">
        <v>40</v>
      </c>
      <c r="D82">
        <f t="shared" si="0"/>
        <v>23664.245085738185</v>
      </c>
    </row>
    <row r="83" spans="3:4" x14ac:dyDescent="0.3">
      <c r="C83">
        <v>32</v>
      </c>
      <c r="D83">
        <f t="shared" si="0"/>
        <v>20411.982434127982</v>
      </c>
    </row>
    <row r="84" spans="3:4" x14ac:dyDescent="0.3">
      <c r="C84">
        <v>24</v>
      </c>
      <c r="D84">
        <f t="shared" si="0"/>
        <v>17274.542032622336</v>
      </c>
    </row>
    <row r="85" spans="3:4" x14ac:dyDescent="0.3">
      <c r="C85">
        <v>16</v>
      </c>
      <c r="D85">
        <f t="shared" si="0"/>
        <v>11595.495608531995</v>
      </c>
    </row>
    <row r="86" spans="3:4" x14ac:dyDescent="0.3">
      <c r="C86">
        <v>8</v>
      </c>
      <c r="D86">
        <f t="shared" si="0"/>
        <v>6814.855708908407</v>
      </c>
    </row>
    <row r="87" spans="3:4" x14ac:dyDescent="0.3">
      <c r="C87">
        <v>3.2</v>
      </c>
      <c r="D87">
        <f t="shared" si="0"/>
        <v>4799.2597239648685</v>
      </c>
    </row>
    <row r="88" spans="3:4" x14ac:dyDescent="0.3">
      <c r="C88">
        <v>1.6</v>
      </c>
      <c r="D88">
        <f t="shared" si="0"/>
        <v>4330.660811375993</v>
      </c>
    </row>
    <row r="89" spans="3:4" x14ac:dyDescent="0.3">
      <c r="C89">
        <v>0</v>
      </c>
      <c r="D89">
        <f t="shared" si="0"/>
        <v>4114.9811794228353</v>
      </c>
    </row>
  </sheetData>
  <mergeCells count="6">
    <mergeCell ref="K42:L42"/>
    <mergeCell ref="A42:B42"/>
    <mergeCell ref="C42:D42"/>
    <mergeCell ref="E42:F42"/>
    <mergeCell ref="G42:H42"/>
    <mergeCell ref="I42:J4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9F8B-F8CD-4C53-9746-D4FD080BEC3A}">
  <dimension ref="A1:AF60"/>
  <sheetViews>
    <sheetView tabSelected="1" topLeftCell="F30" zoomScale="70" zoomScaleNormal="70" workbookViewId="0">
      <selection activeCell="Y45" sqref="Y45"/>
    </sheetView>
  </sheetViews>
  <sheetFormatPr defaultRowHeight="14" x14ac:dyDescent="0.3"/>
  <cols>
    <col min="2" max="2" width="9.5" bestFit="1" customWidth="1"/>
  </cols>
  <sheetData>
    <row r="1" spans="1:18" ht="27.95" x14ac:dyDescent="0.3">
      <c r="A1" s="1" t="s">
        <v>12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8" x14ac:dyDescent="0.3">
      <c r="A2" s="2" t="s">
        <v>0</v>
      </c>
      <c r="B2" s="3">
        <v>14661</v>
      </c>
      <c r="C2" s="3">
        <v>11842</v>
      </c>
      <c r="D2" s="3">
        <v>9184</v>
      </c>
      <c r="E2" s="3">
        <v>9365</v>
      </c>
      <c r="F2" s="3">
        <v>8857</v>
      </c>
      <c r="G2" s="3">
        <v>7607</v>
      </c>
      <c r="H2" s="3">
        <v>6170</v>
      </c>
      <c r="I2" s="3">
        <v>4195</v>
      </c>
      <c r="J2" s="3">
        <v>2170</v>
      </c>
      <c r="K2" s="3">
        <v>1247</v>
      </c>
      <c r="L2" s="3">
        <v>1199</v>
      </c>
      <c r="M2" s="3">
        <v>1102</v>
      </c>
      <c r="N2" s="4" t="s">
        <v>9</v>
      </c>
      <c r="P2" s="5">
        <v>64</v>
      </c>
      <c r="Q2" s="3">
        <v>11842</v>
      </c>
      <c r="R2">
        <f>Q2*$O$3</f>
        <v>17763</v>
      </c>
    </row>
    <row r="3" spans="1:18" x14ac:dyDescent="0.3">
      <c r="A3" s="2" t="s">
        <v>2</v>
      </c>
      <c r="B3" s="3">
        <v>14931</v>
      </c>
      <c r="C3" s="3">
        <v>12601</v>
      </c>
      <c r="D3" s="3">
        <v>10619</v>
      </c>
      <c r="E3" s="3">
        <v>9210</v>
      </c>
      <c r="F3" s="3">
        <v>7912</v>
      </c>
      <c r="G3" s="3">
        <v>7383</v>
      </c>
      <c r="H3" s="3">
        <v>6440</v>
      </c>
      <c r="I3" s="3">
        <v>4373</v>
      </c>
      <c r="J3" s="3">
        <v>2362</v>
      </c>
      <c r="K3" s="3">
        <v>1654</v>
      </c>
      <c r="L3" s="3">
        <v>1204</v>
      </c>
      <c r="M3" s="3">
        <v>1053</v>
      </c>
      <c r="N3" s="4" t="s">
        <v>9</v>
      </c>
      <c r="O3">
        <f>O4/AVERAGE(M2:M3)</f>
        <v>1.5</v>
      </c>
      <c r="P3" s="5">
        <v>56</v>
      </c>
      <c r="Q3" s="3"/>
    </row>
    <row r="4" spans="1:18" x14ac:dyDescent="0.3">
      <c r="A4" s="2" t="s">
        <v>3</v>
      </c>
      <c r="B4" s="3"/>
      <c r="C4" s="3">
        <v>2623</v>
      </c>
      <c r="D4" s="3">
        <v>2387</v>
      </c>
      <c r="E4" s="3">
        <v>2553</v>
      </c>
      <c r="F4" s="3">
        <v>2031</v>
      </c>
      <c r="G4" s="3">
        <v>2026</v>
      </c>
      <c r="H4" s="3"/>
      <c r="I4" s="3"/>
      <c r="J4" s="3">
        <v>2976</v>
      </c>
      <c r="K4" s="3">
        <v>2028</v>
      </c>
      <c r="L4" s="3"/>
      <c r="M4" s="3">
        <v>2357</v>
      </c>
      <c r="N4" s="4" t="s">
        <v>9</v>
      </c>
      <c r="O4">
        <f>AVERAGE(F5:I5)</f>
        <v>1616.25</v>
      </c>
      <c r="P4">
        <v>48</v>
      </c>
      <c r="Q4" s="3">
        <v>9365</v>
      </c>
      <c r="R4">
        <f t="shared" ref="R4:R23" si="0">Q4*$O$3</f>
        <v>14047.5</v>
      </c>
    </row>
    <row r="5" spans="1:18" x14ac:dyDescent="0.3">
      <c r="A5" s="2" t="s">
        <v>4</v>
      </c>
      <c r="B5" s="3">
        <v>2076</v>
      </c>
      <c r="C5" s="3"/>
      <c r="D5" s="3">
        <v>3422</v>
      </c>
      <c r="E5" s="3">
        <v>2283</v>
      </c>
      <c r="F5" s="3">
        <v>1587</v>
      </c>
      <c r="G5" s="3">
        <v>1685</v>
      </c>
      <c r="H5" s="3">
        <v>1658</v>
      </c>
      <c r="I5" s="3">
        <v>1535</v>
      </c>
      <c r="J5" s="3">
        <v>2625</v>
      </c>
      <c r="K5" s="3">
        <v>2765</v>
      </c>
      <c r="L5" s="3">
        <v>2833</v>
      </c>
      <c r="M5" s="3">
        <v>2722</v>
      </c>
      <c r="N5" s="4" t="s">
        <v>9</v>
      </c>
      <c r="P5" s="5">
        <v>40</v>
      </c>
      <c r="Q5" s="3">
        <v>8857</v>
      </c>
      <c r="R5">
        <f t="shared" si="0"/>
        <v>13285.5</v>
      </c>
    </row>
    <row r="6" spans="1:18" x14ac:dyDescent="0.3">
      <c r="A6" s="2" t="s">
        <v>5</v>
      </c>
      <c r="B6" s="3">
        <v>9064</v>
      </c>
      <c r="C6" s="3">
        <v>6600</v>
      </c>
      <c r="D6" s="3">
        <v>12013</v>
      </c>
      <c r="E6" s="3">
        <v>7474</v>
      </c>
      <c r="F6" s="3">
        <v>3203</v>
      </c>
      <c r="G6" s="3">
        <v>3420</v>
      </c>
      <c r="H6" s="3">
        <v>4065</v>
      </c>
      <c r="I6" s="3">
        <v>3585</v>
      </c>
      <c r="J6" s="3">
        <v>5979</v>
      </c>
      <c r="K6" s="3">
        <v>7039</v>
      </c>
      <c r="L6" s="3">
        <v>6142</v>
      </c>
      <c r="M6" s="3">
        <v>5056</v>
      </c>
      <c r="N6" s="4" t="s">
        <v>9</v>
      </c>
      <c r="P6" s="5">
        <v>32</v>
      </c>
      <c r="Q6" s="3">
        <v>7607</v>
      </c>
      <c r="R6">
        <f t="shared" si="0"/>
        <v>11410.5</v>
      </c>
    </row>
    <row r="7" spans="1:18" x14ac:dyDescent="0.3">
      <c r="A7" s="2" t="s">
        <v>6</v>
      </c>
      <c r="B7" s="3">
        <v>5620</v>
      </c>
      <c r="C7" s="3">
        <v>6297</v>
      </c>
      <c r="D7" s="3">
        <v>4377</v>
      </c>
      <c r="E7" s="3">
        <v>5128</v>
      </c>
      <c r="F7" s="3">
        <v>4433</v>
      </c>
      <c r="G7" s="3">
        <v>4922</v>
      </c>
      <c r="H7" s="3">
        <v>7630</v>
      </c>
      <c r="I7" s="3">
        <v>6228</v>
      </c>
      <c r="J7" s="3">
        <v>6728</v>
      </c>
      <c r="K7" s="3">
        <v>6118</v>
      </c>
      <c r="L7" s="3">
        <v>7434</v>
      </c>
      <c r="M7" s="3">
        <v>7152</v>
      </c>
      <c r="N7" s="4" t="s">
        <v>9</v>
      </c>
      <c r="P7" s="5">
        <v>24</v>
      </c>
      <c r="Q7" s="3">
        <v>6170</v>
      </c>
      <c r="R7">
        <f t="shared" si="0"/>
        <v>9255</v>
      </c>
    </row>
    <row r="8" spans="1:18" x14ac:dyDescent="0.3">
      <c r="A8" s="2" t="s">
        <v>7</v>
      </c>
      <c r="B8" s="3">
        <v>6747</v>
      </c>
      <c r="C8" s="3">
        <v>6769</v>
      </c>
      <c r="D8" s="3">
        <v>5941</v>
      </c>
      <c r="E8" s="3">
        <v>6367</v>
      </c>
      <c r="F8" s="3">
        <v>6343</v>
      </c>
      <c r="G8" s="3">
        <v>6221</v>
      </c>
      <c r="H8" s="3">
        <v>6276</v>
      </c>
      <c r="I8" s="3">
        <v>5819</v>
      </c>
      <c r="J8" s="3">
        <v>9</v>
      </c>
      <c r="K8" s="3">
        <v>37</v>
      </c>
      <c r="L8" s="3">
        <v>42</v>
      </c>
      <c r="M8" s="3">
        <v>56</v>
      </c>
      <c r="N8" s="4" t="s">
        <v>9</v>
      </c>
      <c r="P8" s="5">
        <v>16</v>
      </c>
      <c r="Q8" s="3">
        <v>4195</v>
      </c>
      <c r="R8">
        <f t="shared" si="0"/>
        <v>6292.5</v>
      </c>
    </row>
    <row r="9" spans="1:18" x14ac:dyDescent="0.3">
      <c r="A9" s="2" t="s">
        <v>8</v>
      </c>
      <c r="B9" s="3">
        <v>55</v>
      </c>
      <c r="C9" s="3">
        <v>10</v>
      </c>
      <c r="D9" s="3">
        <v>64</v>
      </c>
      <c r="E9" s="3">
        <v>13</v>
      </c>
      <c r="F9" s="3">
        <v>15</v>
      </c>
      <c r="G9" s="3">
        <v>41</v>
      </c>
      <c r="H9" s="3">
        <v>24</v>
      </c>
      <c r="I9" s="3">
        <v>50</v>
      </c>
      <c r="J9" s="3">
        <v>21</v>
      </c>
      <c r="K9" s="3">
        <v>25</v>
      </c>
      <c r="L9" s="3">
        <v>66</v>
      </c>
      <c r="M9" s="3">
        <v>48</v>
      </c>
      <c r="N9" s="4" t="s">
        <v>9</v>
      </c>
      <c r="P9" s="5">
        <v>8</v>
      </c>
      <c r="Q9" s="3">
        <v>2170</v>
      </c>
      <c r="R9">
        <f t="shared" si="0"/>
        <v>3255</v>
      </c>
    </row>
    <row r="10" spans="1:18" x14ac:dyDescent="0.3">
      <c r="P10" s="5">
        <v>3.2</v>
      </c>
      <c r="Q10" s="3">
        <v>1247</v>
      </c>
      <c r="R10">
        <f t="shared" si="0"/>
        <v>1870.5</v>
      </c>
    </row>
    <row r="11" spans="1:18" x14ac:dyDescent="0.3">
      <c r="A11" s="1" t="s">
        <v>10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P11" s="5">
        <v>1.6</v>
      </c>
      <c r="Q11" s="3">
        <v>1199</v>
      </c>
      <c r="R11">
        <f t="shared" si="0"/>
        <v>1798.5</v>
      </c>
    </row>
    <row r="12" spans="1:18" x14ac:dyDescent="0.3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P12" s="5">
        <v>0</v>
      </c>
      <c r="Q12" s="3">
        <v>1102</v>
      </c>
      <c r="R12">
        <f t="shared" si="0"/>
        <v>1653</v>
      </c>
    </row>
    <row r="13" spans="1:18" x14ac:dyDescent="0.3">
      <c r="A13" s="2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P13" s="5">
        <v>64</v>
      </c>
      <c r="Q13" s="3">
        <v>12601</v>
      </c>
      <c r="R13">
        <f t="shared" si="0"/>
        <v>18901.5</v>
      </c>
    </row>
    <row r="14" spans="1:18" x14ac:dyDescent="0.3">
      <c r="A14" s="2" t="s">
        <v>3</v>
      </c>
      <c r="B14" s="3"/>
      <c r="C14" s="3">
        <f>(C4*0.0037)-(6.3166*C4/C4)</f>
        <v>3.3884999999999996</v>
      </c>
      <c r="D14" s="3">
        <f t="shared" ref="D14:M14" si="1">(D4*0.0037)-(6.3166*D4/D4)</f>
        <v>2.5153000000000008</v>
      </c>
      <c r="E14" s="3">
        <f t="shared" si="1"/>
        <v>3.1295000000000011</v>
      </c>
      <c r="F14" s="3">
        <f t="shared" si="1"/>
        <v>1.1981000000000002</v>
      </c>
      <c r="G14" s="3">
        <f t="shared" si="1"/>
        <v>1.1795999999999998</v>
      </c>
      <c r="H14" s="3"/>
      <c r="I14" s="3"/>
      <c r="J14" s="3">
        <f t="shared" si="1"/>
        <v>4.6946000000000003</v>
      </c>
      <c r="K14" s="3">
        <f t="shared" si="1"/>
        <v>1.1870000000000003</v>
      </c>
      <c r="L14" s="3"/>
      <c r="M14" s="3">
        <f t="shared" si="1"/>
        <v>2.4043000000000001</v>
      </c>
      <c r="N14" s="6">
        <f>AVERAGE(B14:M14)</f>
        <v>2.4621125000000004</v>
      </c>
      <c r="O14" s="6">
        <f>N14/0.008</f>
        <v>307.76406250000002</v>
      </c>
      <c r="P14" s="5">
        <v>56</v>
      </c>
      <c r="Q14" s="3">
        <v>10619</v>
      </c>
      <c r="R14">
        <f t="shared" si="0"/>
        <v>15928.5</v>
      </c>
    </row>
    <row r="15" spans="1:18" x14ac:dyDescent="0.3">
      <c r="A15" s="2" t="s">
        <v>4</v>
      </c>
      <c r="B15" s="3">
        <f>(B5*0.0037)-(6.3166*B5/B5)</f>
        <v>1.3646000000000003</v>
      </c>
      <c r="C15" s="3"/>
      <c r="D15" s="3">
        <f t="shared" ref="D15:M15" si="2">(D5*0.0037)-(6.3166*D5/D5)</f>
        <v>6.3448000000000002</v>
      </c>
      <c r="E15" s="3">
        <f t="shared" si="2"/>
        <v>2.1305000000000005</v>
      </c>
      <c r="F15" s="3">
        <f t="shared" si="2"/>
        <v>-0.4447000000000001</v>
      </c>
      <c r="G15" s="3">
        <f t="shared" si="2"/>
        <v>-8.209999999999873E-2</v>
      </c>
      <c r="H15" s="3">
        <f t="shared" si="2"/>
        <v>-0.18200000000000038</v>
      </c>
      <c r="I15" s="3">
        <f t="shared" si="2"/>
        <v>-0.63710000000000022</v>
      </c>
      <c r="J15" s="3">
        <f t="shared" si="2"/>
        <v>3.3959000000000001</v>
      </c>
      <c r="K15" s="3">
        <f t="shared" si="2"/>
        <v>3.9139000000000008</v>
      </c>
      <c r="L15" s="3">
        <f t="shared" si="2"/>
        <v>4.1655000000000006</v>
      </c>
      <c r="M15" s="3">
        <f t="shared" si="2"/>
        <v>3.7547999999999995</v>
      </c>
      <c r="P15">
        <v>48</v>
      </c>
      <c r="Q15" s="3">
        <v>9210</v>
      </c>
      <c r="R15">
        <f t="shared" si="0"/>
        <v>13815</v>
      </c>
    </row>
    <row r="16" spans="1:18" x14ac:dyDescent="0.3">
      <c r="A16" s="2" t="s">
        <v>5</v>
      </c>
      <c r="B16" s="3">
        <f t="shared" ref="B16:B17" si="3">(B6*0.0037)-(6.3166*B6/B6)</f>
        <v>27.220199999999998</v>
      </c>
      <c r="C16" s="3">
        <f t="shared" ref="C16:M16" si="4">(C6*0.0037)-(6.3166*C6/C6)</f>
        <v>18.103400000000001</v>
      </c>
      <c r="D16" s="3">
        <f t="shared" si="4"/>
        <v>38.131500000000003</v>
      </c>
      <c r="E16" s="3">
        <f t="shared" si="4"/>
        <v>21.337199999999999</v>
      </c>
      <c r="F16" s="3">
        <f t="shared" si="4"/>
        <v>5.5345000000000004</v>
      </c>
      <c r="G16" s="3">
        <f t="shared" si="4"/>
        <v>6.3373999999999997</v>
      </c>
      <c r="H16" s="3">
        <f t="shared" si="4"/>
        <v>8.7239000000000004</v>
      </c>
      <c r="I16" s="3">
        <f t="shared" si="4"/>
        <v>6.9478999999999997</v>
      </c>
      <c r="J16" s="3">
        <f t="shared" si="4"/>
        <v>15.805700000000003</v>
      </c>
      <c r="K16" s="3">
        <f t="shared" si="4"/>
        <v>19.727699999999999</v>
      </c>
      <c r="L16" s="3">
        <f t="shared" si="4"/>
        <v>16.408799999999999</v>
      </c>
      <c r="M16" s="3">
        <f t="shared" si="4"/>
        <v>12.390599999999999</v>
      </c>
      <c r="P16" s="5">
        <v>40</v>
      </c>
      <c r="Q16" s="3">
        <v>7912</v>
      </c>
      <c r="R16">
        <f t="shared" si="0"/>
        <v>11868</v>
      </c>
    </row>
    <row r="17" spans="1:32" x14ac:dyDescent="0.3">
      <c r="A17" s="2" t="s">
        <v>6</v>
      </c>
      <c r="B17" s="3">
        <f t="shared" si="3"/>
        <v>14.477399999999999</v>
      </c>
      <c r="C17" s="3">
        <f t="shared" ref="C17:M17" si="5">(C7*0.0037)-(6.3166*C7/C7)</f>
        <v>16.982299999999999</v>
      </c>
      <c r="D17" s="3">
        <f t="shared" si="5"/>
        <v>9.8782999999999994</v>
      </c>
      <c r="E17" s="3">
        <f t="shared" si="5"/>
        <v>12.657</v>
      </c>
      <c r="F17" s="3">
        <f t="shared" si="5"/>
        <v>10.0855</v>
      </c>
      <c r="G17" s="3">
        <f t="shared" si="5"/>
        <v>11.8948</v>
      </c>
      <c r="H17" s="3">
        <f t="shared" si="5"/>
        <v>21.914400000000001</v>
      </c>
      <c r="I17" s="3">
        <f t="shared" si="5"/>
        <v>16.727</v>
      </c>
      <c r="J17" s="3">
        <f t="shared" si="5"/>
        <v>18.577000000000002</v>
      </c>
      <c r="K17" s="3">
        <f t="shared" si="5"/>
        <v>16.32</v>
      </c>
      <c r="L17" s="3">
        <f t="shared" si="5"/>
        <v>21.1892</v>
      </c>
      <c r="M17" s="3">
        <f t="shared" si="5"/>
        <v>20.145800000000001</v>
      </c>
      <c r="P17" s="5">
        <v>32</v>
      </c>
      <c r="Q17" s="3">
        <v>7383</v>
      </c>
      <c r="R17">
        <f t="shared" si="0"/>
        <v>11074.5</v>
      </c>
    </row>
    <row r="18" spans="1:32" x14ac:dyDescent="0.3">
      <c r="A18" s="2" t="s">
        <v>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P18" s="5">
        <v>24</v>
      </c>
      <c r="Q18" s="3">
        <v>6440</v>
      </c>
      <c r="R18">
        <f t="shared" si="0"/>
        <v>9660</v>
      </c>
    </row>
    <row r="19" spans="1:32" x14ac:dyDescent="0.3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P19" s="5">
        <v>16</v>
      </c>
      <c r="Q19" s="3">
        <v>4373</v>
      </c>
      <c r="R19">
        <f t="shared" si="0"/>
        <v>6559.5</v>
      </c>
    </row>
    <row r="20" spans="1:32" x14ac:dyDescent="0.3">
      <c r="B20" t="s">
        <v>18</v>
      </c>
      <c r="P20" s="5">
        <v>8</v>
      </c>
      <c r="Q20" s="3">
        <v>2362</v>
      </c>
      <c r="R20">
        <f t="shared" si="0"/>
        <v>3543</v>
      </c>
    </row>
    <row r="21" spans="1:32" x14ac:dyDescent="0.3">
      <c r="A21" s="1" t="s">
        <v>10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P21" s="5">
        <v>3.2</v>
      </c>
      <c r="Q21" s="3">
        <v>1654</v>
      </c>
      <c r="R21">
        <f t="shared" si="0"/>
        <v>2481</v>
      </c>
    </row>
    <row r="22" spans="1:32" x14ac:dyDescent="0.3">
      <c r="A22" s="2" t="s">
        <v>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P22" s="5">
        <v>1.6</v>
      </c>
      <c r="Q22" s="3">
        <v>1204</v>
      </c>
      <c r="R22">
        <f t="shared" si="0"/>
        <v>1806</v>
      </c>
    </row>
    <row r="23" spans="1:32" x14ac:dyDescent="0.3">
      <c r="A23" s="2" t="s">
        <v>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P23" s="5">
        <v>0</v>
      </c>
      <c r="Q23" s="3">
        <v>1053</v>
      </c>
      <c r="R23">
        <f t="shared" si="0"/>
        <v>1579.5</v>
      </c>
    </row>
    <row r="24" spans="1:32" x14ac:dyDescent="0.3">
      <c r="A24" s="2" t="s">
        <v>3</v>
      </c>
      <c r="B24" s="3"/>
      <c r="C24" s="3">
        <f t="shared" ref="C24:M25" si="6">C14/0.008</f>
        <v>423.56249999999994</v>
      </c>
      <c r="D24" s="3">
        <f t="shared" si="6"/>
        <v>314.41250000000008</v>
      </c>
      <c r="E24" s="3">
        <f t="shared" si="6"/>
        <v>391.18750000000011</v>
      </c>
      <c r="F24" s="3">
        <f t="shared" si="6"/>
        <v>149.76250000000002</v>
      </c>
      <c r="G24" s="3">
        <f t="shared" si="6"/>
        <v>147.44999999999996</v>
      </c>
      <c r="H24" s="3"/>
      <c r="I24" s="3"/>
      <c r="J24" s="3">
        <f t="shared" si="6"/>
        <v>586.82500000000005</v>
      </c>
      <c r="K24" s="3">
        <f t="shared" si="6"/>
        <v>148.37500000000003</v>
      </c>
      <c r="L24" s="3"/>
      <c r="M24" s="3">
        <f t="shared" si="6"/>
        <v>300.53750000000002</v>
      </c>
    </row>
    <row r="25" spans="1:32" x14ac:dyDescent="0.3">
      <c r="A25" s="2" t="s">
        <v>4</v>
      </c>
      <c r="B25" s="3">
        <f t="shared" ref="B25:M25" si="7">B15/0.008</f>
        <v>170.57500000000002</v>
      </c>
      <c r="C25" s="3"/>
      <c r="D25" s="3">
        <f t="shared" si="7"/>
        <v>793.1</v>
      </c>
      <c r="E25" s="3">
        <f t="shared" si="6"/>
        <v>266.31250000000006</v>
      </c>
      <c r="F25" s="3">
        <f t="shared" si="7"/>
        <v>-55.587500000000013</v>
      </c>
      <c r="G25" s="3">
        <f t="shared" si="7"/>
        <v>-10.262499999999841</v>
      </c>
      <c r="H25" s="3">
        <f t="shared" si="7"/>
        <v>-22.750000000000046</v>
      </c>
      <c r="I25" s="3">
        <f t="shared" si="7"/>
        <v>-79.637500000000031</v>
      </c>
      <c r="J25" s="3">
        <f t="shared" si="7"/>
        <v>424.48750000000001</v>
      </c>
      <c r="K25" s="3">
        <f t="shared" si="7"/>
        <v>489.23750000000007</v>
      </c>
      <c r="L25" s="3">
        <f t="shared" si="7"/>
        <v>520.68750000000011</v>
      </c>
      <c r="M25" s="3">
        <f t="shared" si="7"/>
        <v>469.34999999999991</v>
      </c>
    </row>
    <row r="26" spans="1:32" x14ac:dyDescent="0.3">
      <c r="A26" s="2" t="s">
        <v>5</v>
      </c>
      <c r="B26" s="3">
        <f t="shared" ref="B26:M26" si="8">B16/0.008</f>
        <v>3402.5249999999996</v>
      </c>
      <c r="C26" s="3">
        <f t="shared" si="8"/>
        <v>2262.9250000000002</v>
      </c>
      <c r="D26" s="3">
        <f t="shared" si="8"/>
        <v>4766.4375</v>
      </c>
      <c r="E26" s="3">
        <f t="shared" si="8"/>
        <v>2667.1499999999996</v>
      </c>
      <c r="F26" s="3">
        <f t="shared" si="8"/>
        <v>691.8125</v>
      </c>
      <c r="G26" s="3">
        <f t="shared" si="8"/>
        <v>792.17499999999995</v>
      </c>
      <c r="H26" s="3">
        <f t="shared" si="8"/>
        <v>1090.4875</v>
      </c>
      <c r="I26" s="3">
        <f t="shared" si="8"/>
        <v>868.48749999999995</v>
      </c>
      <c r="J26" s="3">
        <f t="shared" si="8"/>
        <v>1975.7125000000003</v>
      </c>
      <c r="K26" s="3">
        <f t="shared" si="8"/>
        <v>2465.9624999999996</v>
      </c>
      <c r="L26" s="3">
        <f t="shared" si="8"/>
        <v>2051.1</v>
      </c>
      <c r="M26" s="3">
        <f t="shared" si="8"/>
        <v>1548.8249999999998</v>
      </c>
    </row>
    <row r="27" spans="1:32" x14ac:dyDescent="0.3">
      <c r="A27" s="2" t="s">
        <v>6</v>
      </c>
      <c r="B27" s="3">
        <f t="shared" ref="B27:M27" si="9">B17/0.008</f>
        <v>1809.675</v>
      </c>
      <c r="C27" s="3">
        <f t="shared" si="9"/>
        <v>2122.7874999999999</v>
      </c>
      <c r="D27" s="3">
        <f t="shared" si="9"/>
        <v>1234.7874999999999</v>
      </c>
      <c r="E27" s="3">
        <f t="shared" si="9"/>
        <v>1582.125</v>
      </c>
      <c r="F27" s="3">
        <f t="shared" si="9"/>
        <v>1260.6875</v>
      </c>
      <c r="G27" s="3">
        <f t="shared" si="9"/>
        <v>1486.85</v>
      </c>
      <c r="H27" s="3">
        <f t="shared" si="9"/>
        <v>2739.3</v>
      </c>
      <c r="I27" s="3">
        <f t="shared" si="9"/>
        <v>2090.875</v>
      </c>
      <c r="J27" s="3">
        <f t="shared" si="9"/>
        <v>2322.125</v>
      </c>
      <c r="K27" s="3">
        <f t="shared" si="9"/>
        <v>2040</v>
      </c>
      <c r="L27" s="3">
        <f t="shared" si="9"/>
        <v>2648.65</v>
      </c>
      <c r="M27" s="3">
        <f t="shared" si="9"/>
        <v>2518.2249999999999</v>
      </c>
    </row>
    <row r="28" spans="1:32" x14ac:dyDescent="0.3">
      <c r="A28" s="2" t="s">
        <v>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32" x14ac:dyDescent="0.3">
      <c r="A29" s="2" t="s">
        <v>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32" x14ac:dyDescent="0.3">
      <c r="AF30" t="s">
        <v>28</v>
      </c>
    </row>
    <row r="31" spans="1:32" x14ac:dyDescent="0.3">
      <c r="AF31" t="s">
        <v>29</v>
      </c>
    </row>
    <row r="33" spans="1:16" x14ac:dyDescent="0.3">
      <c r="A33" t="s">
        <v>25</v>
      </c>
      <c r="B33" s="7" t="s">
        <v>19</v>
      </c>
      <c r="C33" s="7"/>
      <c r="D33" s="7"/>
      <c r="E33" s="7"/>
      <c r="F33" s="7" t="s">
        <v>21</v>
      </c>
      <c r="G33" s="7"/>
      <c r="H33" s="7"/>
      <c r="I33" s="7"/>
      <c r="J33" s="7" t="s">
        <v>22</v>
      </c>
      <c r="K33" s="7"/>
      <c r="L33" s="7"/>
      <c r="M33" s="7"/>
    </row>
    <row r="34" spans="1:16" x14ac:dyDescent="0.3">
      <c r="B34" t="s">
        <v>20</v>
      </c>
      <c r="C34">
        <v>12</v>
      </c>
      <c r="D34">
        <v>24</v>
      </c>
      <c r="E34">
        <v>48</v>
      </c>
      <c r="F34" t="s">
        <v>20</v>
      </c>
      <c r="G34">
        <v>12</v>
      </c>
      <c r="H34">
        <v>24</v>
      </c>
      <c r="I34">
        <v>48</v>
      </c>
      <c r="J34" t="s">
        <v>20</v>
      </c>
      <c r="K34">
        <v>12</v>
      </c>
      <c r="L34">
        <v>24</v>
      </c>
      <c r="M34">
        <v>48</v>
      </c>
    </row>
    <row r="35" spans="1:16" x14ac:dyDescent="0.3">
      <c r="C35">
        <v>170.57500000000002</v>
      </c>
      <c r="D35">
        <v>3402.5249999999996</v>
      </c>
      <c r="E35">
        <v>1809.675</v>
      </c>
      <c r="F35">
        <v>149.76250000000002</v>
      </c>
      <c r="G35">
        <v>-55.587500000000013</v>
      </c>
      <c r="H35">
        <v>691.8125</v>
      </c>
      <c r="I35">
        <v>1260.6875</v>
      </c>
      <c r="J35">
        <v>586.82500000000005</v>
      </c>
      <c r="K35">
        <v>424.48750000000001</v>
      </c>
      <c r="L35">
        <v>1975.7125000000003</v>
      </c>
      <c r="M35">
        <v>2322.125</v>
      </c>
      <c r="P35" s="3"/>
    </row>
    <row r="36" spans="1:16" x14ac:dyDescent="0.3">
      <c r="B36">
        <v>423.56249999999994</v>
      </c>
      <c r="D36">
        <v>2262.9250000000002</v>
      </c>
      <c r="E36">
        <v>2122.7874999999999</v>
      </c>
      <c r="F36">
        <v>147.44999999999996</v>
      </c>
      <c r="G36">
        <v>-10.262499999999841</v>
      </c>
      <c r="H36">
        <v>792.17499999999995</v>
      </c>
      <c r="I36">
        <v>1486.85</v>
      </c>
      <c r="J36">
        <v>148.37500000000003</v>
      </c>
      <c r="K36">
        <v>489.23750000000007</v>
      </c>
      <c r="L36">
        <v>2465.9624999999996</v>
      </c>
      <c r="M36">
        <v>2040</v>
      </c>
      <c r="P36" s="3"/>
    </row>
    <row r="37" spans="1:16" x14ac:dyDescent="0.3">
      <c r="B37">
        <v>314.41250000000008</v>
      </c>
      <c r="C37">
        <v>793.1</v>
      </c>
      <c r="D37">
        <v>4766.4375</v>
      </c>
      <c r="E37">
        <v>1234.7874999999999</v>
      </c>
      <c r="G37">
        <v>-22.750000000000046</v>
      </c>
      <c r="H37">
        <v>1090.4875</v>
      </c>
      <c r="I37">
        <v>2739.3</v>
      </c>
      <c r="K37">
        <v>520.68750000000011</v>
      </c>
      <c r="L37">
        <v>2051.1</v>
      </c>
      <c r="M37">
        <v>2648.65</v>
      </c>
      <c r="P37" s="3"/>
    </row>
    <row r="38" spans="1:16" x14ac:dyDescent="0.3">
      <c r="B38">
        <v>391.18750000000011</v>
      </c>
      <c r="C38">
        <v>266.31250000000006</v>
      </c>
      <c r="D38">
        <v>2667.1499999999996</v>
      </c>
      <c r="E38">
        <v>1582.125</v>
      </c>
      <c r="H38">
        <v>868.48749999999995</v>
      </c>
      <c r="I38">
        <v>2090.875</v>
      </c>
      <c r="J38">
        <v>300.53750000000002</v>
      </c>
      <c r="K38">
        <v>469.34999999999991</v>
      </c>
      <c r="L38">
        <v>1548.8249999999998</v>
      </c>
      <c r="M38">
        <v>2518.2249999999999</v>
      </c>
      <c r="P38" s="3"/>
    </row>
    <row r="39" spans="1:16" x14ac:dyDescent="0.3">
      <c r="A39" t="s">
        <v>23</v>
      </c>
      <c r="B39">
        <f>AVERAGE(B35:B38)</f>
        <v>376.38750000000005</v>
      </c>
      <c r="C39">
        <f t="shared" ref="C39:M39" si="10">AVERAGE(C35:C38)</f>
        <v>409.99583333333339</v>
      </c>
      <c r="D39">
        <f t="shared" si="10"/>
        <v>3274.7593750000001</v>
      </c>
      <c r="E39">
        <f t="shared" si="10"/>
        <v>1687.34375</v>
      </c>
      <c r="F39">
        <f t="shared" si="10"/>
        <v>148.60624999999999</v>
      </c>
      <c r="G39">
        <f t="shared" si="10"/>
        <v>-29.533333333333299</v>
      </c>
      <c r="H39">
        <f t="shared" si="10"/>
        <v>860.74062499999991</v>
      </c>
      <c r="I39">
        <f t="shared" si="10"/>
        <v>1894.4281249999999</v>
      </c>
      <c r="J39">
        <f t="shared" si="10"/>
        <v>345.24583333333339</v>
      </c>
      <c r="K39">
        <f t="shared" si="10"/>
        <v>475.94062500000007</v>
      </c>
      <c r="L39">
        <f t="shared" si="10"/>
        <v>2010.3999999999999</v>
      </c>
      <c r="M39">
        <f t="shared" si="10"/>
        <v>2382.25</v>
      </c>
    </row>
    <row r="40" spans="1:16" x14ac:dyDescent="0.3">
      <c r="A40" t="s">
        <v>24</v>
      </c>
      <c r="B40">
        <f>STDEV(B35:B38)</f>
        <v>56.059884275656316</v>
      </c>
      <c r="C40">
        <f t="shared" ref="C40:M40" si="11">STDEV(C35:C38)</f>
        <v>335.21339339976151</v>
      </c>
      <c r="D40">
        <f t="shared" si="11"/>
        <v>1100.6703470392754</v>
      </c>
      <c r="E40">
        <f t="shared" si="11"/>
        <v>374.36806260962351</v>
      </c>
      <c r="F40">
        <f t="shared" si="11"/>
        <v>1.6351844314939314</v>
      </c>
      <c r="G40">
        <f t="shared" si="11"/>
        <v>23.411516708306973</v>
      </c>
      <c r="H40">
        <f t="shared" si="11"/>
        <v>169.39263757336846</v>
      </c>
      <c r="I40">
        <f t="shared" si="11"/>
        <v>663.36188404650579</v>
      </c>
      <c r="J40">
        <f t="shared" si="11"/>
        <v>222.61789444490606</v>
      </c>
      <c r="K40">
        <f t="shared" si="11"/>
        <v>40.290404635957316</v>
      </c>
      <c r="L40">
        <f t="shared" si="11"/>
        <v>375.69863130240441</v>
      </c>
      <c r="M40">
        <f t="shared" si="11"/>
        <v>264.70627668543614</v>
      </c>
    </row>
    <row r="42" spans="1:16" x14ac:dyDescent="0.3">
      <c r="A42" t="s">
        <v>26</v>
      </c>
    </row>
    <row r="43" spans="1:16" x14ac:dyDescent="0.3">
      <c r="B43" s="7" t="s">
        <v>19</v>
      </c>
      <c r="C43" s="7"/>
      <c r="D43" s="7"/>
      <c r="E43" s="7"/>
      <c r="F43" s="7" t="s">
        <v>21</v>
      </c>
      <c r="G43" s="7"/>
      <c r="H43" s="7"/>
      <c r="I43" s="7"/>
      <c r="J43" s="7" t="s">
        <v>22</v>
      </c>
      <c r="K43" s="7"/>
      <c r="L43" s="7"/>
      <c r="M43" s="7"/>
    </row>
    <row r="44" spans="1:16" x14ac:dyDescent="0.3">
      <c r="B44" t="s">
        <v>20</v>
      </c>
      <c r="C44">
        <v>12</v>
      </c>
      <c r="D44">
        <v>24</v>
      </c>
      <c r="E44">
        <v>48</v>
      </c>
      <c r="F44" t="s">
        <v>20</v>
      </c>
      <c r="G44">
        <v>12</v>
      </c>
      <c r="H44">
        <v>24</v>
      </c>
      <c r="I44">
        <v>48</v>
      </c>
      <c r="J44" t="s">
        <v>20</v>
      </c>
      <c r="K44">
        <v>12</v>
      </c>
      <c r="L44">
        <v>24</v>
      </c>
      <c r="M44">
        <v>48</v>
      </c>
    </row>
    <row r="45" spans="1:16" x14ac:dyDescent="0.3">
      <c r="C45">
        <v>1067.3625000000002</v>
      </c>
      <c r="D45">
        <v>5547.6</v>
      </c>
      <c r="E45">
        <v>4526.8625000000002</v>
      </c>
      <c r="F45">
        <v>130.33750000000009</v>
      </c>
      <c r="G45">
        <v>117.85000000000001</v>
      </c>
      <c r="H45">
        <v>1418.8625</v>
      </c>
      <c r="I45">
        <v>3748.0124999999998</v>
      </c>
      <c r="J45">
        <v>599.77500000000009</v>
      </c>
      <c r="K45">
        <v>698.75000000000011</v>
      </c>
      <c r="L45">
        <v>3343.3249999999998</v>
      </c>
      <c r="M45">
        <v>3863.1749999999997</v>
      </c>
    </row>
    <row r="46" spans="1:16" x14ac:dyDescent="0.3">
      <c r="B46">
        <v>620.58750000000009</v>
      </c>
      <c r="D46">
        <v>3873.3500000000004</v>
      </c>
      <c r="E46">
        <v>3496.875</v>
      </c>
      <c r="F46">
        <v>283.4249999999999</v>
      </c>
      <c r="G46">
        <v>423.0999999999998</v>
      </c>
      <c r="H46">
        <v>1930.3875000000003</v>
      </c>
      <c r="I46">
        <v>4159.6374999999998</v>
      </c>
      <c r="J46">
        <v>653.42500000000007</v>
      </c>
      <c r="K46">
        <v>506.8125</v>
      </c>
      <c r="L46">
        <v>5567.4875000000002</v>
      </c>
      <c r="M46">
        <v>4140.2125000000005</v>
      </c>
    </row>
    <row r="47" spans="1:16" x14ac:dyDescent="0.3">
      <c r="B47">
        <v>537.79999999999995</v>
      </c>
      <c r="C47">
        <v>1765.7375000000002</v>
      </c>
      <c r="D47">
        <v>7618.6750000000002</v>
      </c>
      <c r="E47">
        <v>3686.9624999999996</v>
      </c>
      <c r="G47">
        <v>282.03750000000002</v>
      </c>
      <c r="H47">
        <v>1996.0624999999998</v>
      </c>
      <c r="I47">
        <v>6763.5124999999998</v>
      </c>
      <c r="K47">
        <v>749.16250000000002</v>
      </c>
      <c r="L47">
        <v>3976.0249999999996</v>
      </c>
      <c r="M47">
        <v>6548.9125000000004</v>
      </c>
    </row>
    <row r="48" spans="1:16" x14ac:dyDescent="0.3">
      <c r="B48">
        <v>726.5</v>
      </c>
      <c r="C48">
        <v>813.91250000000014</v>
      </c>
      <c r="D48">
        <v>4327.5250000000005</v>
      </c>
      <c r="E48">
        <v>3971.8625000000002</v>
      </c>
      <c r="H48">
        <v>1958.1375</v>
      </c>
      <c r="I48">
        <v>6048.4875000000002</v>
      </c>
      <c r="J48">
        <v>510.51250000000016</v>
      </c>
      <c r="K48">
        <v>808.36250000000007</v>
      </c>
      <c r="L48">
        <v>2799.8874999999998</v>
      </c>
      <c r="M48">
        <v>5257.6125000000002</v>
      </c>
    </row>
    <row r="49" spans="1:13" x14ac:dyDescent="0.3">
      <c r="A49" t="s">
        <v>23</v>
      </c>
      <c r="B49">
        <f>AVERAGE(B45:B48)</f>
        <v>628.29583333333335</v>
      </c>
      <c r="C49">
        <f t="shared" ref="C49:M49" si="12">AVERAGE(C45:C48)</f>
        <v>1215.6708333333336</v>
      </c>
      <c r="D49">
        <f t="shared" si="12"/>
        <v>5341.7875000000004</v>
      </c>
      <c r="E49">
        <f t="shared" si="12"/>
        <v>3920.640625</v>
      </c>
      <c r="F49">
        <f t="shared" si="12"/>
        <v>206.88124999999999</v>
      </c>
      <c r="G49">
        <f t="shared" si="12"/>
        <v>274.32916666666659</v>
      </c>
      <c r="H49">
        <f t="shared" si="12"/>
        <v>1825.8625</v>
      </c>
      <c r="I49">
        <f t="shared" si="12"/>
        <v>5179.9124999999995</v>
      </c>
      <c r="J49">
        <f t="shared" si="12"/>
        <v>587.90416666666681</v>
      </c>
      <c r="K49">
        <f t="shared" si="12"/>
        <v>690.77187500000002</v>
      </c>
      <c r="L49">
        <f t="shared" si="12"/>
        <v>3921.6812499999996</v>
      </c>
      <c r="M49">
        <f t="shared" si="12"/>
        <v>4952.4781250000005</v>
      </c>
    </row>
    <row r="50" spans="1:13" x14ac:dyDescent="0.3">
      <c r="A50" t="s">
        <v>24</v>
      </c>
      <c r="B50">
        <f>STDEV(B45:B48)</f>
        <v>94.58586734858099</v>
      </c>
      <c r="C50">
        <f t="shared" ref="C50:M50" si="13">STDEV(C45:C48)</f>
        <v>492.93937655489896</v>
      </c>
      <c r="D50">
        <f t="shared" si="13"/>
        <v>1674.4762945594855</v>
      </c>
      <c r="E50">
        <f t="shared" si="13"/>
        <v>448.81748823702935</v>
      </c>
      <c r="F50">
        <f t="shared" si="13"/>
        <v>108.24920936489539</v>
      </c>
      <c r="G50">
        <f t="shared" si="13"/>
        <v>152.77092140549289</v>
      </c>
      <c r="H50">
        <f t="shared" si="13"/>
        <v>272.66535732163334</v>
      </c>
      <c r="I50">
        <f t="shared" si="13"/>
        <v>1455.2789167086407</v>
      </c>
      <c r="J50">
        <f t="shared" si="13"/>
        <v>72.191988316456047</v>
      </c>
      <c r="K50">
        <f t="shared" si="13"/>
        <v>130.56508249999033</v>
      </c>
      <c r="L50">
        <f t="shared" si="13"/>
        <v>1197.8520533516457</v>
      </c>
      <c r="M50">
        <f t="shared" si="13"/>
        <v>1223.1198420677733</v>
      </c>
    </row>
    <row r="52" spans="1:13" x14ac:dyDescent="0.3">
      <c r="A52" t="s">
        <v>27</v>
      </c>
    </row>
    <row r="53" spans="1:13" x14ac:dyDescent="0.3">
      <c r="B53" s="7" t="s">
        <v>19</v>
      </c>
      <c r="C53" s="7"/>
      <c r="D53" s="7"/>
      <c r="E53" s="7"/>
      <c r="F53" s="7" t="s">
        <v>21</v>
      </c>
      <c r="G53" s="7"/>
      <c r="H53" s="7"/>
      <c r="I53" s="7"/>
      <c r="J53" s="7" t="s">
        <v>22</v>
      </c>
      <c r="K53" s="7"/>
      <c r="L53" s="7"/>
      <c r="M53" s="7"/>
    </row>
    <row r="54" spans="1:13" x14ac:dyDescent="0.3">
      <c r="B54" t="s">
        <v>20</v>
      </c>
      <c r="C54">
        <v>12</v>
      </c>
      <c r="D54">
        <v>24</v>
      </c>
      <c r="E54">
        <v>48</v>
      </c>
      <c r="F54" t="s">
        <v>20</v>
      </c>
      <c r="G54">
        <v>12</v>
      </c>
      <c r="H54">
        <v>24</v>
      </c>
      <c r="I54">
        <v>48</v>
      </c>
      <c r="J54" t="s">
        <v>20</v>
      </c>
      <c r="K54">
        <v>12</v>
      </c>
      <c r="L54">
        <v>24</v>
      </c>
      <c r="M54">
        <v>48</v>
      </c>
    </row>
    <row r="55" spans="1:13" x14ac:dyDescent="0.3">
      <c r="C55">
        <f t="shared" ref="C55:M55" si="14">C45-C35</f>
        <v>896.78750000000014</v>
      </c>
      <c r="D55">
        <f t="shared" si="14"/>
        <v>2145.0750000000007</v>
      </c>
      <c r="E55">
        <f t="shared" si="14"/>
        <v>2717.1875</v>
      </c>
      <c r="F55">
        <f t="shared" si="14"/>
        <v>-19.424999999999926</v>
      </c>
      <c r="G55">
        <f t="shared" si="14"/>
        <v>173.43750000000003</v>
      </c>
      <c r="H55">
        <f t="shared" si="14"/>
        <v>727.05</v>
      </c>
      <c r="I55">
        <f t="shared" si="14"/>
        <v>2487.3249999999998</v>
      </c>
      <c r="J55">
        <f t="shared" si="14"/>
        <v>12.950000000000045</v>
      </c>
      <c r="K55">
        <f t="shared" si="14"/>
        <v>274.2625000000001</v>
      </c>
      <c r="L55">
        <f t="shared" si="14"/>
        <v>1367.6124999999995</v>
      </c>
      <c r="M55">
        <f t="shared" si="14"/>
        <v>1541.0499999999997</v>
      </c>
    </row>
    <row r="56" spans="1:13" x14ac:dyDescent="0.3">
      <c r="B56">
        <f t="shared" ref="B56:M56" si="15">B46-B36</f>
        <v>197.02500000000015</v>
      </c>
      <c r="D56">
        <f t="shared" si="15"/>
        <v>1610.4250000000002</v>
      </c>
      <c r="E56">
        <f t="shared" si="15"/>
        <v>1374.0875000000001</v>
      </c>
      <c r="F56">
        <f t="shared" si="15"/>
        <v>135.97499999999994</v>
      </c>
      <c r="G56">
        <f t="shared" si="15"/>
        <v>433.36249999999961</v>
      </c>
      <c r="H56">
        <f t="shared" si="15"/>
        <v>1138.2125000000003</v>
      </c>
      <c r="I56">
        <f t="shared" si="15"/>
        <v>2672.7874999999999</v>
      </c>
      <c r="J56">
        <f t="shared" si="15"/>
        <v>505.05000000000007</v>
      </c>
      <c r="K56">
        <f t="shared" si="15"/>
        <v>17.574999999999932</v>
      </c>
      <c r="L56">
        <f t="shared" si="15"/>
        <v>3101.5250000000005</v>
      </c>
      <c r="M56">
        <f t="shared" si="15"/>
        <v>2100.2125000000005</v>
      </c>
    </row>
    <row r="57" spans="1:13" x14ac:dyDescent="0.3">
      <c r="B57">
        <f t="shared" ref="B57:M57" si="16">B47-B37</f>
        <v>223.38749999999987</v>
      </c>
      <c r="C57">
        <f t="shared" si="16"/>
        <v>972.63750000000016</v>
      </c>
      <c r="D57">
        <f t="shared" si="16"/>
        <v>2852.2375000000002</v>
      </c>
      <c r="E57">
        <f t="shared" si="16"/>
        <v>2452.1749999999997</v>
      </c>
      <c r="G57">
        <f t="shared" si="16"/>
        <v>304.78750000000008</v>
      </c>
      <c r="H57">
        <f t="shared" si="16"/>
        <v>905.57499999999982</v>
      </c>
      <c r="I57">
        <f t="shared" si="16"/>
        <v>4024.2124999999996</v>
      </c>
      <c r="K57">
        <f t="shared" si="16"/>
        <v>228.47499999999991</v>
      </c>
      <c r="L57">
        <f t="shared" si="16"/>
        <v>1924.9249999999997</v>
      </c>
      <c r="M57">
        <f t="shared" si="16"/>
        <v>3900.2625000000003</v>
      </c>
    </row>
    <row r="58" spans="1:13" x14ac:dyDescent="0.3">
      <c r="B58">
        <f t="shared" ref="B58:M58" si="17">B48-B38</f>
        <v>335.31249999999989</v>
      </c>
      <c r="C58">
        <f t="shared" si="17"/>
        <v>547.60000000000014</v>
      </c>
      <c r="D58">
        <f t="shared" si="17"/>
        <v>1660.3750000000009</v>
      </c>
      <c r="E58">
        <f t="shared" si="17"/>
        <v>2389.7375000000002</v>
      </c>
      <c r="H58">
        <f t="shared" si="17"/>
        <v>1089.6500000000001</v>
      </c>
      <c r="I58">
        <f t="shared" si="17"/>
        <v>3957.6125000000002</v>
      </c>
      <c r="J58">
        <f t="shared" si="17"/>
        <v>209.97500000000014</v>
      </c>
      <c r="K58">
        <f t="shared" si="17"/>
        <v>339.01250000000016</v>
      </c>
      <c r="L58">
        <f t="shared" si="17"/>
        <v>1251.0625</v>
      </c>
      <c r="M58">
        <f t="shared" si="17"/>
        <v>2739.3875000000003</v>
      </c>
    </row>
    <row r="59" spans="1:13" x14ac:dyDescent="0.3">
      <c r="A59" t="s">
        <v>23</v>
      </c>
      <c r="B59">
        <f>AVERAGE(B55:B58)</f>
        <v>251.9083333333333</v>
      </c>
      <c r="C59">
        <f t="shared" ref="C59:M59" si="18">AVERAGE(C55:C58)</f>
        <v>805.67500000000018</v>
      </c>
      <c r="D59">
        <f t="shared" si="18"/>
        <v>2067.0281250000007</v>
      </c>
      <c r="E59">
        <f t="shared" si="18"/>
        <v>2233.296875</v>
      </c>
      <c r="F59">
        <f t="shared" si="18"/>
        <v>58.275000000000006</v>
      </c>
      <c r="G59">
        <f t="shared" si="18"/>
        <v>303.8624999999999</v>
      </c>
      <c r="H59">
        <f t="shared" si="18"/>
        <v>965.12187500000005</v>
      </c>
      <c r="I59">
        <f t="shared" si="18"/>
        <v>3285.484375</v>
      </c>
      <c r="J59">
        <f t="shared" si="18"/>
        <v>242.65833333333342</v>
      </c>
      <c r="K59">
        <f t="shared" si="18"/>
        <v>214.83125000000004</v>
      </c>
      <c r="L59">
        <f t="shared" si="18"/>
        <v>1911.28125</v>
      </c>
      <c r="M59">
        <f t="shared" si="18"/>
        <v>2570.2281250000001</v>
      </c>
    </row>
    <row r="60" spans="1:13" x14ac:dyDescent="0.3">
      <c r="A60" t="s">
        <v>24</v>
      </c>
      <c r="B60">
        <f>STDEV(B55:B59)</f>
        <v>59.9496267132293</v>
      </c>
      <c r="C60">
        <f t="shared" ref="C60:M60" si="19">STDEV(C55:C59)</f>
        <v>185.09517343563212</v>
      </c>
      <c r="D60">
        <f t="shared" si="19"/>
        <v>499.12379604592627</v>
      </c>
      <c r="E60">
        <f t="shared" si="19"/>
        <v>511.0704916654571</v>
      </c>
      <c r="F60">
        <f t="shared" si="19"/>
        <v>77.699999999999932</v>
      </c>
      <c r="G60">
        <f t="shared" si="19"/>
        <v>106.11595269640955</v>
      </c>
      <c r="H60">
        <f t="shared" si="19"/>
        <v>162.5512737316968</v>
      </c>
      <c r="I60">
        <f t="shared" si="19"/>
        <v>708.86023086663215</v>
      </c>
      <c r="J60">
        <f t="shared" si="19"/>
        <v>202.22389029379181</v>
      </c>
      <c r="K60">
        <f t="shared" si="19"/>
        <v>120.46704570778891</v>
      </c>
      <c r="L60">
        <f t="shared" si="19"/>
        <v>732.85927092216241</v>
      </c>
      <c r="M60">
        <f t="shared" si="19"/>
        <v>877.1728212779243</v>
      </c>
    </row>
  </sheetData>
  <mergeCells count="9">
    <mergeCell ref="B53:E53"/>
    <mergeCell ref="F53:I53"/>
    <mergeCell ref="J53:M53"/>
    <mergeCell ref="B33:E33"/>
    <mergeCell ref="F33:I33"/>
    <mergeCell ref="J33:M33"/>
    <mergeCell ref="B43:E43"/>
    <mergeCell ref="F43:I43"/>
    <mergeCell ref="J43:M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0D5B-96F1-41AD-88A2-82373517E302}">
  <dimension ref="A1:AC40"/>
  <sheetViews>
    <sheetView topLeftCell="A28" workbookViewId="0">
      <selection activeCell="A33" sqref="A33:M40"/>
    </sheetView>
  </sheetViews>
  <sheetFormatPr defaultColWidth="9.19921875" defaultRowHeight="14" x14ac:dyDescent="0.3"/>
  <cols>
    <col min="2" max="2" width="9.5" bestFit="1" customWidth="1"/>
  </cols>
  <sheetData>
    <row r="1" spans="1:18" ht="27.95" x14ac:dyDescent="0.3">
      <c r="A1" s="1" t="s">
        <v>13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8" x14ac:dyDescent="0.3">
      <c r="A2" s="2" t="s">
        <v>0</v>
      </c>
      <c r="B2" s="3">
        <v>17002</v>
      </c>
      <c r="C2" s="3">
        <v>14209</v>
      </c>
      <c r="D2" s="3">
        <v>12677</v>
      </c>
      <c r="E2" s="3">
        <v>12153</v>
      </c>
      <c r="F2" s="3">
        <v>10769</v>
      </c>
      <c r="G2" s="3">
        <v>9371</v>
      </c>
      <c r="H2" s="3">
        <v>7586</v>
      </c>
      <c r="I2" s="3">
        <v>5242</v>
      </c>
      <c r="J2" s="3">
        <v>3112</v>
      </c>
      <c r="K2" s="3">
        <v>1868</v>
      </c>
      <c r="L2" s="3">
        <v>1593</v>
      </c>
      <c r="M2" s="3">
        <v>1185</v>
      </c>
      <c r="N2" s="4" t="s">
        <v>9</v>
      </c>
      <c r="P2" s="5">
        <v>64</v>
      </c>
      <c r="Q2" s="3">
        <v>11842</v>
      </c>
      <c r="R2">
        <f>Q2*$O$3</f>
        <v>22618.69346956908</v>
      </c>
    </row>
    <row r="3" spans="1:18" x14ac:dyDescent="0.3">
      <c r="A3" s="2" t="s">
        <v>2</v>
      </c>
      <c r="B3" s="3">
        <v>18033</v>
      </c>
      <c r="C3" s="3">
        <v>13524</v>
      </c>
      <c r="D3" s="3">
        <v>12169</v>
      </c>
      <c r="E3" s="3">
        <v>11484</v>
      </c>
      <c r="F3" s="3">
        <v>10323</v>
      </c>
      <c r="G3" s="3">
        <v>8469</v>
      </c>
      <c r="H3" s="3">
        <v>7260</v>
      </c>
      <c r="I3" s="3">
        <v>6001</v>
      </c>
      <c r="J3" s="3">
        <v>3506</v>
      </c>
      <c r="K3" s="3">
        <v>1588</v>
      </c>
      <c r="L3" s="3">
        <v>1591</v>
      </c>
      <c r="M3" s="3">
        <v>1066</v>
      </c>
      <c r="N3" s="4" t="s">
        <v>9</v>
      </c>
      <c r="O3">
        <f>O4/AVERAGE(M2:M3)</f>
        <v>1.9100399822301199</v>
      </c>
      <c r="P3" s="5">
        <v>56</v>
      </c>
      <c r="Q3" s="3"/>
    </row>
    <row r="4" spans="1:18" x14ac:dyDescent="0.3">
      <c r="A4" s="2" t="s">
        <v>3</v>
      </c>
      <c r="B4" s="3">
        <v>4349</v>
      </c>
      <c r="C4" s="3">
        <v>3049</v>
      </c>
      <c r="D4" s="3">
        <v>2870</v>
      </c>
      <c r="E4" s="3">
        <v>3278</v>
      </c>
      <c r="F4" s="3">
        <v>1989</v>
      </c>
      <c r="G4" s="3">
        <v>2320</v>
      </c>
      <c r="H4" s="3"/>
      <c r="I4" s="3"/>
      <c r="J4" s="3">
        <v>3004</v>
      </c>
      <c r="K4" s="3">
        <v>3120</v>
      </c>
      <c r="L4" s="3">
        <v>2634</v>
      </c>
      <c r="M4" s="3">
        <v>2811</v>
      </c>
      <c r="N4" s="4" t="s">
        <v>9</v>
      </c>
      <c r="O4">
        <f>AVERAGE(F5:I5)</f>
        <v>2149.75</v>
      </c>
      <c r="P4">
        <v>48</v>
      </c>
      <c r="Q4" s="3">
        <v>9365</v>
      </c>
      <c r="R4">
        <f t="shared" ref="R4:R23" si="0">Q4*$O$3</f>
        <v>17887.524433585073</v>
      </c>
    </row>
    <row r="5" spans="1:18" x14ac:dyDescent="0.3">
      <c r="A5" s="2" t="s">
        <v>4</v>
      </c>
      <c r="B5" s="3">
        <v>4015</v>
      </c>
      <c r="C5" s="3"/>
      <c r="D5" s="3">
        <v>5525</v>
      </c>
      <c r="E5" s="3">
        <v>3467</v>
      </c>
      <c r="F5" s="3">
        <v>1962</v>
      </c>
      <c r="G5" s="3">
        <v>2622</v>
      </c>
      <c r="H5" s="3">
        <v>2317</v>
      </c>
      <c r="I5" s="3">
        <v>1698</v>
      </c>
      <c r="J5" s="3">
        <v>3218</v>
      </c>
      <c r="K5" s="3">
        <v>2803</v>
      </c>
      <c r="L5" s="3">
        <v>3327</v>
      </c>
      <c r="M5" s="3">
        <v>3455</v>
      </c>
      <c r="N5" s="4" t="s">
        <v>9</v>
      </c>
      <c r="P5" s="5">
        <v>40</v>
      </c>
      <c r="Q5" s="3">
        <v>8857</v>
      </c>
      <c r="R5">
        <f t="shared" si="0"/>
        <v>16917.224122612173</v>
      </c>
    </row>
    <row r="6" spans="1:18" x14ac:dyDescent="0.3">
      <c r="A6" s="2" t="s">
        <v>5</v>
      </c>
      <c r="B6" s="3">
        <v>13702</v>
      </c>
      <c r="C6" s="3">
        <v>10082</v>
      </c>
      <c r="D6" s="3">
        <v>18180</v>
      </c>
      <c r="E6" s="3">
        <v>11064</v>
      </c>
      <c r="F6" s="3">
        <v>4775</v>
      </c>
      <c r="G6" s="3">
        <v>5881</v>
      </c>
      <c r="H6" s="3">
        <v>6023</v>
      </c>
      <c r="I6" s="3">
        <v>5941</v>
      </c>
      <c r="J6" s="3">
        <v>8936</v>
      </c>
      <c r="K6" s="3">
        <v>13745</v>
      </c>
      <c r="L6" s="3">
        <v>10304</v>
      </c>
      <c r="M6" s="3">
        <v>7761</v>
      </c>
      <c r="N6" s="4" t="s">
        <v>9</v>
      </c>
      <c r="P6" s="5">
        <v>32</v>
      </c>
      <c r="Q6" s="3">
        <v>7607</v>
      </c>
      <c r="R6">
        <f t="shared" si="0"/>
        <v>14529.674144824523</v>
      </c>
    </row>
    <row r="7" spans="1:18" x14ac:dyDescent="0.3">
      <c r="A7" s="2" t="s">
        <v>6</v>
      </c>
      <c r="B7" s="3">
        <v>11495</v>
      </c>
      <c r="C7" s="3">
        <v>9268</v>
      </c>
      <c r="D7" s="3">
        <v>9679</v>
      </c>
      <c r="E7" s="3">
        <v>10295</v>
      </c>
      <c r="F7" s="3">
        <v>9811</v>
      </c>
      <c r="G7" s="3">
        <v>10701</v>
      </c>
      <c r="H7" s="3">
        <v>16331</v>
      </c>
      <c r="I7" s="3">
        <v>14785</v>
      </c>
      <c r="J7" s="3">
        <v>10060</v>
      </c>
      <c r="K7" s="3">
        <v>10659</v>
      </c>
      <c r="L7" s="3">
        <v>15867</v>
      </c>
      <c r="M7" s="3">
        <v>13075</v>
      </c>
      <c r="N7" s="4" t="s">
        <v>9</v>
      </c>
      <c r="P7" s="5">
        <v>24</v>
      </c>
      <c r="Q7" s="3">
        <v>6170</v>
      </c>
      <c r="R7">
        <f t="shared" si="0"/>
        <v>11784.94669035984</v>
      </c>
    </row>
    <row r="8" spans="1:18" x14ac:dyDescent="0.3">
      <c r="A8" s="2" t="s">
        <v>7</v>
      </c>
      <c r="B8" s="3">
        <v>4049</v>
      </c>
      <c r="C8" s="3">
        <v>6046</v>
      </c>
      <c r="D8" s="3">
        <v>6117</v>
      </c>
      <c r="E8" s="3">
        <v>5912</v>
      </c>
      <c r="F8" s="3">
        <v>6470</v>
      </c>
      <c r="G8" s="3">
        <v>5990</v>
      </c>
      <c r="H8" s="3">
        <v>6020</v>
      </c>
      <c r="I8" s="3">
        <v>5747</v>
      </c>
      <c r="J8" s="3">
        <v>106</v>
      </c>
      <c r="K8" s="3">
        <v>14</v>
      </c>
      <c r="L8" s="3">
        <v>3</v>
      </c>
      <c r="M8" s="3">
        <v>76</v>
      </c>
      <c r="N8" s="4" t="s">
        <v>9</v>
      </c>
      <c r="P8" s="5">
        <v>16</v>
      </c>
      <c r="Q8" s="3">
        <v>4195</v>
      </c>
      <c r="R8">
        <f t="shared" si="0"/>
        <v>8012.6177254553531</v>
      </c>
    </row>
    <row r="9" spans="1:18" x14ac:dyDescent="0.3">
      <c r="A9" s="2" t="s">
        <v>8</v>
      </c>
      <c r="B9" s="3">
        <v>4</v>
      </c>
      <c r="C9" s="3">
        <v>19</v>
      </c>
      <c r="D9" s="3">
        <v>18</v>
      </c>
      <c r="E9" s="3">
        <v>32</v>
      </c>
      <c r="F9" s="3">
        <v>33</v>
      </c>
      <c r="G9" s="3">
        <v>50</v>
      </c>
      <c r="H9" s="3">
        <v>12</v>
      </c>
      <c r="I9" s="3">
        <v>26</v>
      </c>
      <c r="J9" s="3">
        <v>11</v>
      </c>
      <c r="K9" s="3">
        <v>34</v>
      </c>
      <c r="L9" s="3">
        <v>38</v>
      </c>
      <c r="M9" s="3">
        <v>12</v>
      </c>
      <c r="N9" s="4" t="s">
        <v>9</v>
      </c>
      <c r="P9" s="5">
        <v>8</v>
      </c>
      <c r="Q9" s="3">
        <v>2170</v>
      </c>
      <c r="R9">
        <f t="shared" si="0"/>
        <v>4144.7867614393599</v>
      </c>
    </row>
    <row r="10" spans="1:18" x14ac:dyDescent="0.3">
      <c r="P10" s="5">
        <v>3.2</v>
      </c>
      <c r="Q10" s="3">
        <v>1247</v>
      </c>
      <c r="R10">
        <f t="shared" si="0"/>
        <v>2381.8198578409597</v>
      </c>
    </row>
    <row r="11" spans="1:18" x14ac:dyDescent="0.3">
      <c r="A11" s="1" t="s">
        <v>10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P11" s="5">
        <v>1.6</v>
      </c>
      <c r="Q11" s="3">
        <v>1199</v>
      </c>
      <c r="R11">
        <f t="shared" si="0"/>
        <v>2290.1379386939138</v>
      </c>
    </row>
    <row r="12" spans="1:18" x14ac:dyDescent="0.3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P12" s="5">
        <v>0</v>
      </c>
      <c r="Q12" s="3">
        <v>1102</v>
      </c>
      <c r="R12">
        <f t="shared" si="0"/>
        <v>2104.8640604175921</v>
      </c>
    </row>
    <row r="13" spans="1:18" x14ac:dyDescent="0.3">
      <c r="A13" s="2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P13" s="5">
        <v>64</v>
      </c>
      <c r="Q13" s="3">
        <v>12601</v>
      </c>
      <c r="R13">
        <f t="shared" si="0"/>
        <v>24068.413816081742</v>
      </c>
    </row>
    <row r="14" spans="1:18" x14ac:dyDescent="0.3">
      <c r="A14" s="2" t="s">
        <v>3</v>
      </c>
      <c r="B14" s="3">
        <f>(B4*0.0037)-(6.3166*B4/B4)</f>
        <v>9.7746999999999993</v>
      </c>
      <c r="C14" s="3">
        <f>(C4*0.0037)-(6.3166*C4/C4)</f>
        <v>4.9647000000000006</v>
      </c>
      <c r="D14" s="3">
        <f t="shared" ref="D14:L14" si="1">(D4*0.0037)-(6.3166*D4/D4)</f>
        <v>4.3023999999999996</v>
      </c>
      <c r="E14" s="3">
        <f t="shared" si="1"/>
        <v>5.8120000000000003</v>
      </c>
      <c r="F14" s="3">
        <f t="shared" si="1"/>
        <v>1.0427000000000008</v>
      </c>
      <c r="G14" s="3">
        <f t="shared" si="1"/>
        <v>2.2673999999999994</v>
      </c>
      <c r="H14" s="3" t="e">
        <f t="shared" si="1"/>
        <v>#DIV/0!</v>
      </c>
      <c r="I14" s="3" t="e">
        <f t="shared" si="1"/>
        <v>#DIV/0!</v>
      </c>
      <c r="J14" s="3">
        <f t="shared" si="1"/>
        <v>4.7982000000000005</v>
      </c>
      <c r="K14" s="3">
        <f t="shared" si="1"/>
        <v>5.2274000000000003</v>
      </c>
      <c r="L14" s="3">
        <f t="shared" si="1"/>
        <v>3.4292000000000007</v>
      </c>
      <c r="M14" s="3">
        <f t="shared" ref="D14:M15" si="2">(M4*0.0037)-(6.3166*M4/M4)</f>
        <v>4.0841000000000012</v>
      </c>
      <c r="N14" s="6" t="e">
        <f>AVERAGE(B14:M14)</f>
        <v>#DIV/0!</v>
      </c>
      <c r="O14" s="6" t="e">
        <f>N14/0.008</f>
        <v>#DIV/0!</v>
      </c>
      <c r="P14" s="5">
        <v>56</v>
      </c>
      <c r="Q14" s="3">
        <v>10619</v>
      </c>
      <c r="R14">
        <f t="shared" si="0"/>
        <v>20282.714571301643</v>
      </c>
    </row>
    <row r="15" spans="1:18" x14ac:dyDescent="0.3">
      <c r="A15" s="2" t="s">
        <v>4</v>
      </c>
      <c r="B15" s="3">
        <f>(B5*0.0037)-(6.3166*B5/B5)</f>
        <v>8.5389000000000017</v>
      </c>
      <c r="C15" s="3" t="e">
        <f>(C5*0.0037)-(6.3166*C5/C5)</f>
        <v>#DIV/0!</v>
      </c>
      <c r="D15" s="3">
        <f t="shared" si="2"/>
        <v>14.125900000000001</v>
      </c>
      <c r="E15" s="3">
        <f t="shared" si="2"/>
        <v>6.5113000000000012</v>
      </c>
      <c r="F15" s="3">
        <f t="shared" si="2"/>
        <v>0.94280000000000008</v>
      </c>
      <c r="G15" s="3">
        <f t="shared" si="2"/>
        <v>3.3847999999999985</v>
      </c>
      <c r="H15" s="3">
        <f t="shared" si="2"/>
        <v>2.2563000000000004</v>
      </c>
      <c r="I15" s="3">
        <f t="shared" si="2"/>
        <v>-3.3999999999999808E-2</v>
      </c>
      <c r="J15" s="3">
        <f t="shared" si="2"/>
        <v>5.5900000000000007</v>
      </c>
      <c r="K15" s="3">
        <f t="shared" si="2"/>
        <v>4.0545</v>
      </c>
      <c r="L15" s="3">
        <f t="shared" si="2"/>
        <v>5.9933000000000005</v>
      </c>
      <c r="M15" s="3">
        <f t="shared" si="2"/>
        <v>6.4669000000000008</v>
      </c>
      <c r="P15">
        <v>48</v>
      </c>
      <c r="Q15" s="3">
        <v>9210</v>
      </c>
      <c r="R15">
        <f t="shared" si="0"/>
        <v>17591.468236339406</v>
      </c>
    </row>
    <row r="16" spans="1:18" x14ac:dyDescent="0.3">
      <c r="A16" s="2" t="s">
        <v>5</v>
      </c>
      <c r="B16" s="3">
        <f t="shared" ref="B16:M17" si="3">(B6*0.0037)-(6.3166*B6/B6)</f>
        <v>44.380800000000001</v>
      </c>
      <c r="C16" s="3">
        <f t="shared" si="3"/>
        <v>30.986800000000002</v>
      </c>
      <c r="D16" s="3">
        <f t="shared" si="3"/>
        <v>60.949400000000004</v>
      </c>
      <c r="E16" s="3">
        <f t="shared" si="3"/>
        <v>34.620200000000004</v>
      </c>
      <c r="F16" s="3">
        <f t="shared" si="3"/>
        <v>11.350899999999999</v>
      </c>
      <c r="G16" s="3">
        <f t="shared" si="3"/>
        <v>15.443100000000003</v>
      </c>
      <c r="H16" s="3">
        <f t="shared" si="3"/>
        <v>15.968499999999999</v>
      </c>
      <c r="I16" s="3">
        <f t="shared" si="3"/>
        <v>15.665100000000001</v>
      </c>
      <c r="J16" s="3">
        <f t="shared" si="3"/>
        <v>26.746600000000001</v>
      </c>
      <c r="K16" s="3">
        <f t="shared" si="3"/>
        <v>44.539900000000003</v>
      </c>
      <c r="L16" s="3">
        <f t="shared" si="3"/>
        <v>31.808199999999999</v>
      </c>
      <c r="M16" s="3">
        <f t="shared" si="3"/>
        <v>22.399100000000001</v>
      </c>
      <c r="P16" s="5">
        <v>40</v>
      </c>
      <c r="Q16" s="3">
        <v>7912</v>
      </c>
      <c r="R16">
        <f t="shared" si="0"/>
        <v>15112.23633940471</v>
      </c>
    </row>
    <row r="17" spans="1:29" x14ac:dyDescent="0.3">
      <c r="A17" s="2" t="s">
        <v>6</v>
      </c>
      <c r="B17" s="3">
        <f t="shared" si="3"/>
        <v>36.2149</v>
      </c>
      <c r="C17" s="3">
        <f t="shared" si="3"/>
        <v>27.975000000000001</v>
      </c>
      <c r="D17" s="3">
        <f t="shared" si="3"/>
        <v>29.495699999999999</v>
      </c>
      <c r="E17" s="3">
        <f t="shared" si="3"/>
        <v>31.774900000000002</v>
      </c>
      <c r="F17" s="3">
        <f t="shared" si="3"/>
        <v>29.984099999999998</v>
      </c>
      <c r="G17" s="3">
        <f t="shared" si="3"/>
        <v>33.277099999999997</v>
      </c>
      <c r="H17" s="3">
        <f t="shared" si="3"/>
        <v>54.1081</v>
      </c>
      <c r="I17" s="3">
        <f t="shared" si="3"/>
        <v>48.387900000000002</v>
      </c>
      <c r="J17" s="3">
        <f t="shared" si="3"/>
        <v>30.9054</v>
      </c>
      <c r="K17" s="3">
        <f t="shared" si="3"/>
        <v>33.121700000000004</v>
      </c>
      <c r="L17" s="3">
        <f t="shared" si="3"/>
        <v>52.391300000000001</v>
      </c>
      <c r="M17" s="3">
        <f t="shared" si="3"/>
        <v>42.060900000000004</v>
      </c>
      <c r="P17" s="5">
        <v>32</v>
      </c>
      <c r="Q17" s="3">
        <v>7383</v>
      </c>
      <c r="R17">
        <f t="shared" si="0"/>
        <v>14101.825188804976</v>
      </c>
    </row>
    <row r="18" spans="1:29" x14ac:dyDescent="0.3">
      <c r="A18" s="2" t="s">
        <v>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P18" s="5">
        <v>24</v>
      </c>
      <c r="Q18" s="3">
        <v>6440</v>
      </c>
      <c r="R18">
        <f t="shared" si="0"/>
        <v>12300.657485561973</v>
      </c>
    </row>
    <row r="19" spans="1:29" x14ac:dyDescent="0.3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P19" s="5">
        <v>16</v>
      </c>
      <c r="Q19" s="3">
        <v>4373</v>
      </c>
      <c r="R19">
        <f t="shared" si="0"/>
        <v>8352.6048422923141</v>
      </c>
    </row>
    <row r="20" spans="1:29" x14ac:dyDescent="0.3">
      <c r="B20" t="s">
        <v>18</v>
      </c>
      <c r="P20" s="5">
        <v>8</v>
      </c>
      <c r="Q20" s="3">
        <v>2362</v>
      </c>
      <c r="R20">
        <f t="shared" si="0"/>
        <v>4511.5144380275433</v>
      </c>
    </row>
    <row r="21" spans="1:29" x14ac:dyDescent="0.3">
      <c r="A21" s="1" t="s">
        <v>10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P21" s="5">
        <v>3.2</v>
      </c>
      <c r="Q21" s="3">
        <v>1654</v>
      </c>
      <c r="R21">
        <f t="shared" si="0"/>
        <v>3159.2061306086184</v>
      </c>
    </row>
    <row r="22" spans="1:29" x14ac:dyDescent="0.3">
      <c r="A22" s="2" t="s">
        <v>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P22" s="5">
        <v>1.6</v>
      </c>
      <c r="Q22" s="3">
        <v>1204</v>
      </c>
      <c r="R22">
        <f t="shared" si="0"/>
        <v>2299.6881386050645</v>
      </c>
    </row>
    <row r="23" spans="1:29" x14ac:dyDescent="0.3">
      <c r="A23" s="2" t="s">
        <v>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P23" s="5">
        <v>0</v>
      </c>
      <c r="Q23" s="3">
        <v>1053</v>
      </c>
      <c r="R23">
        <f t="shared" si="0"/>
        <v>2011.2721012883162</v>
      </c>
    </row>
    <row r="24" spans="1:29" x14ac:dyDescent="0.3">
      <c r="A24" s="2" t="s">
        <v>3</v>
      </c>
      <c r="B24" s="3">
        <f t="shared" ref="B24:M25" si="4">B14/0.008</f>
        <v>1221.8374999999999</v>
      </c>
      <c r="C24" s="3">
        <f t="shared" si="4"/>
        <v>620.58750000000009</v>
      </c>
      <c r="D24" s="3">
        <f t="shared" si="4"/>
        <v>537.79999999999995</v>
      </c>
      <c r="E24" s="3">
        <f t="shared" si="4"/>
        <v>726.5</v>
      </c>
      <c r="F24" s="3">
        <f t="shared" si="4"/>
        <v>130.33750000000009</v>
      </c>
      <c r="G24" s="3">
        <f t="shared" si="4"/>
        <v>283.4249999999999</v>
      </c>
      <c r="H24" s="3"/>
      <c r="I24" s="3"/>
      <c r="J24" s="3">
        <f t="shared" si="4"/>
        <v>599.77500000000009</v>
      </c>
      <c r="K24" s="3">
        <f t="shared" si="4"/>
        <v>653.42500000000007</v>
      </c>
      <c r="L24" s="3">
        <f t="shared" si="4"/>
        <v>428.65000000000009</v>
      </c>
      <c r="M24" s="3">
        <f t="shared" si="4"/>
        <v>510.51250000000016</v>
      </c>
    </row>
    <row r="25" spans="1:29" x14ac:dyDescent="0.3">
      <c r="A25" s="2" t="s">
        <v>4</v>
      </c>
      <c r="B25" s="3">
        <f t="shared" ref="B25:M27" si="5">B15/0.008</f>
        <v>1067.3625000000002</v>
      </c>
      <c r="C25" s="3"/>
      <c r="D25" s="3">
        <f t="shared" si="5"/>
        <v>1765.7375000000002</v>
      </c>
      <c r="E25" s="3">
        <f t="shared" si="4"/>
        <v>813.91250000000014</v>
      </c>
      <c r="F25" s="3">
        <f t="shared" si="5"/>
        <v>117.85000000000001</v>
      </c>
      <c r="G25" s="3">
        <f t="shared" si="5"/>
        <v>423.0999999999998</v>
      </c>
      <c r="H25" s="3">
        <f t="shared" si="5"/>
        <v>282.03750000000002</v>
      </c>
      <c r="I25" s="3"/>
      <c r="J25" s="3">
        <f t="shared" si="5"/>
        <v>698.75000000000011</v>
      </c>
      <c r="K25" s="3">
        <f t="shared" si="5"/>
        <v>506.8125</v>
      </c>
      <c r="L25" s="3">
        <f t="shared" si="5"/>
        <v>749.16250000000002</v>
      </c>
      <c r="M25" s="3">
        <f t="shared" si="5"/>
        <v>808.36250000000007</v>
      </c>
      <c r="R25">
        <v>1221.8374999999999</v>
      </c>
      <c r="S25">
        <v>620.58750000000009</v>
      </c>
      <c r="T25">
        <v>537.79999999999995</v>
      </c>
      <c r="U25">
        <v>726.5</v>
      </c>
      <c r="V25">
        <v>130.33750000000009</v>
      </c>
      <c r="W25">
        <v>283.4249999999999</v>
      </c>
      <c r="Z25">
        <v>599.77500000000009</v>
      </c>
      <c r="AA25">
        <v>653.42500000000007</v>
      </c>
      <c r="AB25">
        <v>428.65000000000009</v>
      </c>
      <c r="AC25">
        <v>510.51250000000016</v>
      </c>
    </row>
    <row r="26" spans="1:29" x14ac:dyDescent="0.3">
      <c r="A26" s="2" t="s">
        <v>5</v>
      </c>
      <c r="B26" s="3">
        <f t="shared" si="5"/>
        <v>5547.6</v>
      </c>
      <c r="C26" s="3">
        <f t="shared" si="5"/>
        <v>3873.3500000000004</v>
      </c>
      <c r="D26" s="3">
        <f t="shared" si="5"/>
        <v>7618.6750000000002</v>
      </c>
      <c r="E26" s="3">
        <f t="shared" si="5"/>
        <v>4327.5250000000005</v>
      </c>
      <c r="F26" s="3">
        <f t="shared" si="5"/>
        <v>1418.8625</v>
      </c>
      <c r="G26" s="3">
        <f t="shared" si="5"/>
        <v>1930.3875000000003</v>
      </c>
      <c r="H26" s="3">
        <f t="shared" si="5"/>
        <v>1996.0624999999998</v>
      </c>
      <c r="I26" s="3">
        <f t="shared" si="5"/>
        <v>1958.1375</v>
      </c>
      <c r="J26" s="3">
        <f t="shared" si="5"/>
        <v>3343.3249999999998</v>
      </c>
      <c r="K26" s="3">
        <f t="shared" si="5"/>
        <v>5567.4875000000002</v>
      </c>
      <c r="L26" s="3">
        <f t="shared" si="5"/>
        <v>3976.0249999999996</v>
      </c>
      <c r="M26" s="3">
        <f t="shared" si="5"/>
        <v>2799.8874999999998</v>
      </c>
      <c r="R26">
        <v>1067.3625000000002</v>
      </c>
      <c r="T26">
        <v>1765.7375000000002</v>
      </c>
      <c r="U26">
        <v>813.91250000000014</v>
      </c>
      <c r="V26">
        <v>117.85000000000001</v>
      </c>
      <c r="W26">
        <v>423.0999999999998</v>
      </c>
      <c r="X26">
        <v>282.03750000000002</v>
      </c>
      <c r="Z26">
        <v>698.75000000000011</v>
      </c>
      <c r="AA26">
        <v>506.8125</v>
      </c>
      <c r="AB26">
        <v>749.16250000000002</v>
      </c>
      <c r="AC26">
        <v>808.36250000000007</v>
      </c>
    </row>
    <row r="27" spans="1:29" x14ac:dyDescent="0.3">
      <c r="A27" s="2" t="s">
        <v>6</v>
      </c>
      <c r="B27" s="3">
        <f t="shared" si="5"/>
        <v>4526.8625000000002</v>
      </c>
      <c r="C27" s="3">
        <f t="shared" si="5"/>
        <v>3496.875</v>
      </c>
      <c r="D27" s="3">
        <f t="shared" si="5"/>
        <v>3686.9624999999996</v>
      </c>
      <c r="E27" s="3">
        <f t="shared" si="5"/>
        <v>3971.8625000000002</v>
      </c>
      <c r="F27" s="3">
        <f t="shared" si="5"/>
        <v>3748.0124999999998</v>
      </c>
      <c r="G27" s="3">
        <f t="shared" si="5"/>
        <v>4159.6374999999998</v>
      </c>
      <c r="H27" s="3">
        <f t="shared" si="5"/>
        <v>6763.5124999999998</v>
      </c>
      <c r="I27" s="3">
        <f t="shared" si="5"/>
        <v>6048.4875000000002</v>
      </c>
      <c r="J27" s="3">
        <f t="shared" si="5"/>
        <v>3863.1749999999997</v>
      </c>
      <c r="K27" s="3">
        <f t="shared" si="5"/>
        <v>4140.2125000000005</v>
      </c>
      <c r="L27" s="3">
        <f t="shared" si="5"/>
        <v>6548.9125000000004</v>
      </c>
      <c r="M27" s="3">
        <f t="shared" si="5"/>
        <v>5257.6125000000002</v>
      </c>
      <c r="R27">
        <v>5547.6</v>
      </c>
      <c r="S27">
        <v>3873.3500000000004</v>
      </c>
      <c r="T27">
        <v>7618.6750000000002</v>
      </c>
      <c r="U27">
        <v>4327.5250000000005</v>
      </c>
      <c r="V27">
        <v>1418.8625</v>
      </c>
      <c r="W27">
        <v>1930.3875000000003</v>
      </c>
      <c r="X27">
        <v>1996.0624999999998</v>
      </c>
      <c r="Y27">
        <v>1958.1375</v>
      </c>
      <c r="Z27">
        <v>3343.3249999999998</v>
      </c>
      <c r="AA27">
        <v>5567.4875000000002</v>
      </c>
      <c r="AB27">
        <v>3976.0249999999996</v>
      </c>
      <c r="AC27">
        <v>2799.8874999999998</v>
      </c>
    </row>
    <row r="28" spans="1:29" x14ac:dyDescent="0.3">
      <c r="A28" s="2" t="s">
        <v>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R28">
        <v>4526.8625000000002</v>
      </c>
      <c r="S28">
        <v>3496.875</v>
      </c>
      <c r="T28">
        <v>3686.9624999999996</v>
      </c>
      <c r="U28">
        <v>3971.8625000000002</v>
      </c>
      <c r="V28">
        <v>3748.0124999999998</v>
      </c>
      <c r="W28">
        <v>4159.6374999999998</v>
      </c>
      <c r="X28">
        <v>6763.5124999999998</v>
      </c>
      <c r="Y28">
        <v>6048.4875000000002</v>
      </c>
      <c r="Z28">
        <v>3863.1749999999997</v>
      </c>
      <c r="AA28">
        <v>4140.2125000000005</v>
      </c>
      <c r="AB28">
        <v>6548.9125000000004</v>
      </c>
      <c r="AC28">
        <v>5257.6125000000002</v>
      </c>
    </row>
    <row r="29" spans="1:29" x14ac:dyDescent="0.3">
      <c r="A29" s="2" t="s">
        <v>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3" spans="1:16" x14ac:dyDescent="0.3">
      <c r="B33" s="7" t="s">
        <v>19</v>
      </c>
      <c r="C33" s="7"/>
      <c r="D33" s="7"/>
      <c r="E33" s="7"/>
      <c r="F33" s="7" t="s">
        <v>21</v>
      </c>
      <c r="G33" s="7"/>
      <c r="H33" s="7"/>
      <c r="I33" s="7"/>
      <c r="J33" s="7" t="s">
        <v>22</v>
      </c>
      <c r="K33" s="7"/>
      <c r="L33" s="7"/>
      <c r="M33" s="7"/>
    </row>
    <row r="34" spans="1:16" x14ac:dyDescent="0.3">
      <c r="B34" t="s">
        <v>20</v>
      </c>
      <c r="C34">
        <v>12</v>
      </c>
      <c r="D34">
        <v>24</v>
      </c>
      <c r="E34">
        <v>48</v>
      </c>
      <c r="F34" t="s">
        <v>20</v>
      </c>
      <c r="G34">
        <v>12</v>
      </c>
      <c r="H34">
        <v>24</v>
      </c>
      <c r="I34">
        <v>48</v>
      </c>
      <c r="J34" t="s">
        <v>20</v>
      </c>
      <c r="K34">
        <v>12</v>
      </c>
      <c r="L34">
        <v>24</v>
      </c>
      <c r="M34">
        <v>48</v>
      </c>
    </row>
    <row r="35" spans="1:16" x14ac:dyDescent="0.3">
      <c r="B35">
        <v>1221.8374999999999</v>
      </c>
      <c r="C35">
        <v>1067.3625000000002</v>
      </c>
      <c r="D35">
        <v>5547.6</v>
      </c>
      <c r="E35">
        <v>4526.8625000000002</v>
      </c>
      <c r="F35">
        <v>130.33750000000009</v>
      </c>
      <c r="G35">
        <v>117.85000000000001</v>
      </c>
      <c r="H35">
        <v>1418.8625</v>
      </c>
      <c r="I35">
        <v>3748.0124999999998</v>
      </c>
      <c r="J35">
        <v>599.77500000000009</v>
      </c>
      <c r="K35">
        <v>698.75000000000011</v>
      </c>
      <c r="L35">
        <v>3343.3249999999998</v>
      </c>
      <c r="M35">
        <v>3863.1749999999997</v>
      </c>
      <c r="P35" s="3"/>
    </row>
    <row r="36" spans="1:16" x14ac:dyDescent="0.3">
      <c r="B36">
        <v>620.58750000000009</v>
      </c>
      <c r="D36">
        <v>3873.3500000000004</v>
      </c>
      <c r="E36">
        <v>3496.875</v>
      </c>
      <c r="F36">
        <v>283.4249999999999</v>
      </c>
      <c r="G36">
        <v>423.0999999999998</v>
      </c>
      <c r="H36">
        <v>1930.3875000000003</v>
      </c>
      <c r="I36">
        <v>4159.6374999999998</v>
      </c>
      <c r="J36">
        <v>653.42500000000007</v>
      </c>
      <c r="K36">
        <v>506.8125</v>
      </c>
      <c r="L36">
        <v>5567.4875000000002</v>
      </c>
      <c r="M36">
        <v>4140.2125000000005</v>
      </c>
      <c r="P36" s="3"/>
    </row>
    <row r="37" spans="1:16" x14ac:dyDescent="0.3">
      <c r="B37">
        <v>537.79999999999995</v>
      </c>
      <c r="C37">
        <v>1765.7375000000002</v>
      </c>
      <c r="D37">
        <v>7618.6750000000002</v>
      </c>
      <c r="E37">
        <v>3686.9624999999996</v>
      </c>
      <c r="G37">
        <v>282.03750000000002</v>
      </c>
      <c r="H37">
        <v>1996.0624999999998</v>
      </c>
      <c r="I37">
        <v>6763.5124999999998</v>
      </c>
      <c r="J37">
        <v>428.65000000000009</v>
      </c>
      <c r="K37">
        <v>749.16250000000002</v>
      </c>
      <c r="L37">
        <v>3976.0249999999996</v>
      </c>
      <c r="M37">
        <v>6548.9125000000004</v>
      </c>
      <c r="P37" s="3"/>
    </row>
    <row r="38" spans="1:16" x14ac:dyDescent="0.3">
      <c r="B38">
        <v>726.5</v>
      </c>
      <c r="C38">
        <v>813.91250000000014</v>
      </c>
      <c r="D38">
        <v>4327.5250000000005</v>
      </c>
      <c r="E38">
        <v>3971.8625000000002</v>
      </c>
      <c r="H38">
        <v>1958.1375</v>
      </c>
      <c r="I38">
        <v>6048.4875000000002</v>
      </c>
      <c r="J38">
        <v>510.51250000000016</v>
      </c>
      <c r="K38">
        <v>808.36250000000007</v>
      </c>
      <c r="L38">
        <v>2799.8874999999998</v>
      </c>
      <c r="M38">
        <v>5257.6125000000002</v>
      </c>
      <c r="P38" s="3"/>
    </row>
    <row r="39" spans="1:16" x14ac:dyDescent="0.3">
      <c r="A39" t="s">
        <v>23</v>
      </c>
      <c r="B39">
        <f>AVERAGE(B35:B38)</f>
        <v>776.68124999999998</v>
      </c>
      <c r="C39">
        <f t="shared" ref="C39:M39" si="6">AVERAGE(C35:C38)</f>
        <v>1215.6708333333336</v>
      </c>
      <c r="D39">
        <f t="shared" si="6"/>
        <v>5341.7875000000004</v>
      </c>
      <c r="E39">
        <f t="shared" si="6"/>
        <v>3920.640625</v>
      </c>
      <c r="F39">
        <f t="shared" si="6"/>
        <v>206.88124999999999</v>
      </c>
      <c r="G39">
        <f t="shared" si="6"/>
        <v>274.32916666666659</v>
      </c>
      <c r="H39">
        <f t="shared" si="6"/>
        <v>1825.8625</v>
      </c>
      <c r="I39">
        <f t="shared" si="6"/>
        <v>5179.9124999999995</v>
      </c>
      <c r="J39">
        <f t="shared" si="6"/>
        <v>548.09062500000016</v>
      </c>
      <c r="K39">
        <f t="shared" si="6"/>
        <v>690.77187500000002</v>
      </c>
      <c r="L39">
        <f t="shared" si="6"/>
        <v>3921.6812499999996</v>
      </c>
      <c r="M39">
        <f t="shared" si="6"/>
        <v>4952.4781250000005</v>
      </c>
    </row>
    <row r="40" spans="1:16" x14ac:dyDescent="0.3">
      <c r="A40" t="s">
        <v>24</v>
      </c>
      <c r="B40">
        <f>STDEV(B35:B38)</f>
        <v>306.65493917227212</v>
      </c>
      <c r="C40">
        <f t="shared" ref="C40:M40" si="7">STDEV(C35:C38)</f>
        <v>492.93937655489896</v>
      </c>
      <c r="D40">
        <f t="shared" si="7"/>
        <v>1674.4762945594855</v>
      </c>
      <c r="E40">
        <f t="shared" si="7"/>
        <v>448.81748823702935</v>
      </c>
      <c r="F40">
        <f t="shared" si="7"/>
        <v>108.24920936489539</v>
      </c>
      <c r="G40">
        <f t="shared" si="7"/>
        <v>152.77092140549289</v>
      </c>
      <c r="H40">
        <f t="shared" si="7"/>
        <v>272.66535732163334</v>
      </c>
      <c r="I40">
        <f t="shared" si="7"/>
        <v>1455.2789167086407</v>
      </c>
      <c r="J40">
        <f t="shared" si="7"/>
        <v>99.070317712029109</v>
      </c>
      <c r="K40">
        <f t="shared" si="7"/>
        <v>130.56508249999033</v>
      </c>
      <c r="L40">
        <f t="shared" si="7"/>
        <v>1197.8520533516457</v>
      </c>
      <c r="M40">
        <f t="shared" si="7"/>
        <v>1223.1198420677733</v>
      </c>
    </row>
  </sheetData>
  <mergeCells count="3">
    <mergeCell ref="B33:E33"/>
    <mergeCell ref="F33:I33"/>
    <mergeCell ref="J33:M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2021-12-21T20:25:13Z</dcterms:created>
  <dcterms:modified xsi:type="dcterms:W3CDTF">2023-05-08T19:12:48Z</dcterms:modified>
</cp:coreProperties>
</file>