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racellular SA/"/>
    </mc:Choice>
  </mc:AlternateContent>
  <xr:revisionPtr revIDLastSave="106" documentId="11_7A2FF89B3FB53CBA844782AF44913855502C1110" xr6:coauthVersionLast="47" xr6:coauthVersionMax="47" xr10:uidLastSave="{7B06B91A-8C83-4B5F-ACEF-C7C6C93C7B82}"/>
  <bookViews>
    <workbookView minimized="1" xWindow="849" yWindow="2106" windowWidth="15475" windowHeight="7877" activeTab="1" xr2:uid="{00000000-000D-0000-FFFF-FFFF00000000}"/>
  </bookViews>
  <sheets>
    <sheet name="Sheet1" sheetId="1" r:id="rId1"/>
    <sheet name="Sheet2" sheetId="2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1" i="2" l="1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B41" i="2"/>
  <c r="B40" i="2"/>
  <c r="B19" i="2"/>
  <c r="C19" i="2"/>
  <c r="D19" i="2"/>
  <c r="E19" i="2"/>
  <c r="F19" i="2"/>
  <c r="G19" i="2"/>
  <c r="H19" i="2"/>
  <c r="I19" i="2"/>
  <c r="J19" i="2"/>
  <c r="K19" i="2"/>
  <c r="L19" i="2"/>
  <c r="M19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C14" i="2"/>
  <c r="D14" i="2"/>
  <c r="E14" i="2"/>
  <c r="F14" i="2"/>
  <c r="G14" i="2"/>
  <c r="H14" i="2"/>
  <c r="I14" i="2"/>
  <c r="J14" i="2"/>
  <c r="K14" i="2"/>
  <c r="L14" i="2"/>
  <c r="M14" i="2"/>
  <c r="B14" i="2"/>
  <c r="O3" i="2"/>
</calcChain>
</file>

<file path=xl/sharedStrings.xml><?xml version="1.0" encoding="utf-8"?>
<sst xmlns="http://schemas.openxmlformats.org/spreadsheetml/2006/main" count="159" uniqueCount="28">
  <si>
    <t>A</t>
  </si>
  <si>
    <t>low:Lum</t>
  </si>
  <si>
    <t>B</t>
  </si>
  <si>
    <t>C</t>
  </si>
  <si>
    <t>D</t>
  </si>
  <si>
    <t>E</t>
  </si>
  <si>
    <t>F</t>
  </si>
  <si>
    <t>G</t>
  </si>
  <si>
    <t>H</t>
  </si>
  <si>
    <t>P1R1</t>
  </si>
  <si>
    <t>high:Lum</t>
  </si>
  <si>
    <t>P1R2</t>
  </si>
  <si>
    <t>P1R3</t>
  </si>
  <si>
    <t>ng SA per well</t>
  </si>
  <si>
    <t>ng SA/gfw</t>
  </si>
  <si>
    <t>During plating I made a mistake on well D4 so swapped H2 and D4</t>
  </si>
  <si>
    <t>For Col-0 18 hpi rep2 (E2) I diluted the sample at a ratio of 3.71ul/mg instead of 2.5 ul/mg So dilution factor was corrected to 185.5 instead of the 125 for the rest of the wells</t>
  </si>
  <si>
    <t>Col</t>
  </si>
  <si>
    <t>ald1</t>
  </si>
  <si>
    <t>fmo1</t>
  </si>
  <si>
    <t>Un</t>
  </si>
  <si>
    <t>average</t>
  </si>
  <si>
    <t>stdev</t>
  </si>
  <si>
    <t>Untreated</t>
  </si>
  <si>
    <t>12 hpi</t>
  </si>
  <si>
    <t>18 hpi</t>
  </si>
  <si>
    <t>24 hpi</t>
  </si>
  <si>
    <t>48 hpi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</si>
</sst>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867782152230972"/>
                  <c:y val="2.31481481481481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Sheet1!$A$31:$A$54</c:f>
              <c:numCache>
                <c:formatCode>General</c:formatCode>
                <c:ptCount val="24"/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Sheet1!$B$31:$B$54</c:f>
              <c:numCache>
                <c:formatCode>General</c:formatCode>
                <c:ptCount val="24"/>
                <c:pt idx="6">
                  <c:v>1271</c:v>
                </c:pt>
                <c:pt idx="7">
                  <c:v>975</c:v>
                </c:pt>
                <c:pt idx="8">
                  <c:v>589</c:v>
                </c:pt>
                <c:pt idx="9">
                  <c:v>291</c:v>
                </c:pt>
                <c:pt idx="10">
                  <c:v>210</c:v>
                </c:pt>
                <c:pt idx="11">
                  <c:v>167</c:v>
                </c:pt>
                <c:pt idx="18">
                  <c:v>1261</c:v>
                </c:pt>
                <c:pt idx="19">
                  <c:v>925</c:v>
                </c:pt>
                <c:pt idx="20">
                  <c:v>578</c:v>
                </c:pt>
                <c:pt idx="21">
                  <c:v>335</c:v>
                </c:pt>
                <c:pt idx="22">
                  <c:v>254</c:v>
                </c:pt>
                <c:pt idx="23">
                  <c:v>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A-4B0E-B703-31DA9AE24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275918635170604"/>
                  <c:y val="5.53550597841936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Sheet1!$A$31:$A$54</c:f>
              <c:numCache>
                <c:formatCode>General</c:formatCode>
                <c:ptCount val="24"/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Sheet1!$C$31:$C$54</c:f>
              <c:numCache>
                <c:formatCode>General</c:formatCode>
                <c:ptCount val="24"/>
                <c:pt idx="6">
                  <c:v>1160</c:v>
                </c:pt>
                <c:pt idx="7">
                  <c:v>903</c:v>
                </c:pt>
                <c:pt idx="8">
                  <c:v>493</c:v>
                </c:pt>
                <c:pt idx="9">
                  <c:v>227</c:v>
                </c:pt>
                <c:pt idx="10">
                  <c:v>192</c:v>
                </c:pt>
                <c:pt idx="11">
                  <c:v>120</c:v>
                </c:pt>
                <c:pt idx="18">
                  <c:v>1026</c:v>
                </c:pt>
                <c:pt idx="19">
                  <c:v>866</c:v>
                </c:pt>
                <c:pt idx="20">
                  <c:v>514</c:v>
                </c:pt>
                <c:pt idx="21">
                  <c:v>215</c:v>
                </c:pt>
                <c:pt idx="22">
                  <c:v>196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FA-4B0E-B703-31DA9AE2466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931474190726159"/>
                  <c:y val="0.243992782152230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Sheet1!$A$31:$A$54</c:f>
              <c:numCache>
                <c:formatCode>General</c:formatCode>
                <c:ptCount val="24"/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Sheet1!$D$31:$D$54</c:f>
              <c:numCache>
                <c:formatCode>General</c:formatCode>
                <c:ptCount val="24"/>
                <c:pt idx="6">
                  <c:v>971</c:v>
                </c:pt>
                <c:pt idx="7">
                  <c:v>821</c:v>
                </c:pt>
                <c:pt idx="8">
                  <c:v>462</c:v>
                </c:pt>
                <c:pt idx="9">
                  <c:v>191</c:v>
                </c:pt>
                <c:pt idx="10">
                  <c:v>146</c:v>
                </c:pt>
                <c:pt idx="11">
                  <c:v>127</c:v>
                </c:pt>
                <c:pt idx="18">
                  <c:v>1015</c:v>
                </c:pt>
                <c:pt idx="19">
                  <c:v>790</c:v>
                </c:pt>
                <c:pt idx="20">
                  <c:v>451</c:v>
                </c:pt>
                <c:pt idx="21">
                  <c:v>201</c:v>
                </c:pt>
                <c:pt idx="22">
                  <c:v>151</c:v>
                </c:pt>
                <c:pt idx="23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FA-4B0E-B703-31DA9AE24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756591"/>
        <c:axId val="1721757007"/>
      </c:scatterChart>
      <c:valAx>
        <c:axId val="172175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57007"/>
        <c:crosses val="autoZero"/>
        <c:crossBetween val="midCat"/>
      </c:valAx>
      <c:valAx>
        <c:axId val="172175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5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468503937007873E-2"/>
                  <c:y val="-9.30092592592592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Sheet1!$F$31:$F$54</c:f>
              <c:numCache>
                <c:formatCode>General</c:formatCode>
                <c:ptCount val="24"/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Sheet1!$G$31:$G$53</c:f>
              <c:numCache>
                <c:formatCode>General</c:formatCode>
                <c:ptCount val="23"/>
                <c:pt idx="6">
                  <c:v>27774</c:v>
                </c:pt>
                <c:pt idx="7">
                  <c:v>23094</c:v>
                </c:pt>
                <c:pt idx="8">
                  <c:v>12570</c:v>
                </c:pt>
                <c:pt idx="9">
                  <c:v>6391</c:v>
                </c:pt>
                <c:pt idx="10">
                  <c:v>4461</c:v>
                </c:pt>
                <c:pt idx="11">
                  <c:v>3103</c:v>
                </c:pt>
                <c:pt idx="18">
                  <c:v>26783</c:v>
                </c:pt>
                <c:pt idx="19">
                  <c:v>21930</c:v>
                </c:pt>
                <c:pt idx="20">
                  <c:v>13208</c:v>
                </c:pt>
                <c:pt idx="21">
                  <c:v>5615</c:v>
                </c:pt>
                <c:pt idx="22">
                  <c:v>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E-46C1-9091-1E5E0A6FCA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75371828521434"/>
                  <c:y val="0.19402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Sheet1!$F$31:$F$54</c:f>
              <c:numCache>
                <c:formatCode>General</c:formatCode>
                <c:ptCount val="24"/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Sheet1!$H$31:$H$54</c:f>
              <c:numCache>
                <c:formatCode>General</c:formatCode>
                <c:ptCount val="24"/>
                <c:pt idx="6">
                  <c:v>26904</c:v>
                </c:pt>
                <c:pt idx="7">
                  <c:v>21464</c:v>
                </c:pt>
                <c:pt idx="8">
                  <c:v>11297</c:v>
                </c:pt>
                <c:pt idx="9">
                  <c:v>5749</c:v>
                </c:pt>
                <c:pt idx="10">
                  <c:v>4116</c:v>
                </c:pt>
                <c:pt idx="11">
                  <c:v>2539</c:v>
                </c:pt>
                <c:pt idx="18">
                  <c:v>24715</c:v>
                </c:pt>
                <c:pt idx="19">
                  <c:v>19563</c:v>
                </c:pt>
                <c:pt idx="20">
                  <c:v>11506</c:v>
                </c:pt>
                <c:pt idx="21">
                  <c:v>5695</c:v>
                </c:pt>
                <c:pt idx="22">
                  <c:v>4173</c:v>
                </c:pt>
                <c:pt idx="23">
                  <c:v>3020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E-46C1-9091-1E5E0A6FCAE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1617"/>
            <c:dispRSqr val="1"/>
            <c:dispEq val="1"/>
            <c:trendlineLbl>
              <c:layout>
                <c:manualLayout>
                  <c:x val="1.686482939632546E-2"/>
                  <c:y val="0.34217592592592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Sheet1!$F$31:$F$54</c:f>
              <c:numCache>
                <c:formatCode>General</c:formatCode>
                <c:ptCount val="24"/>
                <c:pt idx="6">
                  <c:v>24</c:v>
                </c:pt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8">
                  <c:v>24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Sheet1!$I$31:$I$54</c:f>
              <c:numCache>
                <c:formatCode>General</c:formatCode>
                <c:ptCount val="24"/>
                <c:pt idx="6">
                  <c:v>26433</c:v>
                </c:pt>
                <c:pt idx="7">
                  <c:v>20089</c:v>
                </c:pt>
                <c:pt idx="8">
                  <c:v>10266</c:v>
                </c:pt>
                <c:pt idx="9">
                  <c:v>4803</c:v>
                </c:pt>
                <c:pt idx="10">
                  <c:v>3572</c:v>
                </c:pt>
                <c:pt idx="11">
                  <c:v>2657</c:v>
                </c:pt>
                <c:pt idx="18">
                  <c:v>24677</c:v>
                </c:pt>
                <c:pt idx="19">
                  <c:v>19183</c:v>
                </c:pt>
                <c:pt idx="20">
                  <c:v>11154</c:v>
                </c:pt>
                <c:pt idx="21">
                  <c:v>5099</c:v>
                </c:pt>
                <c:pt idx="22">
                  <c:v>3984</c:v>
                </c:pt>
                <c:pt idx="23">
                  <c:v>2418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7E-46C1-9091-1E5E0A6FC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040735"/>
        <c:axId val="1842030751"/>
      </c:scatterChart>
      <c:valAx>
        <c:axId val="184204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30751"/>
        <c:crosses val="autoZero"/>
        <c:crossBetween val="midCat"/>
      </c:valAx>
      <c:valAx>
        <c:axId val="18420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4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Sheet2!$B$41:$F$41</c15:sqref>
                    </c15:fullRef>
                  </c:ext>
                </c:extLst>
                <c:f>Sheet2!$B$41:$E$41</c:f>
                <c:numCache>
                  <c:formatCode>General</c:formatCode>
                  <c:ptCount val="4"/>
                  <c:pt idx="0">
                    <c:v>55.67933413104862</c:v>
                  </c:pt>
                  <c:pt idx="1">
                    <c:v>248.83091267739775</c:v>
                  </c:pt>
                  <c:pt idx="2">
                    <c:v>168.65335476449769</c:v>
                  </c:pt>
                  <c:pt idx="3">
                    <c:v>530.44150476174161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Sheet2!$B$41:$F$41</c15:sqref>
                    </c15:fullRef>
                  </c:ext>
                </c:extLst>
                <c:f>Sheet2!$B$41:$E$41</c:f>
                <c:numCache>
                  <c:formatCode>General</c:formatCode>
                  <c:ptCount val="4"/>
                  <c:pt idx="0">
                    <c:v>55.67933413104862</c:v>
                  </c:pt>
                  <c:pt idx="1">
                    <c:v>248.83091267739775</c:v>
                  </c:pt>
                  <c:pt idx="2">
                    <c:v>168.65335476449769</c:v>
                  </c:pt>
                  <c:pt idx="3">
                    <c:v>530.44150476174161</c:v>
                  </c:pt>
                </c:numCache>
              </c:numRef>
            </c:minus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Sheet2!$B$34:$F$34</c15:sqref>
                  </c15:fullRef>
                </c:ext>
              </c:extLst>
              <c:f>Sheet2!$B$34:$E$34</c:f>
              <c:strCache>
                <c:ptCount val="4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Sheet2!$B$40:$F$40</c15:sqref>
                  </c15:fullRef>
                </c:ext>
              </c:extLst>
              <c:f>Sheet2!$B$40:$E$40</c:f>
              <c:numCache>
                <c:formatCode>General</c:formatCode>
                <c:ptCount val="4"/>
                <c:pt idx="0">
                  <c:v>133.82177033492823</c:v>
                </c:pt>
                <c:pt idx="1">
                  <c:v>497.60765550239233</c:v>
                </c:pt>
                <c:pt idx="2">
                  <c:v>631.33708133971288</c:v>
                </c:pt>
                <c:pt idx="3">
                  <c:v>2675.9868421052633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0F-4A7E-BC2B-EAB781B7C2C3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Sheet2!$G$41:$K$41</c15:sqref>
                    </c15:fullRef>
                  </c:ext>
                </c:extLst>
                <c:f>Sheet2!$G$41:$J$41</c:f>
                <c:numCache>
                  <c:formatCode>General</c:formatCode>
                  <c:ptCount val="4"/>
                  <c:pt idx="0">
                    <c:v>33.808375524124628</c:v>
                  </c:pt>
                  <c:pt idx="1">
                    <c:v>106.64175251908047</c:v>
                  </c:pt>
                  <c:pt idx="2">
                    <c:v>69.699413207762177</c:v>
                  </c:pt>
                  <c:pt idx="3">
                    <c:v>130.49373049813573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Sheet2!$G$41:$K$41</c15:sqref>
                    </c15:fullRef>
                  </c:ext>
                </c:extLst>
                <c:f>Sheet2!$G$41:$J$41</c:f>
                <c:numCache>
                  <c:formatCode>General</c:formatCode>
                  <c:ptCount val="4"/>
                  <c:pt idx="0">
                    <c:v>33.808375524124628</c:v>
                  </c:pt>
                  <c:pt idx="1">
                    <c:v>106.64175251908047</c:v>
                  </c:pt>
                  <c:pt idx="2">
                    <c:v>69.699413207762177</c:v>
                  </c:pt>
                  <c:pt idx="3">
                    <c:v>130.49373049813573</c:v>
                  </c:pt>
                </c:numCache>
              </c:numRef>
            </c:minus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Sheet2!$B$34:$F$34</c15:sqref>
                  </c15:fullRef>
                </c:ext>
              </c:extLst>
              <c:f>Sheet2!$B$34:$E$34</c:f>
              <c:strCache>
                <c:ptCount val="4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Sheet2!$G$40:$K$40</c15:sqref>
                  </c15:fullRef>
                </c:ext>
              </c:extLst>
              <c:f>Sheet2!$G$40:$J$40</c:f>
              <c:numCache>
                <c:formatCode>General</c:formatCode>
                <c:ptCount val="4"/>
                <c:pt idx="0">
                  <c:v>25.149521531100483</c:v>
                </c:pt>
                <c:pt idx="1">
                  <c:v>168.80980861244018</c:v>
                </c:pt>
                <c:pt idx="2">
                  <c:v>163.54665071770336</c:v>
                </c:pt>
                <c:pt idx="3">
                  <c:v>648.74401913875602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0F-4A7E-BC2B-EAB781B7C2C3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Sheet2!$L$41:$P$41</c15:sqref>
                    </c15:fullRef>
                  </c:ext>
                </c:extLst>
                <c:f>Sheet2!$L$41:$O$41</c:f>
                <c:numCache>
                  <c:formatCode>General</c:formatCode>
                  <c:ptCount val="4"/>
                  <c:pt idx="0">
                    <c:v>51.897829986362694</c:v>
                  </c:pt>
                  <c:pt idx="1">
                    <c:v>43.307203855026977</c:v>
                  </c:pt>
                  <c:pt idx="2">
                    <c:v>86.23272997361866</c:v>
                  </c:pt>
                  <c:pt idx="3">
                    <c:v>49.512898549534455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Sheet2!$L$41:$P$41</c15:sqref>
                    </c15:fullRef>
                  </c:ext>
                </c:extLst>
                <c:f>Sheet2!$L$41:$O$41</c:f>
                <c:numCache>
                  <c:formatCode>General</c:formatCode>
                  <c:ptCount val="4"/>
                  <c:pt idx="0">
                    <c:v>51.897829986362694</c:v>
                  </c:pt>
                  <c:pt idx="1">
                    <c:v>43.307203855026977</c:v>
                  </c:pt>
                  <c:pt idx="2">
                    <c:v>86.23272997361866</c:v>
                  </c:pt>
                  <c:pt idx="3">
                    <c:v>49.512898549534455</c:v>
                  </c:pt>
                </c:numCache>
              </c:numRef>
            </c:minus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Sheet2!$B$34:$F$34</c15:sqref>
                  </c15:fullRef>
                </c:ext>
              </c:extLst>
              <c:f>Sheet2!$B$34:$E$34</c:f>
              <c:strCache>
                <c:ptCount val="4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Sheet2!$L$40:$P$40</c15:sqref>
                  </c15:fullRef>
                </c:ext>
              </c:extLst>
              <c:f>Sheet2!$L$40:$O$40</c:f>
              <c:numCache>
                <c:formatCode>General</c:formatCode>
                <c:ptCount val="4"/>
                <c:pt idx="0">
                  <c:v>25.986842105263158</c:v>
                </c:pt>
                <c:pt idx="1">
                  <c:v>25.62799043062201</c:v>
                </c:pt>
                <c:pt idx="2">
                  <c:v>314.80263157894734</c:v>
                </c:pt>
                <c:pt idx="3">
                  <c:v>584.77870813397135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0F-4A7E-BC2B-EAB781B7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55</xdr:row>
      <xdr:rowOff>85725</xdr:rowOff>
    </xdr:from>
    <xdr:to>
      <xdr:col>8</xdr:col>
      <xdr:colOff>200025</xdr:colOff>
      <xdr:row>69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452437</xdr:colOff>
      <xdr:row>37</xdr:row>
      <xdr:rowOff>9525</xdr:rowOff>
    </xdr:from>
    <xdr:to>
      <xdr:col>17</xdr:col>
      <xdr:colOff>147637</xdr:colOff>
      <xdr:row>51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42</xdr:row>
      <xdr:rowOff>14287</xdr:rowOff>
    </xdr:from>
    <xdr:to>
      <xdr:col>13</xdr:col>
      <xdr:colOff>52387</xdr:colOff>
      <xdr:row>56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9B220-76DA-4679-B306-13E9B5E8E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 gfw</a:t>
          </a:r>
          <a:r>
            <a:rPr lang="en-CA" sz="1100" b="1" baseline="0"/>
            <a:t>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0.33119</cdr:x>
      <cdr:y>0.86789</cdr:y>
    </cdr:from>
    <cdr:to>
      <cdr:x>0.41007</cdr:x>
      <cdr:y>0.95084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299692" y="2593418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0.50378</cdr:x>
      <cdr:y>0.87497</cdr:y>
    </cdr:from>
    <cdr:to>
      <cdr:x>0.58266</cdr:x>
      <cdr:y>0.95792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498078" y="2614585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18 hpi</a:t>
          </a:r>
          <a:endParaRPr lang="en-CA" sz="1100"/>
        </a:p>
      </cdr:txBody>
    </cdr:sp>
  </cdr:relSizeAnchor>
  <cdr:relSizeAnchor xmlns:cdr="http://schemas.openxmlformats.org/drawingml/2006/chartDrawing">
    <cdr:from>
      <cdr:x>0.68252</cdr:x>
      <cdr:y>0.86701</cdr:y>
    </cdr:from>
    <cdr:to>
      <cdr:x>0.7614</cdr:x>
      <cdr:y>0.94996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4739216" y="2590800"/>
          <a:ext cx="547715" cy="2478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"/>
  <sheetViews>
    <sheetView topLeftCell="I19" workbookViewId="0">
      <selection activeCell="AC41" sqref="AC41"/>
    </sheetView>
  </sheetViews>
  <sheetFormatPr defaultRowHeight="14" x14ac:dyDescent="0.3"/>
  <sheetData>
    <row r="1" spans="1:28" x14ac:dyDescent="0.3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6" t="s">
        <v>9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  <c r="AB1" s="5"/>
    </row>
    <row r="2" spans="1:28" x14ac:dyDescent="0.3">
      <c r="A2" s="2" t="s">
        <v>0</v>
      </c>
      <c r="B2" s="3">
        <v>3393</v>
      </c>
      <c r="C2" s="3">
        <v>1880</v>
      </c>
      <c r="D2" s="3">
        <v>1702</v>
      </c>
      <c r="E2" s="3">
        <v>1683</v>
      </c>
      <c r="F2" s="3">
        <v>1359</v>
      </c>
      <c r="G2" s="3">
        <v>1350</v>
      </c>
      <c r="H2" s="3">
        <v>1271</v>
      </c>
      <c r="I2" s="3">
        <v>975</v>
      </c>
      <c r="J2" s="3">
        <v>589</v>
      </c>
      <c r="K2" s="3">
        <v>291</v>
      </c>
      <c r="L2" s="3">
        <v>210</v>
      </c>
      <c r="M2" s="3">
        <v>167</v>
      </c>
      <c r="N2" s="4" t="s">
        <v>1</v>
      </c>
      <c r="O2" s="7" t="s">
        <v>0</v>
      </c>
      <c r="P2" s="8">
        <v>58653</v>
      </c>
      <c r="Q2" s="8">
        <v>43404</v>
      </c>
      <c r="R2" s="8">
        <v>39966</v>
      </c>
      <c r="S2" s="8">
        <v>39242</v>
      </c>
      <c r="T2" s="8">
        <v>33292</v>
      </c>
      <c r="U2" s="8">
        <v>33426</v>
      </c>
      <c r="V2" s="8">
        <v>27774</v>
      </c>
      <c r="W2" s="8">
        <v>23094</v>
      </c>
      <c r="X2" s="8">
        <v>12570</v>
      </c>
      <c r="Y2" s="8">
        <v>6391</v>
      </c>
      <c r="Z2" s="8">
        <v>4461</v>
      </c>
      <c r="AA2" s="8">
        <v>3103</v>
      </c>
      <c r="AB2" s="9" t="s">
        <v>10</v>
      </c>
    </row>
    <row r="3" spans="1:28" x14ac:dyDescent="0.3">
      <c r="A3" s="2" t="s">
        <v>2</v>
      </c>
      <c r="B3" s="3">
        <v>2595</v>
      </c>
      <c r="C3" s="3">
        <v>1956</v>
      </c>
      <c r="D3" s="3">
        <v>1876</v>
      </c>
      <c r="E3" s="3">
        <v>1679</v>
      </c>
      <c r="F3" s="3">
        <v>1556</v>
      </c>
      <c r="G3" s="3">
        <v>1404</v>
      </c>
      <c r="H3" s="3">
        <v>1261</v>
      </c>
      <c r="I3" s="3">
        <v>925</v>
      </c>
      <c r="J3" s="3">
        <v>578</v>
      </c>
      <c r="K3" s="3">
        <v>335</v>
      </c>
      <c r="L3" s="3">
        <v>254</v>
      </c>
      <c r="M3" s="3">
        <v>169</v>
      </c>
      <c r="N3" s="4" t="s">
        <v>1</v>
      </c>
      <c r="O3" s="7" t="s">
        <v>2</v>
      </c>
      <c r="P3" s="8">
        <v>55024</v>
      </c>
      <c r="Q3" s="8">
        <v>40375</v>
      </c>
      <c r="R3" s="8">
        <v>40303</v>
      </c>
      <c r="S3" s="8">
        <v>38285</v>
      </c>
      <c r="T3" s="8">
        <v>36094</v>
      </c>
      <c r="U3" s="8">
        <v>31836</v>
      </c>
      <c r="V3" s="8">
        <v>26783</v>
      </c>
      <c r="W3" s="8">
        <v>21930</v>
      </c>
      <c r="X3" s="8">
        <v>13208</v>
      </c>
      <c r="Y3" s="8">
        <v>5615</v>
      </c>
      <c r="Z3" s="8">
        <v>4726</v>
      </c>
      <c r="AA3" s="8">
        <v>3433</v>
      </c>
      <c r="AB3" s="9" t="s">
        <v>10</v>
      </c>
    </row>
    <row r="4" spans="1:28" x14ac:dyDescent="0.3">
      <c r="A4" s="2" t="s">
        <v>3</v>
      </c>
      <c r="B4" s="3">
        <v>177</v>
      </c>
      <c r="C4" s="3">
        <v>151</v>
      </c>
      <c r="D4" s="3">
        <v>138</v>
      </c>
      <c r="E4" s="3">
        <v>216</v>
      </c>
      <c r="F4" s="3">
        <v>121</v>
      </c>
      <c r="G4" s="3">
        <v>121</v>
      </c>
      <c r="H4" s="3">
        <v>128</v>
      </c>
      <c r="I4" s="3">
        <v>108</v>
      </c>
      <c r="J4" s="3">
        <v>84</v>
      </c>
      <c r="K4" s="3">
        <v>141</v>
      </c>
      <c r="L4" s="3">
        <v>104</v>
      </c>
      <c r="M4" s="3">
        <v>120</v>
      </c>
      <c r="N4" s="4" t="s">
        <v>1</v>
      </c>
      <c r="O4" s="7" t="s">
        <v>3</v>
      </c>
      <c r="P4" s="8">
        <v>3336</v>
      </c>
      <c r="Q4" s="8">
        <v>3365</v>
      </c>
      <c r="R4" s="8">
        <v>2752</v>
      </c>
      <c r="S4" s="8">
        <v>4436</v>
      </c>
      <c r="T4" s="8">
        <v>2396</v>
      </c>
      <c r="U4" s="8">
        <v>2016</v>
      </c>
      <c r="V4" s="8">
        <v>2992</v>
      </c>
      <c r="W4" s="8">
        <v>2179</v>
      </c>
      <c r="X4" s="8">
        <v>1504</v>
      </c>
      <c r="Y4" s="8">
        <v>2528</v>
      </c>
      <c r="Z4" s="8">
        <v>1741</v>
      </c>
      <c r="AA4" s="8">
        <v>2239</v>
      </c>
      <c r="AB4" s="9" t="s">
        <v>10</v>
      </c>
    </row>
    <row r="5" spans="1:28" x14ac:dyDescent="0.3">
      <c r="A5" s="2" t="s">
        <v>4</v>
      </c>
      <c r="B5" s="3">
        <v>201</v>
      </c>
      <c r="C5" s="3">
        <v>364</v>
      </c>
      <c r="D5" s="3">
        <v>379</v>
      </c>
      <c r="E5" s="3">
        <v>369</v>
      </c>
      <c r="F5" s="3">
        <v>156</v>
      </c>
      <c r="G5" s="3">
        <v>230</v>
      </c>
      <c r="H5" s="3">
        <v>199</v>
      </c>
      <c r="I5" s="3">
        <v>120</v>
      </c>
      <c r="J5" s="3">
        <v>108</v>
      </c>
      <c r="K5" s="3">
        <v>108</v>
      </c>
      <c r="L5" s="3">
        <v>139</v>
      </c>
      <c r="M5" s="3">
        <v>111</v>
      </c>
      <c r="N5" s="4" t="s">
        <v>1</v>
      </c>
      <c r="O5" s="7" t="s">
        <v>4</v>
      </c>
      <c r="P5" s="8">
        <v>4344</v>
      </c>
      <c r="Q5" s="8">
        <v>8448</v>
      </c>
      <c r="R5" s="8">
        <v>9085</v>
      </c>
      <c r="S5" s="8">
        <v>8166</v>
      </c>
      <c r="T5" s="8">
        <v>3203</v>
      </c>
      <c r="U5" s="8">
        <v>5121</v>
      </c>
      <c r="V5" s="8">
        <v>4586</v>
      </c>
      <c r="W5" s="8">
        <v>2615</v>
      </c>
      <c r="X5" s="8">
        <v>2250</v>
      </c>
      <c r="Y5" s="8">
        <v>2201</v>
      </c>
      <c r="Z5" s="8">
        <v>2895</v>
      </c>
      <c r="AA5" s="8">
        <v>2464</v>
      </c>
      <c r="AB5" s="9" t="s">
        <v>10</v>
      </c>
    </row>
    <row r="6" spans="1:28" x14ac:dyDescent="0.3">
      <c r="A6" s="2" t="s">
        <v>5</v>
      </c>
      <c r="B6" s="3">
        <v>386</v>
      </c>
      <c r="C6" s="3">
        <v>243</v>
      </c>
      <c r="D6" s="3">
        <v>360</v>
      </c>
      <c r="E6" s="3">
        <v>288</v>
      </c>
      <c r="F6" s="3">
        <v>202</v>
      </c>
      <c r="G6" s="3">
        <v>180</v>
      </c>
      <c r="H6" s="3">
        <v>186</v>
      </c>
      <c r="I6" s="3">
        <v>152</v>
      </c>
      <c r="J6" s="3">
        <v>214</v>
      </c>
      <c r="K6" s="3">
        <v>210</v>
      </c>
      <c r="L6" s="3">
        <v>221</v>
      </c>
      <c r="M6" s="3">
        <v>131</v>
      </c>
      <c r="N6" s="4" t="s">
        <v>1</v>
      </c>
      <c r="O6" s="7" t="s">
        <v>5</v>
      </c>
      <c r="P6" s="8">
        <v>9814</v>
      </c>
      <c r="Q6" s="8">
        <v>6313</v>
      </c>
      <c r="R6" s="8">
        <v>8397</v>
      </c>
      <c r="S6" s="8">
        <v>6129</v>
      </c>
      <c r="T6" s="8">
        <v>3925</v>
      </c>
      <c r="U6" s="8">
        <v>4029</v>
      </c>
      <c r="V6" s="8">
        <v>4598</v>
      </c>
      <c r="W6" s="8">
        <v>3064</v>
      </c>
      <c r="X6" s="8">
        <v>5570</v>
      </c>
      <c r="Y6" s="8">
        <v>5351</v>
      </c>
      <c r="Z6" s="8">
        <v>5463</v>
      </c>
      <c r="AA6" s="8">
        <v>3795</v>
      </c>
      <c r="AB6" s="9" t="s">
        <v>10</v>
      </c>
    </row>
    <row r="7" spans="1:28" x14ac:dyDescent="0.3">
      <c r="A7" s="2" t="s">
        <v>6</v>
      </c>
      <c r="B7" s="3">
        <v>1222</v>
      </c>
      <c r="C7" s="3">
        <v>1052</v>
      </c>
      <c r="D7" s="3">
        <v>1206</v>
      </c>
      <c r="E7" s="3">
        <v>920</v>
      </c>
      <c r="F7" s="3">
        <v>355</v>
      </c>
      <c r="G7" s="3">
        <v>337</v>
      </c>
      <c r="H7" s="3">
        <v>441</v>
      </c>
      <c r="I7" s="3">
        <v>301</v>
      </c>
      <c r="J7" s="3">
        <v>281</v>
      </c>
      <c r="K7" s="3">
        <v>314</v>
      </c>
      <c r="L7" s="3">
        <v>326</v>
      </c>
      <c r="M7" s="3">
        <v>257</v>
      </c>
      <c r="N7" s="4" t="s">
        <v>1</v>
      </c>
      <c r="O7" s="7" t="s">
        <v>6</v>
      </c>
      <c r="P7" s="8">
        <v>32561</v>
      </c>
      <c r="Q7" s="8">
        <v>25368</v>
      </c>
      <c r="R7" s="8">
        <v>28978</v>
      </c>
      <c r="S7" s="8">
        <v>21797</v>
      </c>
      <c r="T7" s="8">
        <v>8291</v>
      </c>
      <c r="U7" s="8">
        <v>9326</v>
      </c>
      <c r="V7" s="8">
        <v>9736</v>
      </c>
      <c r="W7" s="8">
        <v>7652</v>
      </c>
      <c r="X7" s="8">
        <v>7369</v>
      </c>
      <c r="Y7" s="8">
        <v>7564</v>
      </c>
      <c r="Z7" s="8">
        <v>7789</v>
      </c>
      <c r="AA7" s="8">
        <v>7114</v>
      </c>
      <c r="AB7" s="9" t="s">
        <v>10</v>
      </c>
    </row>
    <row r="8" spans="1:28" x14ac:dyDescent="0.3">
      <c r="A8" s="2" t="s">
        <v>7</v>
      </c>
      <c r="B8" s="3">
        <v>1104</v>
      </c>
      <c r="C8" s="3">
        <v>1302</v>
      </c>
      <c r="D8" s="3">
        <v>1246</v>
      </c>
      <c r="E8" s="3">
        <v>1188</v>
      </c>
      <c r="F8" s="3">
        <v>446</v>
      </c>
      <c r="G8" s="3">
        <v>243</v>
      </c>
      <c r="H8" s="3">
        <v>455</v>
      </c>
      <c r="I8" s="3">
        <v>312</v>
      </c>
      <c r="J8" s="3">
        <v>381</v>
      </c>
      <c r="K8" s="3">
        <v>386</v>
      </c>
      <c r="L8" s="3">
        <v>468</v>
      </c>
      <c r="M8" s="3">
        <v>303</v>
      </c>
      <c r="N8" s="4" t="s">
        <v>1</v>
      </c>
      <c r="O8" s="7" t="s">
        <v>7</v>
      </c>
      <c r="P8" s="8">
        <v>28364</v>
      </c>
      <c r="Q8" s="8">
        <v>32778</v>
      </c>
      <c r="R8" s="8">
        <v>29844</v>
      </c>
      <c r="S8" s="8">
        <v>27617</v>
      </c>
      <c r="T8" s="8">
        <v>10920</v>
      </c>
      <c r="U8" s="8">
        <v>6073</v>
      </c>
      <c r="V8" s="8">
        <v>10393</v>
      </c>
      <c r="W8" s="8">
        <v>7729</v>
      </c>
      <c r="X8" s="8">
        <v>9160</v>
      </c>
      <c r="Y8" s="8">
        <v>8446</v>
      </c>
      <c r="Z8" s="8">
        <v>12541</v>
      </c>
      <c r="AA8" s="8">
        <v>8196</v>
      </c>
      <c r="AB8" s="9" t="s">
        <v>10</v>
      </c>
    </row>
    <row r="9" spans="1:28" x14ac:dyDescent="0.3">
      <c r="A9" s="2" t="s">
        <v>8</v>
      </c>
      <c r="B9" s="3">
        <v>2373</v>
      </c>
      <c r="C9" s="3">
        <v>247</v>
      </c>
      <c r="D9" s="3">
        <v>254</v>
      </c>
      <c r="E9" s="3">
        <v>206</v>
      </c>
      <c r="F9" s="3">
        <v>238</v>
      </c>
      <c r="G9" s="3">
        <v>227</v>
      </c>
      <c r="H9" s="3">
        <v>230</v>
      </c>
      <c r="I9" s="3">
        <v>234</v>
      </c>
      <c r="J9" s="3">
        <v>2</v>
      </c>
      <c r="K9" s="3">
        <v>2</v>
      </c>
      <c r="L9" s="3">
        <v>1</v>
      </c>
      <c r="M9" s="3">
        <v>3</v>
      </c>
      <c r="N9" s="4" t="s">
        <v>1</v>
      </c>
      <c r="O9" s="7" t="s">
        <v>8</v>
      </c>
      <c r="P9" s="8">
        <v>56657</v>
      </c>
      <c r="Q9" s="8">
        <v>5229</v>
      </c>
      <c r="R9" s="8">
        <v>5484</v>
      </c>
      <c r="S9" s="8">
        <v>5819</v>
      </c>
      <c r="T9" s="8">
        <v>5961</v>
      </c>
      <c r="U9" s="8">
        <v>5075</v>
      </c>
      <c r="V9" s="8">
        <v>5180</v>
      </c>
      <c r="W9" s="8">
        <v>6073</v>
      </c>
      <c r="X9" s="8">
        <v>25</v>
      </c>
      <c r="Y9" s="8">
        <v>41</v>
      </c>
      <c r="Z9" s="8">
        <v>19</v>
      </c>
      <c r="AA9" s="8">
        <v>3</v>
      </c>
      <c r="AB9" s="9" t="s">
        <v>10</v>
      </c>
    </row>
    <row r="11" spans="1:28" x14ac:dyDescent="0.3">
      <c r="A11" s="11" t="s">
        <v>11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  <c r="G11" s="12">
        <v>6</v>
      </c>
      <c r="H11" s="12">
        <v>7</v>
      </c>
      <c r="I11" s="12">
        <v>8</v>
      </c>
      <c r="J11" s="12">
        <v>9</v>
      </c>
      <c r="K11" s="12">
        <v>10</v>
      </c>
      <c r="L11" s="12">
        <v>11</v>
      </c>
      <c r="M11" s="12">
        <v>12</v>
      </c>
      <c r="N11" s="10"/>
      <c r="O11" s="16" t="s">
        <v>11</v>
      </c>
      <c r="P11" s="17">
        <v>1</v>
      </c>
      <c r="Q11" s="17">
        <v>2</v>
      </c>
      <c r="R11" s="17">
        <v>3</v>
      </c>
      <c r="S11" s="17">
        <v>4</v>
      </c>
      <c r="T11" s="17">
        <v>5</v>
      </c>
      <c r="U11" s="17">
        <v>6</v>
      </c>
      <c r="V11" s="17">
        <v>7</v>
      </c>
      <c r="W11" s="17">
        <v>8</v>
      </c>
      <c r="X11" s="17">
        <v>9</v>
      </c>
      <c r="Y11" s="17">
        <v>10</v>
      </c>
      <c r="Z11" s="17">
        <v>11</v>
      </c>
      <c r="AA11" s="17">
        <v>12</v>
      </c>
      <c r="AB11" s="15"/>
    </row>
    <row r="12" spans="1:28" x14ac:dyDescent="0.3">
      <c r="A12" s="12" t="s">
        <v>0</v>
      </c>
      <c r="B12" s="13">
        <v>2780</v>
      </c>
      <c r="C12" s="13">
        <v>1749</v>
      </c>
      <c r="D12" s="13">
        <v>1662</v>
      </c>
      <c r="E12" s="13">
        <v>1611</v>
      </c>
      <c r="F12" s="13">
        <v>1664</v>
      </c>
      <c r="G12" s="13">
        <v>1339</v>
      </c>
      <c r="H12" s="13">
        <v>1160</v>
      </c>
      <c r="I12" s="13">
        <v>903</v>
      </c>
      <c r="J12" s="13">
        <v>493</v>
      </c>
      <c r="K12" s="13">
        <v>227</v>
      </c>
      <c r="L12" s="13">
        <v>192</v>
      </c>
      <c r="M12" s="13">
        <v>120</v>
      </c>
      <c r="N12" s="14" t="s">
        <v>1</v>
      </c>
      <c r="O12" s="17" t="s">
        <v>0</v>
      </c>
      <c r="P12" s="18">
        <v>65495</v>
      </c>
      <c r="Q12" s="18">
        <v>40234</v>
      </c>
      <c r="R12" s="18">
        <v>39154</v>
      </c>
      <c r="S12" s="18">
        <v>36528</v>
      </c>
      <c r="T12" s="18">
        <v>33692</v>
      </c>
      <c r="U12" s="18">
        <v>30652</v>
      </c>
      <c r="V12" s="18">
        <v>26904</v>
      </c>
      <c r="W12" s="18">
        <v>21464</v>
      </c>
      <c r="X12" s="18">
        <v>11297</v>
      </c>
      <c r="Y12" s="18">
        <v>5749</v>
      </c>
      <c r="Z12" s="18">
        <v>4116</v>
      </c>
      <c r="AA12" s="18">
        <v>2539</v>
      </c>
      <c r="AB12" s="19" t="s">
        <v>10</v>
      </c>
    </row>
    <row r="13" spans="1:28" x14ac:dyDescent="0.3">
      <c r="A13" s="12" t="s">
        <v>2</v>
      </c>
      <c r="B13" s="13">
        <v>2290</v>
      </c>
      <c r="C13" s="13">
        <v>1713</v>
      </c>
      <c r="D13" s="13">
        <v>1645</v>
      </c>
      <c r="E13" s="13">
        <v>1501</v>
      </c>
      <c r="F13" s="13">
        <v>1422</v>
      </c>
      <c r="G13" s="13">
        <v>1254</v>
      </c>
      <c r="H13" s="13">
        <v>1026</v>
      </c>
      <c r="I13" s="13">
        <v>866</v>
      </c>
      <c r="J13" s="13">
        <v>514</v>
      </c>
      <c r="K13" s="13">
        <v>215</v>
      </c>
      <c r="L13" s="13">
        <v>196</v>
      </c>
      <c r="M13" s="13">
        <v>122</v>
      </c>
      <c r="N13" s="14" t="s">
        <v>1</v>
      </c>
      <c r="O13" s="17" t="s">
        <v>2</v>
      </c>
      <c r="P13" s="18">
        <v>54838</v>
      </c>
      <c r="Q13" s="18">
        <v>40121</v>
      </c>
      <c r="R13" s="18">
        <v>37791</v>
      </c>
      <c r="S13" s="18">
        <v>36656</v>
      </c>
      <c r="T13" s="18">
        <v>33325</v>
      </c>
      <c r="U13" s="18">
        <v>28766</v>
      </c>
      <c r="V13" s="18">
        <v>24715</v>
      </c>
      <c r="W13" s="18">
        <v>19563</v>
      </c>
      <c r="X13" s="18">
        <v>11506</v>
      </c>
      <c r="Y13" s="18">
        <v>5695</v>
      </c>
      <c r="Z13" s="18">
        <v>4173</v>
      </c>
      <c r="AA13" s="18">
        <v>3020</v>
      </c>
      <c r="AB13" s="19" t="s">
        <v>10</v>
      </c>
    </row>
    <row r="14" spans="1:28" x14ac:dyDescent="0.3">
      <c r="A14" s="12" t="s">
        <v>3</v>
      </c>
      <c r="B14" s="13">
        <v>117</v>
      </c>
      <c r="C14" s="13">
        <v>116</v>
      </c>
      <c r="D14" s="13">
        <v>113</v>
      </c>
      <c r="E14" s="13">
        <v>166</v>
      </c>
      <c r="F14" s="13">
        <v>93</v>
      </c>
      <c r="G14" s="13">
        <v>84</v>
      </c>
      <c r="H14" s="13">
        <v>107</v>
      </c>
      <c r="I14" s="13">
        <v>75</v>
      </c>
      <c r="J14" s="13">
        <v>60</v>
      </c>
      <c r="K14" s="13">
        <v>103</v>
      </c>
      <c r="L14" s="13">
        <v>86</v>
      </c>
      <c r="M14" s="13">
        <v>104</v>
      </c>
      <c r="N14" s="14" t="s">
        <v>1</v>
      </c>
      <c r="O14" s="17" t="s">
        <v>3</v>
      </c>
      <c r="P14" s="18">
        <v>3163</v>
      </c>
      <c r="Q14" s="18">
        <v>2640</v>
      </c>
      <c r="R14" s="18">
        <v>2468</v>
      </c>
      <c r="S14" s="18">
        <v>3643</v>
      </c>
      <c r="T14" s="18">
        <v>2239</v>
      </c>
      <c r="U14" s="18">
        <v>1764</v>
      </c>
      <c r="V14" s="18">
        <v>2244</v>
      </c>
      <c r="W14" s="18">
        <v>2181</v>
      </c>
      <c r="X14" s="18">
        <v>1371</v>
      </c>
      <c r="Y14" s="18">
        <v>2441</v>
      </c>
      <c r="Z14" s="18">
        <v>1563</v>
      </c>
      <c r="AA14" s="18">
        <v>2258</v>
      </c>
      <c r="AB14" s="19" t="s">
        <v>10</v>
      </c>
    </row>
    <row r="15" spans="1:28" x14ac:dyDescent="0.3">
      <c r="A15" s="12" t="s">
        <v>4</v>
      </c>
      <c r="B15" s="13">
        <v>162</v>
      </c>
      <c r="C15" s="13">
        <v>331</v>
      </c>
      <c r="D15" s="13">
        <v>333</v>
      </c>
      <c r="E15" s="13">
        <v>311</v>
      </c>
      <c r="F15" s="13">
        <v>127</v>
      </c>
      <c r="G15" s="13">
        <v>170</v>
      </c>
      <c r="H15" s="13">
        <v>146</v>
      </c>
      <c r="I15" s="13">
        <v>108</v>
      </c>
      <c r="J15" s="13">
        <v>101</v>
      </c>
      <c r="K15" s="13">
        <v>92</v>
      </c>
      <c r="L15" s="13">
        <v>110</v>
      </c>
      <c r="M15" s="13">
        <v>89</v>
      </c>
      <c r="N15" s="14" t="s">
        <v>1</v>
      </c>
      <c r="O15" s="17" t="s">
        <v>4</v>
      </c>
      <c r="P15" s="18">
        <v>4026</v>
      </c>
      <c r="Q15" s="18">
        <v>7763</v>
      </c>
      <c r="R15" s="18">
        <v>7936</v>
      </c>
      <c r="S15" s="18">
        <v>6649</v>
      </c>
      <c r="T15" s="18">
        <v>2857</v>
      </c>
      <c r="U15" s="18">
        <v>4533</v>
      </c>
      <c r="V15" s="18">
        <v>3636</v>
      </c>
      <c r="W15" s="18">
        <v>2330</v>
      </c>
      <c r="X15" s="18">
        <v>1903</v>
      </c>
      <c r="Y15" s="18">
        <v>1916</v>
      </c>
      <c r="Z15" s="18">
        <v>2651</v>
      </c>
      <c r="AA15" s="18">
        <v>1692</v>
      </c>
      <c r="AB15" s="19" t="s">
        <v>10</v>
      </c>
    </row>
    <row r="16" spans="1:28" x14ac:dyDescent="0.3">
      <c r="A16" s="12" t="s">
        <v>5</v>
      </c>
      <c r="B16" s="13">
        <v>352</v>
      </c>
      <c r="C16" s="13">
        <v>217</v>
      </c>
      <c r="D16" s="13">
        <v>304</v>
      </c>
      <c r="E16" s="13">
        <v>236</v>
      </c>
      <c r="F16" s="13">
        <v>156</v>
      </c>
      <c r="G16" s="13">
        <v>151</v>
      </c>
      <c r="H16" s="13">
        <v>156</v>
      </c>
      <c r="I16" s="13">
        <v>101</v>
      </c>
      <c r="J16" s="13">
        <v>183</v>
      </c>
      <c r="K16" s="13">
        <v>218</v>
      </c>
      <c r="L16" s="13">
        <v>222</v>
      </c>
      <c r="M16" s="13">
        <v>149</v>
      </c>
      <c r="N16" s="14" t="s">
        <v>1</v>
      </c>
      <c r="O16" s="17" t="s">
        <v>5</v>
      </c>
      <c r="P16" s="18">
        <v>8900</v>
      </c>
      <c r="Q16" s="18">
        <v>5453</v>
      </c>
      <c r="R16" s="18">
        <v>7155</v>
      </c>
      <c r="S16" s="18">
        <v>5917</v>
      </c>
      <c r="T16" s="18">
        <v>3898</v>
      </c>
      <c r="U16" s="18">
        <v>3304</v>
      </c>
      <c r="V16" s="18">
        <v>3767</v>
      </c>
      <c r="W16" s="18">
        <v>2638</v>
      </c>
      <c r="X16" s="18">
        <v>5105</v>
      </c>
      <c r="Y16" s="18">
        <v>5195</v>
      </c>
      <c r="Z16" s="18">
        <v>5005</v>
      </c>
      <c r="AA16" s="18">
        <v>3256</v>
      </c>
      <c r="AB16" s="19" t="s">
        <v>10</v>
      </c>
    </row>
    <row r="17" spans="1:28" x14ac:dyDescent="0.3">
      <c r="A17" s="12" t="s">
        <v>6</v>
      </c>
      <c r="B17" s="13">
        <v>1242</v>
      </c>
      <c r="C17" s="13">
        <v>926</v>
      </c>
      <c r="D17" s="13">
        <v>1087</v>
      </c>
      <c r="E17" s="13">
        <v>816</v>
      </c>
      <c r="F17" s="13">
        <v>286</v>
      </c>
      <c r="G17" s="13">
        <v>306</v>
      </c>
      <c r="H17" s="13">
        <v>419</v>
      </c>
      <c r="I17" s="13">
        <v>279</v>
      </c>
      <c r="J17" s="13">
        <v>260</v>
      </c>
      <c r="K17" s="13">
        <v>280</v>
      </c>
      <c r="L17" s="13">
        <v>298</v>
      </c>
      <c r="M17" s="13">
        <v>255</v>
      </c>
      <c r="N17" s="14" t="s">
        <v>1</v>
      </c>
      <c r="O17" s="17" t="s">
        <v>6</v>
      </c>
      <c r="P17" s="18">
        <v>30212</v>
      </c>
      <c r="Q17" s="18">
        <v>23358</v>
      </c>
      <c r="R17" s="18">
        <v>26717</v>
      </c>
      <c r="S17" s="18">
        <v>19406</v>
      </c>
      <c r="T17" s="18">
        <v>7595</v>
      </c>
      <c r="U17" s="18">
        <v>7007</v>
      </c>
      <c r="V17" s="18">
        <v>9843</v>
      </c>
      <c r="W17" s="18">
        <v>6612</v>
      </c>
      <c r="X17" s="18">
        <v>6638</v>
      </c>
      <c r="Y17" s="18">
        <v>6242</v>
      </c>
      <c r="Z17" s="18">
        <v>7291</v>
      </c>
      <c r="AA17" s="18">
        <v>6399</v>
      </c>
      <c r="AB17" s="19" t="s">
        <v>10</v>
      </c>
    </row>
    <row r="18" spans="1:28" x14ac:dyDescent="0.3">
      <c r="A18" s="12" t="s">
        <v>7</v>
      </c>
      <c r="B18" s="13">
        <v>1068</v>
      </c>
      <c r="C18" s="13">
        <v>1221</v>
      </c>
      <c r="D18" s="13">
        <v>1209</v>
      </c>
      <c r="E18" s="13">
        <v>1114</v>
      </c>
      <c r="F18" s="13">
        <v>407</v>
      </c>
      <c r="G18" s="13">
        <v>221</v>
      </c>
      <c r="H18" s="13">
        <v>385</v>
      </c>
      <c r="I18" s="13">
        <v>301</v>
      </c>
      <c r="J18" s="13">
        <v>347</v>
      </c>
      <c r="K18" s="13">
        <v>359</v>
      </c>
      <c r="L18" s="13">
        <v>469</v>
      </c>
      <c r="M18" s="13">
        <v>285</v>
      </c>
      <c r="N18" s="14" t="s">
        <v>1</v>
      </c>
      <c r="O18" s="17" t="s">
        <v>7</v>
      </c>
      <c r="P18" s="18">
        <v>25979</v>
      </c>
      <c r="Q18" s="18">
        <v>31580</v>
      </c>
      <c r="R18" s="18">
        <v>28890</v>
      </c>
      <c r="S18" s="18">
        <v>26253</v>
      </c>
      <c r="T18" s="18">
        <v>9962</v>
      </c>
      <c r="U18" s="18">
        <v>5292</v>
      </c>
      <c r="V18" s="18">
        <v>9565</v>
      </c>
      <c r="W18" s="18">
        <v>6857</v>
      </c>
      <c r="X18" s="18">
        <v>9044</v>
      </c>
      <c r="Y18" s="18">
        <v>8053</v>
      </c>
      <c r="Z18" s="18">
        <v>11449</v>
      </c>
      <c r="AA18" s="18">
        <v>7980</v>
      </c>
      <c r="AB18" s="19" t="s">
        <v>10</v>
      </c>
    </row>
    <row r="19" spans="1:28" x14ac:dyDescent="0.3">
      <c r="A19" s="12" t="s">
        <v>8</v>
      </c>
      <c r="B19" s="13">
        <v>2270</v>
      </c>
      <c r="C19" s="13">
        <v>173</v>
      </c>
      <c r="D19" s="13">
        <v>226</v>
      </c>
      <c r="E19" s="13">
        <v>223</v>
      </c>
      <c r="F19" s="13">
        <v>195</v>
      </c>
      <c r="G19" s="13">
        <v>204</v>
      </c>
      <c r="H19" s="13">
        <v>188</v>
      </c>
      <c r="I19" s="13">
        <v>203</v>
      </c>
      <c r="J19" s="13">
        <v>1</v>
      </c>
      <c r="K19" s="13">
        <v>2</v>
      </c>
      <c r="L19" s="13">
        <v>2</v>
      </c>
      <c r="M19" s="13">
        <v>1</v>
      </c>
      <c r="N19" s="14" t="s">
        <v>1</v>
      </c>
      <c r="O19" s="17" t="s">
        <v>8</v>
      </c>
      <c r="P19" s="18">
        <v>55015</v>
      </c>
      <c r="Q19" s="18">
        <v>4458</v>
      </c>
      <c r="R19" s="18">
        <v>5341</v>
      </c>
      <c r="S19" s="18">
        <v>4668</v>
      </c>
      <c r="T19" s="18">
        <v>4893</v>
      </c>
      <c r="U19" s="18">
        <v>4626</v>
      </c>
      <c r="V19" s="18">
        <v>4782</v>
      </c>
      <c r="W19" s="18">
        <v>4738</v>
      </c>
      <c r="X19" s="18">
        <v>53</v>
      </c>
      <c r="Y19" s="18">
        <v>51</v>
      </c>
      <c r="Z19" s="18">
        <v>8</v>
      </c>
      <c r="AA19" s="18">
        <v>11</v>
      </c>
      <c r="AB19" s="19" t="s">
        <v>10</v>
      </c>
    </row>
    <row r="21" spans="1:28" x14ac:dyDescent="0.3">
      <c r="A21" s="21" t="s">
        <v>12</v>
      </c>
      <c r="B21" s="22">
        <v>1</v>
      </c>
      <c r="C21" s="22">
        <v>2</v>
      </c>
      <c r="D21" s="22">
        <v>3</v>
      </c>
      <c r="E21" s="22">
        <v>4</v>
      </c>
      <c r="F21" s="22">
        <v>5</v>
      </c>
      <c r="G21" s="22">
        <v>6</v>
      </c>
      <c r="H21" s="22">
        <v>7</v>
      </c>
      <c r="I21" s="22">
        <v>8</v>
      </c>
      <c r="J21" s="22">
        <v>9</v>
      </c>
      <c r="K21" s="22">
        <v>10</v>
      </c>
      <c r="L21" s="22">
        <v>11</v>
      </c>
      <c r="M21" s="22">
        <v>12</v>
      </c>
      <c r="N21" s="20"/>
      <c r="O21" s="26" t="s">
        <v>12</v>
      </c>
      <c r="P21" s="27">
        <v>1</v>
      </c>
      <c r="Q21" s="27">
        <v>2</v>
      </c>
      <c r="R21" s="27">
        <v>3</v>
      </c>
      <c r="S21" s="27">
        <v>4</v>
      </c>
      <c r="T21" s="27">
        <v>5</v>
      </c>
      <c r="U21" s="27">
        <v>6</v>
      </c>
      <c r="V21" s="27">
        <v>7</v>
      </c>
      <c r="W21" s="27">
        <v>8</v>
      </c>
      <c r="X21" s="27">
        <v>9</v>
      </c>
      <c r="Y21" s="27">
        <v>10</v>
      </c>
      <c r="Z21" s="27">
        <v>11</v>
      </c>
      <c r="AA21" s="27">
        <v>12</v>
      </c>
      <c r="AB21" s="25"/>
    </row>
    <row r="22" spans="1:28" x14ac:dyDescent="0.3">
      <c r="A22" s="22" t="s">
        <v>0</v>
      </c>
      <c r="B22" s="23">
        <v>2591</v>
      </c>
      <c r="C22" s="23">
        <v>1539</v>
      </c>
      <c r="D22" s="23">
        <v>1527</v>
      </c>
      <c r="E22" s="23">
        <v>1398</v>
      </c>
      <c r="F22" s="23">
        <v>1484</v>
      </c>
      <c r="G22" s="23">
        <v>1175</v>
      </c>
      <c r="H22" s="23">
        <v>971</v>
      </c>
      <c r="I22" s="23">
        <v>821</v>
      </c>
      <c r="J22" s="23">
        <v>462</v>
      </c>
      <c r="K22" s="23">
        <v>191</v>
      </c>
      <c r="L22" s="23">
        <v>146</v>
      </c>
      <c r="M22" s="23">
        <v>127</v>
      </c>
      <c r="N22" s="24" t="s">
        <v>1</v>
      </c>
      <c r="O22" s="27" t="s">
        <v>0</v>
      </c>
      <c r="P22" s="28">
        <v>64895</v>
      </c>
      <c r="Q22" s="28">
        <v>41046</v>
      </c>
      <c r="R22" s="28">
        <v>38335</v>
      </c>
      <c r="S22" s="28">
        <v>35890</v>
      </c>
      <c r="T22" s="28">
        <v>33847</v>
      </c>
      <c r="U22" s="28">
        <v>30315</v>
      </c>
      <c r="V22" s="28">
        <v>26433</v>
      </c>
      <c r="W22" s="28">
        <v>20089</v>
      </c>
      <c r="X22" s="28">
        <v>10266</v>
      </c>
      <c r="Y22" s="28">
        <v>4803</v>
      </c>
      <c r="Z22" s="28">
        <v>3572</v>
      </c>
      <c r="AA22" s="28">
        <v>2657</v>
      </c>
      <c r="AB22" s="29" t="s">
        <v>10</v>
      </c>
    </row>
    <row r="23" spans="1:28" x14ac:dyDescent="0.3">
      <c r="A23" s="22" t="s">
        <v>2</v>
      </c>
      <c r="B23" s="23">
        <v>2231</v>
      </c>
      <c r="C23" s="23">
        <v>1606</v>
      </c>
      <c r="D23" s="23">
        <v>1584</v>
      </c>
      <c r="E23" s="23">
        <v>1493</v>
      </c>
      <c r="F23" s="23">
        <v>1317</v>
      </c>
      <c r="G23" s="23">
        <v>1198</v>
      </c>
      <c r="H23" s="23">
        <v>1015</v>
      </c>
      <c r="I23" s="23">
        <v>790</v>
      </c>
      <c r="J23" s="23">
        <v>451</v>
      </c>
      <c r="K23" s="23">
        <v>201</v>
      </c>
      <c r="L23" s="23">
        <v>151</v>
      </c>
      <c r="M23" s="23">
        <v>106</v>
      </c>
      <c r="N23" s="24" t="s">
        <v>1</v>
      </c>
      <c r="O23" s="27" t="s">
        <v>2</v>
      </c>
      <c r="P23" s="28">
        <v>55577</v>
      </c>
      <c r="Q23" s="28">
        <v>38465</v>
      </c>
      <c r="R23" s="28">
        <v>37756</v>
      </c>
      <c r="S23" s="28">
        <v>34432</v>
      </c>
      <c r="T23" s="28">
        <v>32095</v>
      </c>
      <c r="U23" s="28">
        <v>28608</v>
      </c>
      <c r="V23" s="28">
        <v>24677</v>
      </c>
      <c r="W23" s="28">
        <v>19183</v>
      </c>
      <c r="X23" s="28">
        <v>11154</v>
      </c>
      <c r="Y23" s="28">
        <v>5099</v>
      </c>
      <c r="Z23" s="28">
        <v>3984</v>
      </c>
      <c r="AA23" s="28">
        <v>2418</v>
      </c>
      <c r="AB23" s="29" t="s">
        <v>10</v>
      </c>
    </row>
    <row r="24" spans="1:28" x14ac:dyDescent="0.3">
      <c r="A24" s="22" t="s">
        <v>3</v>
      </c>
      <c r="B24" s="23">
        <v>114</v>
      </c>
      <c r="C24" s="23">
        <v>119</v>
      </c>
      <c r="D24" s="23">
        <v>99</v>
      </c>
      <c r="E24" s="23">
        <v>150</v>
      </c>
      <c r="F24" s="23">
        <v>91</v>
      </c>
      <c r="G24" s="23">
        <v>69</v>
      </c>
      <c r="H24" s="23">
        <v>89</v>
      </c>
      <c r="I24" s="23">
        <v>64</v>
      </c>
      <c r="J24" s="23">
        <v>48</v>
      </c>
      <c r="K24" s="23">
        <v>96</v>
      </c>
      <c r="L24" s="23">
        <v>74</v>
      </c>
      <c r="M24" s="23">
        <v>91</v>
      </c>
      <c r="N24" s="24" t="s">
        <v>1</v>
      </c>
      <c r="O24" s="27" t="s">
        <v>3</v>
      </c>
      <c r="P24" s="28">
        <v>2870</v>
      </c>
      <c r="Q24" s="28">
        <v>2601</v>
      </c>
      <c r="R24" s="28">
        <v>2182</v>
      </c>
      <c r="S24" s="28">
        <v>3290</v>
      </c>
      <c r="T24" s="28">
        <v>2229</v>
      </c>
      <c r="U24" s="28">
        <v>1566</v>
      </c>
      <c r="V24" s="28">
        <v>1765</v>
      </c>
      <c r="W24" s="28">
        <v>1749</v>
      </c>
      <c r="X24" s="28">
        <v>1368</v>
      </c>
      <c r="Y24" s="28">
        <v>2283</v>
      </c>
      <c r="Z24" s="28">
        <v>1573</v>
      </c>
      <c r="AA24" s="28">
        <v>2113</v>
      </c>
      <c r="AB24" s="29" t="s">
        <v>10</v>
      </c>
    </row>
    <row r="25" spans="1:28" x14ac:dyDescent="0.3">
      <c r="A25" s="22" t="s">
        <v>4</v>
      </c>
      <c r="B25" s="23">
        <v>135</v>
      </c>
      <c r="C25" s="23">
        <v>285</v>
      </c>
      <c r="D25" s="23">
        <v>333</v>
      </c>
      <c r="E25" s="23">
        <v>254</v>
      </c>
      <c r="F25" s="23">
        <v>120</v>
      </c>
      <c r="G25" s="23">
        <v>158</v>
      </c>
      <c r="H25" s="23">
        <v>144</v>
      </c>
      <c r="I25" s="23">
        <v>85</v>
      </c>
      <c r="J25" s="23">
        <v>75</v>
      </c>
      <c r="K25" s="23">
        <v>86</v>
      </c>
      <c r="L25" s="23">
        <v>106</v>
      </c>
      <c r="M25" s="23">
        <v>74</v>
      </c>
      <c r="N25" s="24" t="s">
        <v>1</v>
      </c>
      <c r="O25" s="27" t="s">
        <v>4</v>
      </c>
      <c r="P25" s="28">
        <v>3739</v>
      </c>
      <c r="Q25" s="28">
        <v>7210</v>
      </c>
      <c r="R25" s="28">
        <v>7895</v>
      </c>
      <c r="S25" s="28">
        <v>6301</v>
      </c>
      <c r="T25" s="28">
        <v>2507</v>
      </c>
      <c r="U25" s="28">
        <v>4203</v>
      </c>
      <c r="V25" s="28">
        <v>3211</v>
      </c>
      <c r="W25" s="28">
        <v>2192</v>
      </c>
      <c r="X25" s="28">
        <v>1715</v>
      </c>
      <c r="Y25" s="28">
        <v>1670</v>
      </c>
      <c r="Z25" s="28">
        <v>2367</v>
      </c>
      <c r="AA25" s="28">
        <v>1573</v>
      </c>
      <c r="AB25" s="29" t="s">
        <v>10</v>
      </c>
    </row>
    <row r="26" spans="1:28" x14ac:dyDescent="0.3">
      <c r="A26" s="22" t="s">
        <v>5</v>
      </c>
      <c r="B26" s="23">
        <v>336</v>
      </c>
      <c r="C26" s="23">
        <v>211</v>
      </c>
      <c r="D26" s="23">
        <v>279</v>
      </c>
      <c r="E26" s="23">
        <v>214</v>
      </c>
      <c r="F26" s="23">
        <v>150</v>
      </c>
      <c r="G26" s="23">
        <v>137</v>
      </c>
      <c r="H26" s="23">
        <v>148</v>
      </c>
      <c r="I26" s="23">
        <v>102</v>
      </c>
      <c r="J26" s="23">
        <v>170</v>
      </c>
      <c r="K26" s="23">
        <v>205</v>
      </c>
      <c r="L26" s="23">
        <v>187</v>
      </c>
      <c r="M26" s="23">
        <v>141</v>
      </c>
      <c r="N26" s="24" t="s">
        <v>1</v>
      </c>
      <c r="O26" s="27" t="s">
        <v>5</v>
      </c>
      <c r="P26" s="28">
        <v>8468</v>
      </c>
      <c r="Q26" s="28">
        <v>5435</v>
      </c>
      <c r="R26" s="28">
        <v>6756</v>
      </c>
      <c r="S26" s="28">
        <v>5073</v>
      </c>
      <c r="T26" s="28">
        <v>3238</v>
      </c>
      <c r="U26" s="28">
        <v>2827</v>
      </c>
      <c r="V26" s="28">
        <v>3616</v>
      </c>
      <c r="W26" s="28">
        <v>2256</v>
      </c>
      <c r="X26" s="28">
        <v>4502</v>
      </c>
      <c r="Y26" s="28">
        <v>4494</v>
      </c>
      <c r="Z26" s="28">
        <v>4809</v>
      </c>
      <c r="AA26" s="28">
        <v>3190</v>
      </c>
      <c r="AB26" s="29" t="s">
        <v>10</v>
      </c>
    </row>
    <row r="27" spans="1:28" x14ac:dyDescent="0.3">
      <c r="A27" s="22" t="s">
        <v>6</v>
      </c>
      <c r="B27" s="23">
        <v>1195</v>
      </c>
      <c r="C27" s="23">
        <v>906</v>
      </c>
      <c r="D27" s="23">
        <v>1109</v>
      </c>
      <c r="E27" s="23">
        <v>752</v>
      </c>
      <c r="F27" s="23">
        <v>265</v>
      </c>
      <c r="G27" s="23">
        <v>299</v>
      </c>
      <c r="H27" s="23">
        <v>372</v>
      </c>
      <c r="I27" s="23">
        <v>260</v>
      </c>
      <c r="J27" s="23">
        <v>268</v>
      </c>
      <c r="K27" s="23">
        <v>265</v>
      </c>
      <c r="L27" s="23">
        <v>297</v>
      </c>
      <c r="M27" s="23">
        <v>227</v>
      </c>
      <c r="N27" s="24" t="s">
        <v>1</v>
      </c>
      <c r="O27" s="27" t="s">
        <v>6</v>
      </c>
      <c r="P27" s="28">
        <v>29003</v>
      </c>
      <c r="Q27" s="28">
        <v>21907</v>
      </c>
      <c r="R27" s="28">
        <v>26072</v>
      </c>
      <c r="S27" s="28">
        <v>18971</v>
      </c>
      <c r="T27" s="28">
        <v>6828</v>
      </c>
      <c r="U27" s="28">
        <v>6921</v>
      </c>
      <c r="V27" s="28">
        <v>8521</v>
      </c>
      <c r="W27" s="28">
        <v>5892</v>
      </c>
      <c r="X27" s="28">
        <v>6676</v>
      </c>
      <c r="Y27" s="28">
        <v>6209</v>
      </c>
      <c r="Z27" s="28">
        <v>7010</v>
      </c>
      <c r="AA27" s="28">
        <v>6128</v>
      </c>
      <c r="AB27" s="29" t="s">
        <v>10</v>
      </c>
    </row>
    <row r="28" spans="1:28" x14ac:dyDescent="0.3">
      <c r="A28" s="22" t="s">
        <v>7</v>
      </c>
      <c r="B28" s="23">
        <v>1009</v>
      </c>
      <c r="C28" s="23">
        <v>1221</v>
      </c>
      <c r="D28" s="23">
        <v>1121</v>
      </c>
      <c r="E28" s="23">
        <v>1086</v>
      </c>
      <c r="F28" s="23">
        <v>379</v>
      </c>
      <c r="G28" s="23">
        <v>189</v>
      </c>
      <c r="H28" s="23">
        <v>383</v>
      </c>
      <c r="I28" s="23">
        <v>285</v>
      </c>
      <c r="J28" s="23">
        <v>339</v>
      </c>
      <c r="K28" s="23">
        <v>352</v>
      </c>
      <c r="L28" s="23">
        <v>455</v>
      </c>
      <c r="M28" s="23">
        <v>314</v>
      </c>
      <c r="N28" s="24" t="s">
        <v>1</v>
      </c>
      <c r="O28" s="27" t="s">
        <v>7</v>
      </c>
      <c r="P28" s="28">
        <v>23959</v>
      </c>
      <c r="Q28" s="28">
        <v>28977</v>
      </c>
      <c r="R28" s="28">
        <v>27748</v>
      </c>
      <c r="S28" s="28">
        <v>25327</v>
      </c>
      <c r="T28" s="28">
        <v>8886</v>
      </c>
      <c r="U28" s="28">
        <v>4485</v>
      </c>
      <c r="V28" s="28">
        <v>9258</v>
      </c>
      <c r="W28" s="28">
        <v>7027</v>
      </c>
      <c r="X28" s="28">
        <v>8128</v>
      </c>
      <c r="Y28" s="28">
        <v>8059</v>
      </c>
      <c r="Z28" s="28">
        <v>11646</v>
      </c>
      <c r="AA28" s="28">
        <v>7160</v>
      </c>
      <c r="AB28" s="29" t="s">
        <v>10</v>
      </c>
    </row>
    <row r="29" spans="1:28" x14ac:dyDescent="0.3">
      <c r="A29" s="22" t="s">
        <v>8</v>
      </c>
      <c r="B29" s="23">
        <v>2164</v>
      </c>
      <c r="C29" s="23">
        <v>172</v>
      </c>
      <c r="D29" s="23">
        <v>204</v>
      </c>
      <c r="E29" s="23">
        <v>187</v>
      </c>
      <c r="F29" s="23">
        <v>188</v>
      </c>
      <c r="G29" s="23">
        <v>182</v>
      </c>
      <c r="H29" s="23">
        <v>176</v>
      </c>
      <c r="I29" s="23">
        <v>171</v>
      </c>
      <c r="J29" s="23">
        <v>1</v>
      </c>
      <c r="K29" s="23">
        <v>2</v>
      </c>
      <c r="L29" s="23">
        <v>1</v>
      </c>
      <c r="M29" s="23">
        <v>1</v>
      </c>
      <c r="N29" s="24" t="s">
        <v>1</v>
      </c>
      <c r="O29" s="27" t="s">
        <v>8</v>
      </c>
      <c r="P29" s="28">
        <v>54067</v>
      </c>
      <c r="Q29" s="28">
        <v>4264</v>
      </c>
      <c r="R29" s="28">
        <v>4251</v>
      </c>
      <c r="S29" s="28">
        <v>4447</v>
      </c>
      <c r="T29" s="28">
        <v>5123</v>
      </c>
      <c r="U29" s="28">
        <v>4832</v>
      </c>
      <c r="V29" s="28">
        <v>4493</v>
      </c>
      <c r="W29" s="28">
        <v>4415</v>
      </c>
      <c r="X29" s="28">
        <v>21</v>
      </c>
      <c r="Y29" s="28">
        <v>42</v>
      </c>
      <c r="Z29" s="28">
        <v>51</v>
      </c>
      <c r="AA29" s="28">
        <v>35</v>
      </c>
      <c r="AB29" s="29" t="s">
        <v>10</v>
      </c>
    </row>
    <row r="31" spans="1:28" x14ac:dyDescent="0.3">
      <c r="B31" s="28"/>
      <c r="C31" s="28"/>
      <c r="D31" s="28"/>
      <c r="F31" s="5"/>
      <c r="G31" s="8"/>
      <c r="H31" s="18"/>
      <c r="I31" s="28"/>
    </row>
    <row r="32" spans="1:28" x14ac:dyDescent="0.3">
      <c r="B32" s="28"/>
      <c r="C32" s="28"/>
      <c r="D32" s="28"/>
      <c r="F32" s="5"/>
      <c r="G32" s="8"/>
      <c r="H32" s="18"/>
      <c r="I32" s="28"/>
    </row>
    <row r="33" spans="1:9" x14ac:dyDescent="0.3">
      <c r="B33" s="28"/>
      <c r="C33" s="28"/>
      <c r="D33" s="28"/>
      <c r="F33" s="5"/>
      <c r="G33" s="8"/>
      <c r="H33" s="18"/>
      <c r="I33" s="28"/>
    </row>
    <row r="34" spans="1:9" x14ac:dyDescent="0.3">
      <c r="B34" s="28"/>
      <c r="C34" s="28"/>
      <c r="D34" s="28"/>
      <c r="F34" s="5"/>
      <c r="G34" s="8"/>
      <c r="H34" s="18"/>
      <c r="I34" s="28"/>
    </row>
    <row r="35" spans="1:9" x14ac:dyDescent="0.3">
      <c r="B35" s="28"/>
      <c r="C35" s="28"/>
      <c r="D35" s="28"/>
      <c r="F35" s="5"/>
      <c r="G35" s="8"/>
      <c r="H35" s="18"/>
      <c r="I35" s="28"/>
    </row>
    <row r="36" spans="1:9" x14ac:dyDescent="0.3">
      <c r="B36" s="28"/>
      <c r="C36" s="28"/>
      <c r="D36" s="28"/>
      <c r="F36" s="5"/>
      <c r="G36" s="8"/>
      <c r="H36" s="18"/>
      <c r="I36" s="28"/>
    </row>
    <row r="37" spans="1:9" x14ac:dyDescent="0.3">
      <c r="A37">
        <v>24</v>
      </c>
      <c r="B37" s="28">
        <v>1271</v>
      </c>
      <c r="C37" s="28">
        <v>1160</v>
      </c>
      <c r="D37" s="28">
        <v>971</v>
      </c>
      <c r="F37" s="5">
        <v>24</v>
      </c>
      <c r="G37" s="8">
        <v>27774</v>
      </c>
      <c r="H37" s="18">
        <v>26904</v>
      </c>
      <c r="I37" s="28">
        <v>26433</v>
      </c>
    </row>
    <row r="38" spans="1:9" x14ac:dyDescent="0.3">
      <c r="A38">
        <v>16</v>
      </c>
      <c r="B38" s="28">
        <v>975</v>
      </c>
      <c r="C38" s="28">
        <v>903</v>
      </c>
      <c r="D38" s="28">
        <v>821</v>
      </c>
      <c r="F38" s="5">
        <v>16</v>
      </c>
      <c r="G38" s="8">
        <v>23094</v>
      </c>
      <c r="H38" s="18">
        <v>21464</v>
      </c>
      <c r="I38" s="28">
        <v>20089</v>
      </c>
    </row>
    <row r="39" spans="1:9" x14ac:dyDescent="0.3">
      <c r="A39">
        <v>8</v>
      </c>
      <c r="B39" s="28">
        <v>589</v>
      </c>
      <c r="C39" s="28">
        <v>493</v>
      </c>
      <c r="D39" s="28">
        <v>462</v>
      </c>
      <c r="F39" s="5">
        <v>8</v>
      </c>
      <c r="G39" s="8">
        <v>12570</v>
      </c>
      <c r="H39" s="18">
        <v>11297</v>
      </c>
      <c r="I39" s="28">
        <v>10266</v>
      </c>
    </row>
    <row r="40" spans="1:9" x14ac:dyDescent="0.3">
      <c r="A40">
        <v>3.2</v>
      </c>
      <c r="B40" s="28">
        <v>291</v>
      </c>
      <c r="C40" s="28">
        <v>227</v>
      </c>
      <c r="D40" s="28">
        <v>191</v>
      </c>
      <c r="F40" s="5">
        <v>3.2</v>
      </c>
      <c r="G40" s="8">
        <v>6391</v>
      </c>
      <c r="H40" s="18">
        <v>5749</v>
      </c>
      <c r="I40" s="28">
        <v>4803</v>
      </c>
    </row>
    <row r="41" spans="1:9" x14ac:dyDescent="0.3">
      <c r="A41">
        <v>1.6</v>
      </c>
      <c r="B41" s="28">
        <v>210</v>
      </c>
      <c r="C41" s="28">
        <v>192</v>
      </c>
      <c r="D41" s="28">
        <v>146</v>
      </c>
      <c r="F41" s="5">
        <v>1.6</v>
      </c>
      <c r="G41" s="8">
        <v>4461</v>
      </c>
      <c r="H41" s="18">
        <v>4116</v>
      </c>
      <c r="I41" s="28">
        <v>3572</v>
      </c>
    </row>
    <row r="42" spans="1:9" x14ac:dyDescent="0.3">
      <c r="A42">
        <v>0</v>
      </c>
      <c r="B42" s="28">
        <v>167</v>
      </c>
      <c r="C42" s="28">
        <v>120</v>
      </c>
      <c r="D42" s="28">
        <v>127</v>
      </c>
      <c r="F42" s="5">
        <v>0</v>
      </c>
      <c r="G42" s="8">
        <v>3103</v>
      </c>
      <c r="H42" s="18">
        <v>2539</v>
      </c>
      <c r="I42" s="28">
        <v>2657</v>
      </c>
    </row>
    <row r="43" spans="1:9" x14ac:dyDescent="0.3">
      <c r="A43" s="5"/>
      <c r="B43" s="28"/>
      <c r="C43" s="28"/>
      <c r="D43" s="28"/>
      <c r="F43" s="5"/>
      <c r="G43" s="8"/>
      <c r="H43" s="18"/>
      <c r="I43" s="28"/>
    </row>
    <row r="44" spans="1:9" x14ac:dyDescent="0.3">
      <c r="A44" s="5"/>
      <c r="B44" s="28"/>
      <c r="C44" s="28"/>
      <c r="D44" s="28"/>
      <c r="F44" s="5"/>
      <c r="G44" s="8"/>
      <c r="H44" s="18"/>
      <c r="I44" s="28"/>
    </row>
    <row r="45" spans="1:9" x14ac:dyDescent="0.3">
      <c r="A45" s="5"/>
      <c r="B45" s="28"/>
      <c r="C45" s="28"/>
      <c r="D45" s="28"/>
      <c r="F45" s="5"/>
      <c r="G45" s="8"/>
      <c r="H45" s="18"/>
      <c r="I45" s="28"/>
    </row>
    <row r="46" spans="1:9" x14ac:dyDescent="0.3">
      <c r="A46" s="5"/>
      <c r="B46" s="28"/>
      <c r="C46" s="28"/>
      <c r="D46" s="28"/>
      <c r="F46" s="5"/>
      <c r="G46" s="8"/>
      <c r="H46" s="18"/>
      <c r="I46" s="28"/>
    </row>
    <row r="47" spans="1:9" x14ac:dyDescent="0.3">
      <c r="A47" s="5"/>
      <c r="B47" s="28"/>
      <c r="C47" s="28"/>
      <c r="D47" s="28"/>
      <c r="F47" s="5"/>
      <c r="G47" s="8"/>
      <c r="H47" s="18"/>
      <c r="I47" s="28"/>
    </row>
    <row r="48" spans="1:9" x14ac:dyDescent="0.3">
      <c r="A48" s="5"/>
      <c r="B48" s="28"/>
      <c r="C48" s="28"/>
      <c r="D48" s="28"/>
      <c r="F48" s="5"/>
      <c r="G48" s="8"/>
      <c r="H48" s="18"/>
      <c r="I48" s="28"/>
    </row>
    <row r="49" spans="1:9" x14ac:dyDescent="0.3">
      <c r="A49" s="5">
        <v>24</v>
      </c>
      <c r="B49" s="28">
        <v>1261</v>
      </c>
      <c r="C49" s="28">
        <v>1026</v>
      </c>
      <c r="D49" s="28">
        <v>1015</v>
      </c>
      <c r="F49" s="5">
        <v>24</v>
      </c>
      <c r="G49" s="8">
        <v>26783</v>
      </c>
      <c r="H49" s="18">
        <v>24715</v>
      </c>
      <c r="I49" s="28">
        <v>24677</v>
      </c>
    </row>
    <row r="50" spans="1:9" x14ac:dyDescent="0.3">
      <c r="A50" s="5">
        <v>16</v>
      </c>
      <c r="B50" s="28">
        <v>925</v>
      </c>
      <c r="C50" s="28">
        <v>866</v>
      </c>
      <c r="D50" s="28">
        <v>790</v>
      </c>
      <c r="F50" s="5">
        <v>16</v>
      </c>
      <c r="G50" s="8">
        <v>21930</v>
      </c>
      <c r="H50" s="18">
        <v>19563</v>
      </c>
      <c r="I50" s="28">
        <v>19183</v>
      </c>
    </row>
    <row r="51" spans="1:9" x14ac:dyDescent="0.3">
      <c r="A51" s="5">
        <v>8</v>
      </c>
      <c r="B51" s="28">
        <v>578</v>
      </c>
      <c r="C51" s="28">
        <v>514</v>
      </c>
      <c r="D51" s="28">
        <v>451</v>
      </c>
      <c r="F51" s="5">
        <v>8</v>
      </c>
      <c r="G51" s="8">
        <v>13208</v>
      </c>
      <c r="H51" s="18">
        <v>11506</v>
      </c>
      <c r="I51" s="28">
        <v>11154</v>
      </c>
    </row>
    <row r="52" spans="1:9" x14ac:dyDescent="0.3">
      <c r="A52" s="5">
        <v>3.2</v>
      </c>
      <c r="B52" s="28">
        <v>335</v>
      </c>
      <c r="C52" s="28">
        <v>215</v>
      </c>
      <c r="D52" s="28">
        <v>201</v>
      </c>
      <c r="F52" s="5">
        <v>3.2</v>
      </c>
      <c r="G52" s="8">
        <v>5615</v>
      </c>
      <c r="H52" s="18">
        <v>5695</v>
      </c>
      <c r="I52" s="28">
        <v>5099</v>
      </c>
    </row>
    <row r="53" spans="1:9" x14ac:dyDescent="0.3">
      <c r="A53" s="5">
        <v>1.6</v>
      </c>
      <c r="B53" s="28">
        <v>254</v>
      </c>
      <c r="C53" s="28">
        <v>196</v>
      </c>
      <c r="D53" s="28">
        <v>151</v>
      </c>
      <c r="F53" s="5">
        <v>1.6</v>
      </c>
      <c r="G53" s="8">
        <v>4726</v>
      </c>
      <c r="H53" s="18">
        <v>4173</v>
      </c>
      <c r="I53" s="28">
        <v>3984</v>
      </c>
    </row>
    <row r="54" spans="1:9" x14ac:dyDescent="0.3">
      <c r="A54" s="5">
        <v>0</v>
      </c>
      <c r="B54" s="28">
        <v>169</v>
      </c>
      <c r="C54" s="28">
        <v>122</v>
      </c>
      <c r="D54" s="28">
        <v>106</v>
      </c>
      <c r="F54" s="5">
        <v>0</v>
      </c>
      <c r="G54" s="8">
        <v>3433</v>
      </c>
      <c r="H54" s="18">
        <v>3020</v>
      </c>
      <c r="I54" s="28">
        <v>2418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81B3-4C3F-4D57-BC3E-67B1DEFA1C91}">
  <dimension ref="A1:P41"/>
  <sheetViews>
    <sheetView tabSelected="1" topLeftCell="A43" workbookViewId="0">
      <selection activeCell="S50" sqref="S50"/>
    </sheetView>
  </sheetViews>
  <sheetFormatPr defaultRowHeight="14" x14ac:dyDescent="0.3"/>
  <cols>
    <col min="2" max="3" width="11.5" bestFit="1" customWidth="1"/>
    <col min="5" max="6" width="11.5" bestFit="1" customWidth="1"/>
  </cols>
  <sheetData>
    <row r="1" spans="1:15" x14ac:dyDescent="0.3">
      <c r="A1" s="26" t="s">
        <v>12</v>
      </c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5"/>
    </row>
    <row r="2" spans="1:15" x14ac:dyDescent="0.3">
      <c r="A2" s="27" t="s">
        <v>0</v>
      </c>
      <c r="B2" s="28">
        <v>64895</v>
      </c>
      <c r="C2" s="28">
        <v>41046</v>
      </c>
      <c r="D2" s="28">
        <v>38335</v>
      </c>
      <c r="E2" s="28">
        <v>35890</v>
      </c>
      <c r="F2" s="28">
        <v>33847</v>
      </c>
      <c r="G2" s="28">
        <v>30315</v>
      </c>
      <c r="H2" s="28">
        <v>26433</v>
      </c>
      <c r="I2" s="28">
        <v>20089</v>
      </c>
      <c r="J2" s="28">
        <v>10266</v>
      </c>
      <c r="K2" s="28">
        <v>4803</v>
      </c>
      <c r="L2" s="28">
        <v>3572</v>
      </c>
      <c r="M2" s="28">
        <v>2657</v>
      </c>
      <c r="N2" s="29" t="s">
        <v>10</v>
      </c>
    </row>
    <row r="3" spans="1:15" x14ac:dyDescent="0.3">
      <c r="A3" s="27" t="s">
        <v>2</v>
      </c>
      <c r="B3" s="28">
        <v>55577</v>
      </c>
      <c r="C3" s="28">
        <v>38465</v>
      </c>
      <c r="D3" s="28">
        <v>37756</v>
      </c>
      <c r="E3" s="28">
        <v>34432</v>
      </c>
      <c r="F3" s="28">
        <v>32095</v>
      </c>
      <c r="G3" s="28">
        <v>28608</v>
      </c>
      <c r="H3" s="28">
        <v>24677</v>
      </c>
      <c r="I3" s="28">
        <v>19183</v>
      </c>
      <c r="J3" s="28">
        <v>11154</v>
      </c>
      <c r="K3" s="28">
        <v>5099</v>
      </c>
      <c r="L3" s="28">
        <v>3984</v>
      </c>
      <c r="M3" s="28">
        <v>2418</v>
      </c>
      <c r="N3" s="29" t="s">
        <v>10</v>
      </c>
      <c r="O3">
        <f>_xlfn.QUARTILE.EXC(B4:M4,1)</f>
        <v>1617</v>
      </c>
    </row>
    <row r="4" spans="1:15" x14ac:dyDescent="0.3">
      <c r="A4" s="27" t="s">
        <v>3</v>
      </c>
      <c r="B4" s="28">
        <v>2870</v>
      </c>
      <c r="C4" s="28">
        <v>2601</v>
      </c>
      <c r="D4" s="28">
        <v>2182</v>
      </c>
      <c r="E4" s="28">
        <v>3290</v>
      </c>
      <c r="F4" s="28">
        <v>2229</v>
      </c>
      <c r="G4" s="28">
        <v>1566</v>
      </c>
      <c r="H4" s="28">
        <v>1765</v>
      </c>
      <c r="I4" s="28">
        <v>1749</v>
      </c>
      <c r="J4" s="28">
        <v>1368</v>
      </c>
      <c r="K4" s="28">
        <v>2283</v>
      </c>
      <c r="L4" s="28">
        <v>1573</v>
      </c>
      <c r="M4" s="28">
        <v>2113</v>
      </c>
      <c r="N4" s="29" t="s">
        <v>10</v>
      </c>
    </row>
    <row r="5" spans="1:15" x14ac:dyDescent="0.3">
      <c r="A5" s="27" t="s">
        <v>4</v>
      </c>
      <c r="B5" s="28">
        <v>3739</v>
      </c>
      <c r="C5" s="28">
        <v>7210</v>
      </c>
      <c r="D5" s="28">
        <v>7895</v>
      </c>
      <c r="E5" s="28">
        <v>6301</v>
      </c>
      <c r="F5" s="28">
        <v>2507</v>
      </c>
      <c r="G5" s="28">
        <v>4203</v>
      </c>
      <c r="H5" s="28">
        <v>3211</v>
      </c>
      <c r="I5" s="28">
        <v>2192</v>
      </c>
      <c r="J5" s="28">
        <v>1715</v>
      </c>
      <c r="K5" s="28">
        <v>1670</v>
      </c>
      <c r="L5" s="28">
        <v>2367</v>
      </c>
      <c r="M5" s="28">
        <v>1573</v>
      </c>
      <c r="N5" s="29" t="s">
        <v>10</v>
      </c>
    </row>
    <row r="6" spans="1:15" x14ac:dyDescent="0.3">
      <c r="A6" s="27" t="s">
        <v>5</v>
      </c>
      <c r="B6" s="28">
        <v>8468</v>
      </c>
      <c r="C6" s="28">
        <v>5435</v>
      </c>
      <c r="D6" s="28">
        <v>6756</v>
      </c>
      <c r="E6" s="28">
        <v>5073</v>
      </c>
      <c r="F6" s="28">
        <v>3238</v>
      </c>
      <c r="G6" s="28">
        <v>2827</v>
      </c>
      <c r="H6" s="28">
        <v>3616</v>
      </c>
      <c r="I6" s="28">
        <v>2256</v>
      </c>
      <c r="J6" s="28">
        <v>4502</v>
      </c>
      <c r="K6" s="28">
        <v>4494</v>
      </c>
      <c r="L6" s="28">
        <v>4809</v>
      </c>
      <c r="M6" s="28">
        <v>3190</v>
      </c>
      <c r="N6" s="29" t="s">
        <v>10</v>
      </c>
    </row>
    <row r="7" spans="1:15" x14ac:dyDescent="0.3">
      <c r="A7" s="27" t="s">
        <v>6</v>
      </c>
      <c r="B7" s="28">
        <v>29003</v>
      </c>
      <c r="C7" s="28">
        <v>21907</v>
      </c>
      <c r="D7" s="28">
        <v>26072</v>
      </c>
      <c r="E7" s="28">
        <v>18971</v>
      </c>
      <c r="F7" s="28">
        <v>6828</v>
      </c>
      <c r="G7" s="28">
        <v>6921</v>
      </c>
      <c r="H7" s="28">
        <v>8521</v>
      </c>
      <c r="I7" s="28">
        <v>5892</v>
      </c>
      <c r="J7" s="28">
        <v>6676</v>
      </c>
      <c r="K7" s="28">
        <v>6209</v>
      </c>
      <c r="L7" s="28">
        <v>7010</v>
      </c>
      <c r="M7" s="28">
        <v>6128</v>
      </c>
      <c r="N7" s="29" t="s">
        <v>10</v>
      </c>
    </row>
    <row r="8" spans="1:15" x14ac:dyDescent="0.3">
      <c r="A8" s="27" t="s">
        <v>7</v>
      </c>
      <c r="B8" s="28">
        <v>23959</v>
      </c>
      <c r="C8" s="28">
        <v>28977</v>
      </c>
      <c r="D8" s="28">
        <v>27748</v>
      </c>
      <c r="E8" s="28">
        <v>25327</v>
      </c>
      <c r="F8" s="28">
        <v>8886</v>
      </c>
      <c r="G8" s="28">
        <v>4485</v>
      </c>
      <c r="H8" s="28">
        <v>9258</v>
      </c>
      <c r="I8" s="28">
        <v>7027</v>
      </c>
      <c r="J8" s="28">
        <v>8128</v>
      </c>
      <c r="K8" s="28">
        <v>8059</v>
      </c>
      <c r="L8" s="28">
        <v>11646</v>
      </c>
      <c r="M8" s="28">
        <v>7160</v>
      </c>
      <c r="N8" s="29" t="s">
        <v>10</v>
      </c>
    </row>
    <row r="9" spans="1:15" x14ac:dyDescent="0.3">
      <c r="A9" s="27" t="s">
        <v>8</v>
      </c>
      <c r="B9" s="28">
        <v>54067</v>
      </c>
      <c r="C9" s="28">
        <v>4264</v>
      </c>
      <c r="D9" s="28">
        <v>4251</v>
      </c>
      <c r="E9" s="28">
        <v>4447</v>
      </c>
      <c r="F9" s="28">
        <v>5123</v>
      </c>
      <c r="G9" s="28">
        <v>4832</v>
      </c>
      <c r="H9" s="28">
        <v>4493</v>
      </c>
      <c r="I9" s="28">
        <v>4415</v>
      </c>
      <c r="J9" s="28">
        <v>21</v>
      </c>
      <c r="K9" s="28">
        <v>42</v>
      </c>
      <c r="L9" s="28">
        <v>51</v>
      </c>
      <c r="M9" s="28">
        <v>35</v>
      </c>
      <c r="N9" s="29" t="s">
        <v>10</v>
      </c>
    </row>
    <row r="11" spans="1:15" ht="41.95" x14ac:dyDescent="0.3">
      <c r="A11" s="26" t="s">
        <v>13</v>
      </c>
      <c r="B11" s="27">
        <v>1</v>
      </c>
      <c r="C11" s="27">
        <v>2</v>
      </c>
      <c r="D11" s="27">
        <v>3</v>
      </c>
      <c r="E11" s="27">
        <v>4</v>
      </c>
      <c r="F11" s="27">
        <v>5</v>
      </c>
      <c r="G11" s="27">
        <v>6</v>
      </c>
      <c r="H11" s="27">
        <v>7</v>
      </c>
      <c r="I11" s="27">
        <v>8</v>
      </c>
      <c r="J11" s="27">
        <v>9</v>
      </c>
      <c r="K11" s="27">
        <v>10</v>
      </c>
      <c r="L11" s="27">
        <v>11</v>
      </c>
      <c r="M11" s="27">
        <v>12</v>
      </c>
      <c r="N11" s="25"/>
    </row>
    <row r="12" spans="1:15" x14ac:dyDescent="0.3">
      <c r="A12" s="27" t="s">
        <v>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 t="s">
        <v>10</v>
      </c>
    </row>
    <row r="13" spans="1:15" x14ac:dyDescent="0.3">
      <c r="A13" s="27" t="s">
        <v>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 t="s">
        <v>10</v>
      </c>
    </row>
    <row r="14" spans="1:15" x14ac:dyDescent="0.3">
      <c r="A14" s="27" t="s">
        <v>3</v>
      </c>
      <c r="B14" s="28">
        <f>(B4-1617)/1045</f>
        <v>1.1990430622009569</v>
      </c>
      <c r="C14" s="28">
        <f t="shared" ref="C14:M14" si="0">(C4-1617)/1045</f>
        <v>0.94162679425837326</v>
      </c>
      <c r="D14" s="28">
        <f t="shared" si="0"/>
        <v>0.54066985645933019</v>
      </c>
      <c r="E14" s="28">
        <f t="shared" si="0"/>
        <v>1.6009569377990431</v>
      </c>
      <c r="F14" s="28">
        <f t="shared" si="0"/>
        <v>0.58564593301435408</v>
      </c>
      <c r="G14" s="28">
        <f t="shared" si="0"/>
        <v>-4.8803827751196169E-2</v>
      </c>
      <c r="H14" s="28">
        <f t="shared" si="0"/>
        <v>0.14162679425837321</v>
      </c>
      <c r="I14" s="28">
        <f t="shared" si="0"/>
        <v>0.12631578947368421</v>
      </c>
      <c r="J14" s="28">
        <f t="shared" si="0"/>
        <v>-0.23827751196172248</v>
      </c>
      <c r="K14" s="28">
        <f t="shared" si="0"/>
        <v>0.6373205741626794</v>
      </c>
      <c r="L14" s="28">
        <f t="shared" si="0"/>
        <v>-4.2105263157894736E-2</v>
      </c>
      <c r="M14" s="28">
        <f t="shared" si="0"/>
        <v>0.47464114832535886</v>
      </c>
      <c r="N14" s="29" t="s">
        <v>10</v>
      </c>
    </row>
    <row r="15" spans="1:15" x14ac:dyDescent="0.3">
      <c r="A15" s="27" t="s">
        <v>4</v>
      </c>
      <c r="B15" s="28">
        <f t="shared" ref="B15:M15" si="1">(B5-1617)/1045</f>
        <v>2.0306220095693779</v>
      </c>
      <c r="C15" s="28">
        <f t="shared" si="1"/>
        <v>5.3521531100478468</v>
      </c>
      <c r="D15" s="28">
        <f t="shared" si="1"/>
        <v>6.0076555023923444</v>
      </c>
      <c r="E15" s="28">
        <f t="shared" si="1"/>
        <v>4.4822966507177036</v>
      </c>
      <c r="F15" s="28">
        <f t="shared" si="1"/>
        <v>0.85167464114832536</v>
      </c>
      <c r="G15" s="28">
        <f t="shared" si="1"/>
        <v>2.4746411483253588</v>
      </c>
      <c r="H15" s="28">
        <f t="shared" si="1"/>
        <v>1.5253588516746412</v>
      </c>
      <c r="I15" s="28">
        <f t="shared" si="1"/>
        <v>0.55023923444976075</v>
      </c>
      <c r="J15" s="28">
        <f t="shared" si="1"/>
        <v>9.3779904306220102E-2</v>
      </c>
      <c r="K15" s="28">
        <f t="shared" si="1"/>
        <v>5.0717703349282293E-2</v>
      </c>
      <c r="L15" s="28">
        <f t="shared" si="1"/>
        <v>0.71770334928229662</v>
      </c>
      <c r="M15" s="28">
        <f t="shared" si="1"/>
        <v>-4.2105263157894736E-2</v>
      </c>
      <c r="N15" s="29" t="s">
        <v>10</v>
      </c>
    </row>
    <row r="16" spans="1:15" x14ac:dyDescent="0.3">
      <c r="A16" s="27" t="s">
        <v>5</v>
      </c>
      <c r="B16" s="28">
        <f t="shared" ref="B16:M16" si="2">(B6-1617)/1045</f>
        <v>6.5559808612440191</v>
      </c>
      <c r="C16" s="28">
        <f t="shared" si="2"/>
        <v>3.6535885167464115</v>
      </c>
      <c r="D16" s="28">
        <f t="shared" si="2"/>
        <v>4.9177033492822968</v>
      </c>
      <c r="E16" s="28">
        <f t="shared" si="2"/>
        <v>3.307177033492823</v>
      </c>
      <c r="F16" s="28">
        <f t="shared" si="2"/>
        <v>1.5511961722488039</v>
      </c>
      <c r="G16" s="28">
        <f t="shared" si="2"/>
        <v>1.1578947368421053</v>
      </c>
      <c r="H16" s="28">
        <f t="shared" si="2"/>
        <v>1.9129186602870814</v>
      </c>
      <c r="I16" s="28">
        <f t="shared" si="2"/>
        <v>0.61148325358851674</v>
      </c>
      <c r="J16" s="28">
        <f t="shared" si="2"/>
        <v>2.7607655502392343</v>
      </c>
      <c r="K16" s="28">
        <f t="shared" si="2"/>
        <v>2.75311004784689</v>
      </c>
      <c r="L16" s="28">
        <f t="shared" si="2"/>
        <v>3.0545454545454547</v>
      </c>
      <c r="M16" s="28">
        <f t="shared" si="2"/>
        <v>1.5052631578947369</v>
      </c>
      <c r="N16" s="29" t="s">
        <v>10</v>
      </c>
    </row>
    <row r="17" spans="1:14" x14ac:dyDescent="0.3">
      <c r="A17" s="27" t="s">
        <v>6</v>
      </c>
      <c r="B17" s="28">
        <f t="shared" ref="B17:M17" si="3">(B7-1617)/1045</f>
        <v>26.206698564593303</v>
      </c>
      <c r="C17" s="28">
        <f t="shared" si="3"/>
        <v>19.416267942583733</v>
      </c>
      <c r="D17" s="28">
        <f t="shared" si="3"/>
        <v>23.401913875598087</v>
      </c>
      <c r="E17" s="28">
        <f t="shared" si="3"/>
        <v>16.606698564593302</v>
      </c>
      <c r="F17" s="28">
        <f t="shared" si="3"/>
        <v>4.9866028708133969</v>
      </c>
      <c r="G17" s="28">
        <f t="shared" si="3"/>
        <v>5.0755980861244021</v>
      </c>
      <c r="H17" s="28">
        <f t="shared" si="3"/>
        <v>6.6066985645933016</v>
      </c>
      <c r="I17" s="28">
        <f t="shared" si="3"/>
        <v>4.0909090909090908</v>
      </c>
      <c r="J17" s="28">
        <f t="shared" si="3"/>
        <v>4.8411483253588514</v>
      </c>
      <c r="K17" s="28">
        <f t="shared" si="3"/>
        <v>4.3942583732057416</v>
      </c>
      <c r="L17" s="28">
        <f t="shared" si="3"/>
        <v>5.1607655502392342</v>
      </c>
      <c r="M17" s="28">
        <f t="shared" si="3"/>
        <v>4.3167464114832539</v>
      </c>
      <c r="N17" s="29" t="s">
        <v>10</v>
      </c>
    </row>
    <row r="18" spans="1:14" x14ac:dyDescent="0.3">
      <c r="A18" s="27" t="s">
        <v>7</v>
      </c>
      <c r="B18" s="28">
        <f t="shared" ref="B18:M19" si="4">(B8-1617)/1045</f>
        <v>21.379904306220094</v>
      </c>
      <c r="C18" s="28">
        <f t="shared" si="4"/>
        <v>26.181818181818183</v>
      </c>
      <c r="D18" s="28">
        <f t="shared" si="4"/>
        <v>25.005741626794258</v>
      </c>
      <c r="E18" s="28">
        <f t="shared" si="4"/>
        <v>22.688995215311003</v>
      </c>
      <c r="F18" s="28">
        <f t="shared" si="4"/>
        <v>6.9559808612440195</v>
      </c>
      <c r="G18" s="28">
        <f t="shared" si="4"/>
        <v>2.7444976076555023</v>
      </c>
      <c r="H18" s="28">
        <f t="shared" si="4"/>
        <v>7.3119617224880384</v>
      </c>
      <c r="I18" s="28">
        <f t="shared" si="4"/>
        <v>5.1770334928229662</v>
      </c>
      <c r="J18" s="28">
        <f t="shared" si="4"/>
        <v>6.2306220095693776</v>
      </c>
      <c r="K18" s="28">
        <f t="shared" si="4"/>
        <v>6.1645933014354064</v>
      </c>
      <c r="L18" s="28">
        <f t="shared" si="4"/>
        <v>9.5971291866028707</v>
      </c>
      <c r="M18" s="28">
        <f t="shared" si="4"/>
        <v>5.3043062200956941</v>
      </c>
      <c r="N18" s="29" t="s">
        <v>10</v>
      </c>
    </row>
    <row r="19" spans="1:14" x14ac:dyDescent="0.3">
      <c r="A19" s="27" t="s">
        <v>8</v>
      </c>
      <c r="B19" s="28">
        <f>(B9-1617)/1045</f>
        <v>50.191387559808611</v>
      </c>
      <c r="C19" s="28">
        <f t="shared" si="4"/>
        <v>2.5330143540669856</v>
      </c>
      <c r="D19" s="28">
        <f t="shared" si="4"/>
        <v>2.5205741626794258</v>
      </c>
      <c r="E19" s="28">
        <f t="shared" si="4"/>
        <v>2.7081339712918662</v>
      </c>
      <c r="F19" s="28">
        <f t="shared" si="4"/>
        <v>3.3550239234449761</v>
      </c>
      <c r="G19" s="28">
        <f t="shared" si="4"/>
        <v>3.0765550239234449</v>
      </c>
      <c r="H19" s="28">
        <f t="shared" si="4"/>
        <v>2.7521531100478467</v>
      </c>
      <c r="I19" s="28">
        <f t="shared" si="4"/>
        <v>2.6775119617224878</v>
      </c>
      <c r="J19" s="28">
        <f t="shared" si="4"/>
        <v>-1.5272727272727273</v>
      </c>
      <c r="K19" s="28">
        <f t="shared" si="4"/>
        <v>-1.5071770334928229</v>
      </c>
      <c r="L19" s="28">
        <f t="shared" si="4"/>
        <v>-1.4985645933014353</v>
      </c>
      <c r="M19" s="28">
        <f t="shared" si="4"/>
        <v>-1.5138755980861245</v>
      </c>
      <c r="N19" s="29" t="s">
        <v>10</v>
      </c>
    </row>
    <row r="21" spans="1:14" ht="27.95" x14ac:dyDescent="0.3">
      <c r="A21" s="26" t="s">
        <v>14</v>
      </c>
      <c r="B21" s="27">
        <v>1</v>
      </c>
      <c r="C21" s="27">
        <v>2</v>
      </c>
      <c r="D21" s="27">
        <v>3</v>
      </c>
      <c r="E21" s="27">
        <v>4</v>
      </c>
      <c r="F21" s="27">
        <v>5</v>
      </c>
      <c r="G21" s="27">
        <v>6</v>
      </c>
      <c r="H21" s="27">
        <v>7</v>
      </c>
      <c r="I21" s="27">
        <v>8</v>
      </c>
      <c r="J21" s="27">
        <v>9</v>
      </c>
      <c r="K21" s="27">
        <v>10</v>
      </c>
      <c r="L21" s="27">
        <v>11</v>
      </c>
      <c r="M21" s="27">
        <v>12</v>
      </c>
    </row>
    <row r="22" spans="1:14" x14ac:dyDescent="0.3">
      <c r="A22" s="27" t="s">
        <v>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1:14" x14ac:dyDescent="0.3">
      <c r="A23" s="27" t="s">
        <v>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spans="1:14" x14ac:dyDescent="0.3">
      <c r="A24" s="27" t="s">
        <v>3</v>
      </c>
      <c r="B24" s="28">
        <v>149.88038277511961</v>
      </c>
      <c r="C24" s="28">
        <v>117.70334928229666</v>
      </c>
      <c r="D24" s="28">
        <v>67.58373205741627</v>
      </c>
      <c r="E24" s="28">
        <v>200.11961722488039</v>
      </c>
      <c r="F24" s="28">
        <v>73.205741626794264</v>
      </c>
      <c r="G24" s="28">
        <v>-6.1004784688995208</v>
      </c>
      <c r="H24" s="28">
        <v>17.703349282296653</v>
      </c>
      <c r="I24" s="28">
        <v>15.789473684210527</v>
      </c>
      <c r="J24" s="28">
        <v>-29.784688995215308</v>
      </c>
      <c r="K24" s="28">
        <v>79.665071770334919</v>
      </c>
      <c r="L24" s="28">
        <v>-5.2631578947368416</v>
      </c>
      <c r="M24" s="28">
        <v>59.330143540669859</v>
      </c>
    </row>
    <row r="25" spans="1:14" x14ac:dyDescent="0.3">
      <c r="A25" s="27" t="s">
        <v>4</v>
      </c>
      <c r="B25" s="28">
        <v>253.82775119617224</v>
      </c>
      <c r="C25" s="28">
        <v>669.01913875598086</v>
      </c>
      <c r="D25" s="28">
        <v>750.95693779904309</v>
      </c>
      <c r="E25" s="28">
        <v>316.6267942583732</v>
      </c>
      <c r="F25" s="28">
        <v>106.45933014354067</v>
      </c>
      <c r="G25" s="28">
        <v>309.33014354066984</v>
      </c>
      <c r="H25" s="28">
        <v>190.66985645933016</v>
      </c>
      <c r="I25" s="28">
        <v>68.779904306220089</v>
      </c>
      <c r="J25" s="28">
        <v>11.722488038277513</v>
      </c>
      <c r="K25" s="28">
        <v>6.339712918660287</v>
      </c>
      <c r="L25" s="28">
        <v>89.712918660287073</v>
      </c>
      <c r="M25" s="28">
        <v>-5.2631578947368416</v>
      </c>
    </row>
    <row r="26" spans="1:14" x14ac:dyDescent="0.3">
      <c r="A26" s="27" t="s">
        <v>5</v>
      </c>
      <c r="B26" s="28">
        <v>819.49760765550241</v>
      </c>
      <c r="C26" s="28">
        <v>677.74066985645936</v>
      </c>
      <c r="D26" s="28">
        <v>614.71291866028707</v>
      </c>
      <c r="E26" s="28">
        <v>413.39712918660285</v>
      </c>
      <c r="F26" s="28">
        <v>193.89952153110048</v>
      </c>
      <c r="G26" s="28">
        <v>144.73684210526315</v>
      </c>
      <c r="H26" s="28">
        <v>239.11483253588517</v>
      </c>
      <c r="I26" s="28">
        <v>76.435406698564591</v>
      </c>
      <c r="J26" s="28">
        <v>345.09569377990431</v>
      </c>
      <c r="K26" s="28">
        <v>344.13875598086122</v>
      </c>
      <c r="L26" s="28">
        <v>381.81818181818181</v>
      </c>
      <c r="M26" s="28">
        <v>188.15789473684211</v>
      </c>
    </row>
    <row r="27" spans="1:14" x14ac:dyDescent="0.3">
      <c r="A27" s="27" t="s">
        <v>6</v>
      </c>
      <c r="B27" s="28">
        <v>3275.8373205741627</v>
      </c>
      <c r="C27" s="28">
        <v>2427.0334928229668</v>
      </c>
      <c r="D27" s="28">
        <v>2925.2392344497607</v>
      </c>
      <c r="E27" s="28">
        <v>2075.8373205741627</v>
      </c>
      <c r="F27" s="28">
        <v>623.32535885167465</v>
      </c>
      <c r="G27" s="28">
        <v>634.44976076555031</v>
      </c>
      <c r="H27" s="28">
        <v>825.83732057416273</v>
      </c>
      <c r="I27" s="28">
        <v>511.36363636363637</v>
      </c>
      <c r="J27" s="28">
        <v>605.14354066985641</v>
      </c>
      <c r="K27" s="28">
        <v>549.28229665071774</v>
      </c>
      <c r="L27" s="28">
        <v>645.09569377990431</v>
      </c>
      <c r="M27" s="28">
        <v>539.59330143540672</v>
      </c>
    </row>
    <row r="28" spans="1:14" x14ac:dyDescent="0.3">
      <c r="A28" s="27" t="s">
        <v>7</v>
      </c>
      <c r="B28" s="28">
        <v>2672.4880382775118</v>
      </c>
      <c r="C28" s="28">
        <v>3272.727272727273</v>
      </c>
      <c r="D28" s="28">
        <v>3125.7177033492821</v>
      </c>
      <c r="E28" s="28">
        <v>2836.1244019138753</v>
      </c>
      <c r="F28" s="28">
        <v>869.49760765550241</v>
      </c>
      <c r="G28" s="28">
        <v>343.06220095693777</v>
      </c>
      <c r="H28" s="28">
        <v>913.99521531100481</v>
      </c>
      <c r="I28" s="28">
        <v>647.12918660287073</v>
      </c>
      <c r="J28" s="28">
        <v>778.82775119617224</v>
      </c>
      <c r="K28" s="28">
        <v>770.57416267942585</v>
      </c>
      <c r="L28" s="28">
        <v>1199.6411483253589</v>
      </c>
      <c r="M28" s="28">
        <v>663.03827751196172</v>
      </c>
    </row>
    <row r="29" spans="1:14" x14ac:dyDescent="0.3">
      <c r="A29" s="27" t="s">
        <v>8</v>
      </c>
      <c r="B29" s="28"/>
      <c r="D29" s="28">
        <v>315.0717703349282</v>
      </c>
      <c r="E29" s="28">
        <v>338.51674641148327</v>
      </c>
      <c r="F29" s="28">
        <v>419.37799043062199</v>
      </c>
      <c r="G29" s="28">
        <v>384.56937799043061</v>
      </c>
      <c r="H29" s="28">
        <v>344.01913875598086</v>
      </c>
      <c r="I29" s="28">
        <v>334.68899521531097</v>
      </c>
      <c r="J29" s="28">
        <v>-190.90909090909091</v>
      </c>
      <c r="K29" s="28">
        <v>-188.39712918660288</v>
      </c>
      <c r="L29" s="28">
        <v>-187.32057416267941</v>
      </c>
      <c r="M29" s="28">
        <v>-189.23444976076556</v>
      </c>
    </row>
    <row r="30" spans="1:14" x14ac:dyDescent="0.3">
      <c r="B30" t="s">
        <v>15</v>
      </c>
    </row>
    <row r="31" spans="1:14" x14ac:dyDescent="0.3">
      <c r="B31" t="s">
        <v>16</v>
      </c>
    </row>
    <row r="33" spans="1:16" x14ac:dyDescent="0.3">
      <c r="B33" s="30" t="s">
        <v>17</v>
      </c>
      <c r="C33" s="30"/>
      <c r="D33" s="30"/>
      <c r="E33" s="30"/>
      <c r="F33" s="30"/>
      <c r="G33" s="30" t="s">
        <v>18</v>
      </c>
      <c r="H33" s="30"/>
      <c r="I33" s="30"/>
      <c r="J33" s="30"/>
      <c r="K33" s="30"/>
      <c r="L33" s="30" t="s">
        <v>19</v>
      </c>
      <c r="M33" s="30"/>
      <c r="N33" s="30"/>
      <c r="O33" s="30"/>
      <c r="P33" s="30"/>
    </row>
    <row r="34" spans="1:16" x14ac:dyDescent="0.3">
      <c r="B34" s="25" t="s">
        <v>23</v>
      </c>
      <c r="C34" s="25" t="s">
        <v>24</v>
      </c>
      <c r="D34" s="25" t="s">
        <v>25</v>
      </c>
      <c r="E34" s="25" t="s">
        <v>26</v>
      </c>
      <c r="F34" s="25" t="s">
        <v>27</v>
      </c>
      <c r="G34" s="25" t="s">
        <v>20</v>
      </c>
      <c r="H34" s="25">
        <v>12</v>
      </c>
      <c r="I34" s="25">
        <v>18</v>
      </c>
      <c r="J34" s="25">
        <v>24</v>
      </c>
      <c r="K34" s="25">
        <v>48</v>
      </c>
      <c r="L34" s="25" t="s">
        <v>20</v>
      </c>
      <c r="M34" s="25">
        <v>12</v>
      </c>
      <c r="N34" s="25">
        <v>18</v>
      </c>
      <c r="O34" s="25">
        <v>24</v>
      </c>
      <c r="P34" s="25">
        <v>48</v>
      </c>
    </row>
    <row r="35" spans="1:16" x14ac:dyDescent="0.3">
      <c r="B35" s="28">
        <v>149.88038277511961</v>
      </c>
      <c r="C35" s="28">
        <v>253.82775119617224</v>
      </c>
      <c r="D35" s="28">
        <v>819.49760765550241</v>
      </c>
      <c r="E35" s="28">
        <v>3275.8373205741627</v>
      </c>
      <c r="F35" s="28">
        <v>2672.4880382775118</v>
      </c>
      <c r="G35" s="28">
        <v>73.205741626794264</v>
      </c>
      <c r="H35" s="28">
        <v>106.45933014354067</v>
      </c>
      <c r="I35" s="28">
        <v>193.89952153110048</v>
      </c>
      <c r="J35" s="28">
        <v>623.32535885167465</v>
      </c>
      <c r="K35" s="28">
        <v>869.49760765550195</v>
      </c>
      <c r="L35" s="28">
        <v>-29.784688995215308</v>
      </c>
      <c r="M35" s="28">
        <v>11.722488038277513</v>
      </c>
      <c r="N35" s="28">
        <v>345.09569377990431</v>
      </c>
      <c r="O35" s="28">
        <v>605.14354066985641</v>
      </c>
      <c r="P35" s="28">
        <v>778.82775119617224</v>
      </c>
    </row>
    <row r="36" spans="1:16" x14ac:dyDescent="0.3">
      <c r="B36" s="28">
        <v>117.70334928229666</v>
      </c>
      <c r="C36" s="28">
        <v>669.01913875598086</v>
      </c>
      <c r="D36" s="28">
        <v>677.74066985645936</v>
      </c>
      <c r="E36" s="28">
        <v>2427.0334928229668</v>
      </c>
      <c r="F36" s="28">
        <v>3272.727272727273</v>
      </c>
      <c r="G36" s="28">
        <v>-6.1004784688995208</v>
      </c>
      <c r="H36" s="28">
        <v>309.33014354066984</v>
      </c>
      <c r="I36" s="28">
        <v>144.73684210526315</v>
      </c>
      <c r="J36" s="28">
        <v>634.44976076555031</v>
      </c>
      <c r="K36" s="28">
        <v>343.06220095693777</v>
      </c>
      <c r="L36" s="28">
        <v>79.665071770334919</v>
      </c>
      <c r="M36" s="28">
        <v>6.339712918660287</v>
      </c>
      <c r="N36" s="28">
        <v>344.13875598086122</v>
      </c>
      <c r="O36" s="28">
        <v>549.28229665071774</v>
      </c>
      <c r="P36" s="28">
        <v>770.57416267942585</v>
      </c>
    </row>
    <row r="37" spans="1:16" x14ac:dyDescent="0.3">
      <c r="B37" s="28">
        <v>67.58373205741627</v>
      </c>
      <c r="C37" s="28">
        <v>750.95693779904309</v>
      </c>
      <c r="D37" s="28">
        <v>614.71291866028707</v>
      </c>
      <c r="E37" s="28">
        <v>2925.2392344497607</v>
      </c>
      <c r="F37" s="28">
        <v>3125.7177033492821</v>
      </c>
      <c r="G37" s="28">
        <v>17.703349282296653</v>
      </c>
      <c r="H37" s="28">
        <v>190.66985645933016</v>
      </c>
      <c r="I37" s="28">
        <v>239.11483253588517</v>
      </c>
      <c r="J37" s="28">
        <v>825.83732057416273</v>
      </c>
      <c r="K37" s="28">
        <v>913.99521531100481</v>
      </c>
      <c r="L37" s="28">
        <v>-5.2631578947368416</v>
      </c>
      <c r="M37" s="28">
        <v>89.712918660287073</v>
      </c>
      <c r="N37" s="28">
        <v>381.81818181818181</v>
      </c>
      <c r="O37" s="28">
        <v>645.09569377990431</v>
      </c>
      <c r="P37" s="28">
        <v>1199.6411483253589</v>
      </c>
    </row>
    <row r="38" spans="1:16" x14ac:dyDescent="0.3">
      <c r="B38" s="28">
        <v>200.11961722488039</v>
      </c>
      <c r="C38" s="28">
        <v>316.6267942583732</v>
      </c>
      <c r="D38" s="28">
        <v>413.39712918660285</v>
      </c>
      <c r="E38" s="28">
        <v>2075.8373205741627</v>
      </c>
      <c r="F38" s="28">
        <v>2836.1244019138753</v>
      </c>
      <c r="G38" s="28">
        <v>15.789473684210527</v>
      </c>
      <c r="H38" s="28">
        <v>68.779904306220089</v>
      </c>
      <c r="I38" s="28">
        <v>76.435406698564591</v>
      </c>
      <c r="J38" s="28">
        <v>511.36363636363637</v>
      </c>
      <c r="K38" s="28">
        <v>647.12918660287073</v>
      </c>
      <c r="L38" s="28">
        <v>59.330143540669859</v>
      </c>
      <c r="M38" s="28">
        <v>-5.2631578947368416</v>
      </c>
      <c r="N38" s="28">
        <v>188.15789473684211</v>
      </c>
      <c r="O38" s="28">
        <v>539.59330143540672</v>
      </c>
      <c r="P38" s="28">
        <v>663.03827751196172</v>
      </c>
    </row>
    <row r="40" spans="1:16" x14ac:dyDescent="0.3">
      <c r="A40" t="s">
        <v>21</v>
      </c>
      <c r="B40">
        <f>AVERAGE(B35:B38)</f>
        <v>133.82177033492823</v>
      </c>
      <c r="C40" s="25">
        <f t="shared" ref="C40:P40" si="5">AVERAGE(C35:C38)</f>
        <v>497.60765550239233</v>
      </c>
      <c r="D40" s="25">
        <f t="shared" si="5"/>
        <v>631.33708133971288</v>
      </c>
      <c r="E40" s="25">
        <f t="shared" si="5"/>
        <v>2675.9868421052633</v>
      </c>
      <c r="F40" s="25">
        <f t="shared" si="5"/>
        <v>2976.7643540669856</v>
      </c>
      <c r="G40" s="25">
        <f t="shared" si="5"/>
        <v>25.149521531100483</v>
      </c>
      <c r="H40" s="25">
        <f t="shared" si="5"/>
        <v>168.80980861244018</v>
      </c>
      <c r="I40" s="25">
        <f t="shared" si="5"/>
        <v>163.54665071770336</v>
      </c>
      <c r="J40" s="25">
        <f t="shared" si="5"/>
        <v>648.74401913875602</v>
      </c>
      <c r="K40" s="25">
        <f t="shared" si="5"/>
        <v>693.42105263157873</v>
      </c>
      <c r="L40" s="25">
        <f t="shared" si="5"/>
        <v>25.986842105263158</v>
      </c>
      <c r="M40" s="25">
        <f t="shared" si="5"/>
        <v>25.62799043062201</v>
      </c>
      <c r="N40" s="25">
        <f t="shared" si="5"/>
        <v>314.80263157894734</v>
      </c>
      <c r="O40" s="25">
        <f t="shared" si="5"/>
        <v>584.77870813397135</v>
      </c>
      <c r="P40" s="25">
        <f t="shared" si="5"/>
        <v>853.02033492822966</v>
      </c>
    </row>
    <row r="41" spans="1:16" x14ac:dyDescent="0.3">
      <c r="A41" t="s">
        <v>22</v>
      </c>
      <c r="B41">
        <f>STDEV(B35:B38)</f>
        <v>55.67933413104862</v>
      </c>
      <c r="C41" s="25">
        <f t="shared" ref="C41:P41" si="6">STDEV(C35:C38)</f>
        <v>248.83091267739775</v>
      </c>
      <c r="D41" s="25">
        <f t="shared" si="6"/>
        <v>168.65335476449769</v>
      </c>
      <c r="E41" s="25">
        <f t="shared" si="6"/>
        <v>530.44150476174161</v>
      </c>
      <c r="F41" s="25">
        <f t="shared" si="6"/>
        <v>272.11812507094197</v>
      </c>
      <c r="G41" s="25">
        <f t="shared" si="6"/>
        <v>33.808375524124628</v>
      </c>
      <c r="H41" s="25">
        <f t="shared" si="6"/>
        <v>106.64175251908047</v>
      </c>
      <c r="I41" s="25">
        <f t="shared" si="6"/>
        <v>69.699413207762177</v>
      </c>
      <c r="J41" s="25">
        <f t="shared" si="6"/>
        <v>130.49373049813573</v>
      </c>
      <c r="K41" s="25">
        <f t="shared" si="6"/>
        <v>261.11949772598757</v>
      </c>
      <c r="L41" s="25">
        <f t="shared" si="6"/>
        <v>51.897829986362694</v>
      </c>
      <c r="M41" s="25">
        <f t="shared" si="6"/>
        <v>43.307203855026977</v>
      </c>
      <c r="N41" s="25">
        <f t="shared" si="6"/>
        <v>86.23272997361866</v>
      </c>
      <c r="O41" s="25">
        <f t="shared" si="6"/>
        <v>49.512898549534455</v>
      </c>
      <c r="P41" s="25">
        <f t="shared" si="6"/>
        <v>237.02396589059944</v>
      </c>
    </row>
  </sheetData>
  <mergeCells count="3">
    <mergeCell ref="B33:F33"/>
    <mergeCell ref="G33:K33"/>
    <mergeCell ref="L33:P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2022-04-01T20:09:44Z</dcterms:created>
  <dcterms:modified xsi:type="dcterms:W3CDTF">2022-10-28T19:37:53Z</dcterms:modified>
</cp:coreProperties>
</file>